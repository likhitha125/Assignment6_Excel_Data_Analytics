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635"/>
  </bookViews>
  <sheets>
    <sheet name="Sheet1" sheetId="1" r:id="rId1"/>
    <sheet name="Basic_Analysis" sheetId="2" r:id="rId2"/>
    <sheet name="Lookup_Table" sheetId="4" r:id="rId3"/>
    <sheet name="Pivot – Sales by Region" sheetId="7" r:id="rId4"/>
    <sheet name="Dashboard" sheetId="9" r:id="rId5"/>
  </sheets>
  <externalReferences>
    <externalReference r:id="rId6"/>
    <externalReference r:id="rId7"/>
  </externalReferences>
  <definedNames>
    <definedName name="Slicer_Profit">#N/A</definedName>
    <definedName name="Slicer_Region">#N/A</definedName>
    <definedName name="Slicer_Sales">#N/A</definedName>
  </definedNames>
  <calcPr calcId="152511"/>
  <pivotCaches>
    <pivotCache cacheId="13" r:id="rId8"/>
    <pivotCache cacheId="21" r:id="rId9"/>
    <pivotCache cacheId="24" r:id="rId10"/>
    <pivotCache cacheId="27"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 i="1"/>
  <c r="K2823" i="1"/>
  <c r="K2824"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 i="1"/>
  <c r="I5" i="1"/>
  <c r="D2823" i="1"/>
  <c r="D2824"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303" i="1"/>
  <c r="D2304" i="1"/>
  <c r="D2305" i="1"/>
  <c r="D2306" i="1"/>
  <c r="D2307" i="1"/>
  <c r="D2308" i="1"/>
  <c r="D2309" i="1"/>
  <c r="D2310" i="1"/>
  <c r="D2311" i="1"/>
  <c r="D2312" i="1"/>
  <c r="D2313" i="1"/>
  <c r="D2314" i="1"/>
  <c r="D2315" i="1"/>
  <c r="D2316" i="1"/>
  <c r="D2317" i="1"/>
  <c r="D2318" i="1"/>
  <c r="D2319" i="1"/>
  <c r="D2320"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1667" i="1"/>
  <c r="D1668" i="1"/>
  <c r="D1669" i="1"/>
  <c r="D1670" i="1"/>
  <c r="D1671" i="1"/>
  <c r="D1672" i="1"/>
  <c r="D1673" i="1"/>
  <c r="D1674" i="1"/>
  <c r="D1675" i="1"/>
  <c r="D1676" i="1"/>
  <c r="D1677" i="1"/>
  <c r="D1678" i="1"/>
  <c r="D1679" i="1"/>
  <c r="D1680" i="1"/>
  <c r="D1681" i="1"/>
  <c r="D1682" i="1"/>
  <c r="D1652" i="1"/>
  <c r="D1653" i="1"/>
  <c r="D1654" i="1"/>
  <c r="D1655" i="1"/>
  <c r="D1656" i="1"/>
  <c r="D1657" i="1"/>
  <c r="D1658" i="1"/>
  <c r="D1659" i="1"/>
  <c r="D1660" i="1"/>
  <c r="D1661" i="1"/>
  <c r="D1662" i="1"/>
  <c r="D1663" i="1"/>
  <c r="D1664" i="1"/>
  <c r="D1665" i="1"/>
  <c r="D1666"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3" i="1"/>
  <c r="D4" i="1"/>
  <c r="D5" i="1"/>
  <c r="D6" i="1"/>
  <c r="D7" i="1"/>
  <c r="D8" i="1"/>
  <c r="D9" i="1"/>
  <c r="D10" i="1"/>
  <c r="D11" i="1"/>
  <c r="D12" i="1"/>
  <c r="D13" i="1"/>
  <c r="D14" i="1"/>
  <c r="D15" i="1"/>
  <c r="D16" i="1"/>
  <c r="D17" i="1"/>
  <c r="D18" i="1"/>
  <c r="D19" i="1"/>
  <c r="D20" i="1"/>
  <c r="D21" i="1"/>
  <c r="D22" i="1"/>
  <c r="D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 i="1"/>
  <c r="I4" i="1"/>
  <c r="I2824" i="1"/>
  <c r="I2823" i="1"/>
  <c r="I2822" i="1"/>
  <c r="I2821" i="1"/>
  <c r="I2820" i="1"/>
  <c r="I2819" i="1"/>
  <c r="I2818" i="1"/>
  <c r="I2817" i="1"/>
  <c r="I2816" i="1"/>
  <c r="I2815" i="1"/>
  <c r="I2814" i="1"/>
  <c r="I2813" i="1"/>
  <c r="I2812" i="1"/>
  <c r="I2811" i="1"/>
  <c r="I2810" i="1"/>
  <c r="I2809" i="1"/>
  <c r="I2808" i="1"/>
  <c r="I2807" i="1"/>
  <c r="I2806" i="1"/>
  <c r="I2805" i="1"/>
  <c r="I2804" i="1"/>
  <c r="I2803" i="1"/>
  <c r="I2802" i="1"/>
  <c r="I2801" i="1"/>
  <c r="I2800" i="1"/>
  <c r="I2799" i="1"/>
  <c r="I2798" i="1"/>
  <c r="I2797" i="1"/>
  <c r="I2796" i="1"/>
  <c r="I2795" i="1"/>
  <c r="I2794" i="1"/>
  <c r="I2793" i="1"/>
  <c r="I2792" i="1"/>
  <c r="I2791" i="1"/>
  <c r="I2790" i="1"/>
  <c r="I2789" i="1"/>
  <c r="I2788" i="1"/>
  <c r="I2787" i="1"/>
  <c r="I2786" i="1"/>
  <c r="I2785" i="1"/>
  <c r="I2784" i="1"/>
  <c r="I2783" i="1"/>
  <c r="I2782" i="1"/>
  <c r="I2781" i="1"/>
  <c r="I2780" i="1"/>
  <c r="I2779" i="1"/>
  <c r="I2778" i="1"/>
  <c r="I2777" i="1"/>
  <c r="I2776" i="1"/>
  <c r="I2775" i="1"/>
  <c r="I2774" i="1"/>
  <c r="I2773" i="1"/>
  <c r="I2772" i="1"/>
  <c r="I2771" i="1"/>
  <c r="I2770" i="1"/>
  <c r="I2769" i="1"/>
  <c r="I2768" i="1"/>
  <c r="I2767" i="1"/>
  <c r="I2766" i="1"/>
  <c r="I2765" i="1"/>
  <c r="I2764" i="1"/>
  <c r="I2763" i="1"/>
  <c r="I2762" i="1"/>
  <c r="I2761" i="1"/>
  <c r="I2760" i="1"/>
  <c r="I2759" i="1"/>
  <c r="I2758" i="1"/>
  <c r="I2757" i="1"/>
  <c r="I2756" i="1"/>
  <c r="I2755" i="1"/>
  <c r="I2754" i="1"/>
  <c r="I2753" i="1"/>
  <c r="I2752" i="1"/>
  <c r="I2751" i="1"/>
  <c r="I2750" i="1"/>
  <c r="I2749" i="1"/>
  <c r="I2748" i="1"/>
  <c r="I2747" i="1"/>
  <c r="I2746" i="1"/>
  <c r="I2745" i="1"/>
  <c r="I2744" i="1"/>
  <c r="I2743" i="1"/>
  <c r="I2742" i="1"/>
  <c r="I2741" i="1"/>
  <c r="I2740" i="1"/>
  <c r="I2739" i="1"/>
  <c r="I2738" i="1"/>
  <c r="I2737" i="1"/>
  <c r="I2736" i="1"/>
  <c r="I2735" i="1"/>
  <c r="I2734" i="1"/>
  <c r="I2733" i="1"/>
  <c r="I2732" i="1"/>
  <c r="I2731" i="1"/>
  <c r="I2730" i="1"/>
  <c r="I2729" i="1"/>
  <c r="I2728" i="1"/>
  <c r="I2727" i="1"/>
  <c r="I2726" i="1"/>
  <c r="I2725" i="1"/>
  <c r="I2724" i="1"/>
  <c r="I2723" i="1"/>
  <c r="I2722" i="1"/>
  <c r="I2721" i="1"/>
  <c r="I2720" i="1"/>
  <c r="I2719" i="1"/>
  <c r="I2718" i="1"/>
  <c r="I2717" i="1"/>
  <c r="I2716" i="1"/>
  <c r="I2715" i="1"/>
  <c r="I2714" i="1"/>
  <c r="I2713" i="1"/>
  <c r="I2712" i="1"/>
  <c r="I2711" i="1"/>
  <c r="I2710" i="1"/>
  <c r="I2709" i="1"/>
  <c r="I2708" i="1"/>
  <c r="I2707" i="1"/>
  <c r="I2706" i="1"/>
  <c r="I2705" i="1"/>
  <c r="I2704" i="1"/>
  <c r="I2703" i="1"/>
  <c r="I2702" i="1"/>
  <c r="I2701" i="1"/>
  <c r="I2700" i="1"/>
  <c r="I2699" i="1"/>
  <c r="I2698" i="1"/>
  <c r="I2697" i="1"/>
  <c r="I2696" i="1"/>
  <c r="I2695" i="1"/>
  <c r="I2694" i="1"/>
  <c r="I2693" i="1"/>
  <c r="I2692" i="1"/>
  <c r="I2691" i="1"/>
  <c r="I2690" i="1"/>
  <c r="I2689" i="1"/>
  <c r="I2688" i="1"/>
  <c r="I2687" i="1"/>
  <c r="I2686" i="1"/>
  <c r="I2685" i="1"/>
  <c r="I2684" i="1"/>
  <c r="I2683" i="1"/>
  <c r="I2682" i="1"/>
  <c r="I2681" i="1"/>
  <c r="I2680" i="1"/>
  <c r="I2679" i="1"/>
  <c r="I2678" i="1"/>
  <c r="I2677" i="1"/>
  <c r="I2676" i="1"/>
  <c r="I2675" i="1"/>
  <c r="I2674" i="1"/>
  <c r="I2673" i="1"/>
  <c r="I2672" i="1"/>
  <c r="I2671" i="1"/>
  <c r="I2670" i="1"/>
  <c r="I2669" i="1"/>
  <c r="I2668" i="1"/>
  <c r="I2667" i="1"/>
  <c r="I2666" i="1"/>
  <c r="I2665" i="1"/>
  <c r="I2664" i="1"/>
  <c r="I2663" i="1"/>
  <c r="I2662" i="1"/>
  <c r="I2661" i="1"/>
  <c r="I2660" i="1"/>
  <c r="I2659" i="1"/>
  <c r="I2658" i="1"/>
  <c r="I2657" i="1"/>
  <c r="I2656" i="1"/>
  <c r="I2655" i="1"/>
  <c r="I2654" i="1"/>
  <c r="I2653" i="1"/>
  <c r="I2652" i="1"/>
  <c r="I2651" i="1"/>
  <c r="I2650" i="1"/>
  <c r="I2649" i="1"/>
  <c r="I2648" i="1"/>
  <c r="I2647" i="1"/>
  <c r="I2646" i="1"/>
  <c r="I2645" i="1"/>
  <c r="I2644" i="1"/>
  <c r="I2643" i="1"/>
  <c r="I2642" i="1"/>
  <c r="I2641" i="1"/>
  <c r="I2640" i="1"/>
  <c r="I2639" i="1"/>
  <c r="I2638" i="1"/>
  <c r="I2637" i="1"/>
  <c r="I2636" i="1"/>
  <c r="I2635" i="1"/>
  <c r="I2634" i="1"/>
  <c r="I2633" i="1"/>
  <c r="I2632" i="1"/>
  <c r="I2631" i="1"/>
  <c r="I2630" i="1"/>
  <c r="I2629" i="1"/>
  <c r="I2628" i="1"/>
  <c r="I2627" i="1"/>
  <c r="I2626" i="1"/>
  <c r="I2625" i="1"/>
  <c r="I2624" i="1"/>
  <c r="I2623" i="1"/>
  <c r="I2622" i="1"/>
  <c r="I2621" i="1"/>
  <c r="I2620" i="1"/>
  <c r="I2619" i="1"/>
  <c r="I2618" i="1"/>
  <c r="I2617" i="1"/>
  <c r="I2616" i="1"/>
  <c r="I2615" i="1"/>
  <c r="I2614" i="1"/>
  <c r="I2613" i="1"/>
  <c r="I2612" i="1"/>
  <c r="I2611" i="1"/>
  <c r="I2610" i="1"/>
  <c r="I2609" i="1"/>
  <c r="I2608" i="1"/>
  <c r="I2607" i="1"/>
  <c r="I2606" i="1"/>
  <c r="I2605" i="1"/>
  <c r="I2604" i="1"/>
  <c r="I2603" i="1"/>
  <c r="I2602" i="1"/>
  <c r="I2601" i="1"/>
  <c r="I2600" i="1"/>
  <c r="I2599" i="1"/>
  <c r="I2598" i="1"/>
  <c r="I2597" i="1"/>
  <c r="I2596" i="1"/>
  <c r="I2595" i="1"/>
  <c r="I2594" i="1"/>
  <c r="I2593" i="1"/>
  <c r="I2592" i="1"/>
  <c r="I2591" i="1"/>
  <c r="I2590" i="1"/>
  <c r="I2589" i="1"/>
  <c r="I2588" i="1"/>
  <c r="I2587" i="1"/>
  <c r="I2586" i="1"/>
  <c r="I2585" i="1"/>
  <c r="I2584" i="1"/>
  <c r="I2583" i="1"/>
  <c r="I2582" i="1"/>
  <c r="I2581" i="1"/>
  <c r="I2580" i="1"/>
  <c r="I2579" i="1"/>
  <c r="I2578" i="1"/>
  <c r="I2577" i="1"/>
  <c r="I2576" i="1"/>
  <c r="I2575" i="1"/>
  <c r="I2574" i="1"/>
  <c r="I2573" i="1"/>
  <c r="I2572" i="1"/>
  <c r="I2571" i="1"/>
  <c r="I2570" i="1"/>
  <c r="I2569" i="1"/>
  <c r="I2568" i="1"/>
  <c r="I2567" i="1"/>
  <c r="I2566" i="1"/>
  <c r="I2565" i="1"/>
  <c r="I2564" i="1"/>
  <c r="I2563" i="1"/>
  <c r="I2562" i="1"/>
  <c r="I2561" i="1"/>
  <c r="I2560" i="1"/>
  <c r="I2559" i="1"/>
  <c r="I2558" i="1"/>
  <c r="I2557" i="1"/>
  <c r="I2556" i="1"/>
  <c r="I2555" i="1"/>
  <c r="I2554" i="1"/>
  <c r="I2553" i="1"/>
  <c r="I2552" i="1"/>
  <c r="I2551" i="1"/>
  <c r="I2550" i="1"/>
  <c r="I2549" i="1"/>
  <c r="I2548" i="1"/>
  <c r="I2547" i="1"/>
  <c r="I2546" i="1"/>
  <c r="I2545" i="1"/>
  <c r="I2544" i="1"/>
  <c r="I2543" i="1"/>
  <c r="I2542" i="1"/>
  <c r="I2541" i="1"/>
  <c r="I2540" i="1"/>
  <c r="I2539" i="1"/>
  <c r="I2538" i="1"/>
  <c r="I2537" i="1"/>
  <c r="I2536" i="1"/>
  <c r="I2535" i="1"/>
  <c r="I2534" i="1"/>
  <c r="I2533" i="1"/>
  <c r="I2532" i="1"/>
  <c r="I2531" i="1"/>
  <c r="I2530" i="1"/>
  <c r="I2529" i="1"/>
  <c r="I2528" i="1"/>
  <c r="I2527" i="1"/>
  <c r="I2526" i="1"/>
  <c r="I2525" i="1"/>
  <c r="I2524" i="1"/>
  <c r="I2523" i="1"/>
  <c r="I2522" i="1"/>
  <c r="I2521" i="1"/>
  <c r="I2520" i="1"/>
  <c r="I2519" i="1"/>
  <c r="I2518" i="1"/>
  <c r="I2517" i="1"/>
  <c r="I2516" i="1"/>
  <c r="I2515" i="1"/>
  <c r="I2514" i="1"/>
  <c r="I2513" i="1"/>
  <c r="I2512" i="1"/>
  <c r="I2511" i="1"/>
  <c r="I2510" i="1"/>
  <c r="I2509" i="1"/>
  <c r="I2508" i="1"/>
  <c r="I2507" i="1"/>
  <c r="I2506" i="1"/>
  <c r="I2505" i="1"/>
  <c r="I2504" i="1"/>
  <c r="I2503" i="1"/>
  <c r="I2502" i="1"/>
  <c r="I2501" i="1"/>
  <c r="I2500" i="1"/>
  <c r="I2499" i="1"/>
  <c r="I2498" i="1"/>
  <c r="I2497" i="1"/>
  <c r="I2496" i="1"/>
  <c r="I2495" i="1"/>
  <c r="I2494" i="1"/>
  <c r="I2493" i="1"/>
  <c r="I2492" i="1"/>
  <c r="I2491" i="1"/>
  <c r="I2490" i="1"/>
  <c r="I2489" i="1"/>
  <c r="I2488" i="1"/>
  <c r="I2487" i="1"/>
  <c r="I2486" i="1"/>
  <c r="I2485" i="1"/>
  <c r="I2484" i="1"/>
  <c r="I2483" i="1"/>
  <c r="I2482" i="1"/>
  <c r="I2481" i="1"/>
  <c r="I2480" i="1"/>
  <c r="I2479" i="1"/>
  <c r="I2478" i="1"/>
  <c r="I2477" i="1"/>
  <c r="I2476" i="1"/>
  <c r="I2475" i="1"/>
  <c r="I2474" i="1"/>
  <c r="I2473" i="1"/>
  <c r="I2472" i="1"/>
  <c r="I2471" i="1"/>
  <c r="I2470" i="1"/>
  <c r="I2469" i="1"/>
  <c r="I2468" i="1"/>
  <c r="I2467" i="1"/>
  <c r="I2466" i="1"/>
  <c r="I2465" i="1"/>
  <c r="I2464" i="1"/>
  <c r="I2463" i="1"/>
  <c r="I2462" i="1"/>
  <c r="I2461" i="1"/>
  <c r="I2460" i="1"/>
  <c r="I2459" i="1"/>
  <c r="I2458" i="1"/>
  <c r="I2457" i="1"/>
  <c r="I2456" i="1"/>
  <c r="I2455" i="1"/>
  <c r="I2454" i="1"/>
  <c r="I2453" i="1"/>
  <c r="I2452" i="1"/>
  <c r="I2451" i="1"/>
  <c r="I2450" i="1"/>
  <c r="I2449" i="1"/>
  <c r="I2448" i="1"/>
  <c r="I2447" i="1"/>
  <c r="I2446" i="1"/>
  <c r="I2445" i="1"/>
  <c r="I2444" i="1"/>
  <c r="I2443" i="1"/>
  <c r="I2442" i="1"/>
  <c r="I2441" i="1"/>
  <c r="I2440" i="1"/>
  <c r="I2439" i="1"/>
  <c r="I2438" i="1"/>
  <c r="I2437" i="1"/>
  <c r="I2436" i="1"/>
  <c r="I2435" i="1"/>
  <c r="I2434" i="1"/>
  <c r="I2433" i="1"/>
  <c r="I2432" i="1"/>
  <c r="I2431" i="1"/>
  <c r="I2430" i="1"/>
  <c r="I2429" i="1"/>
  <c r="I2428" i="1"/>
  <c r="I2427" i="1"/>
  <c r="I2426" i="1"/>
  <c r="I2425" i="1"/>
  <c r="I2424" i="1"/>
  <c r="I2423" i="1"/>
  <c r="I2422" i="1"/>
  <c r="I2421" i="1"/>
  <c r="I2420" i="1"/>
  <c r="I2419" i="1"/>
  <c r="I2418" i="1"/>
  <c r="I2417" i="1"/>
  <c r="I2416" i="1"/>
  <c r="I2415" i="1"/>
  <c r="I2414" i="1"/>
  <c r="I2413" i="1"/>
  <c r="I2412" i="1"/>
  <c r="I2411" i="1"/>
  <c r="I2410" i="1"/>
  <c r="I2409" i="1"/>
  <c r="I2408" i="1"/>
  <c r="I2407" i="1"/>
  <c r="I2406" i="1"/>
  <c r="I2405" i="1"/>
  <c r="I2404" i="1"/>
  <c r="I2403" i="1"/>
  <c r="I2402" i="1"/>
  <c r="I2401" i="1"/>
  <c r="I2400" i="1"/>
  <c r="I2399" i="1"/>
  <c r="I2398" i="1"/>
  <c r="I2397" i="1"/>
  <c r="I2396" i="1"/>
  <c r="I2395" i="1"/>
  <c r="I2394" i="1"/>
  <c r="I2393" i="1"/>
  <c r="I2392" i="1"/>
  <c r="I2391" i="1"/>
  <c r="I2390" i="1"/>
  <c r="I2389" i="1"/>
  <c r="I2388" i="1"/>
  <c r="I2387" i="1"/>
  <c r="I2386" i="1"/>
  <c r="I2385" i="1"/>
  <c r="I2384" i="1"/>
  <c r="I2383" i="1"/>
  <c r="I2382" i="1"/>
  <c r="I2381" i="1"/>
  <c r="I2380" i="1"/>
  <c r="I2379" i="1"/>
  <c r="I2378" i="1"/>
  <c r="I2377" i="1"/>
  <c r="I2376" i="1"/>
  <c r="I2375" i="1"/>
  <c r="I2374" i="1"/>
  <c r="I2373" i="1"/>
  <c r="I2372" i="1"/>
  <c r="I2371" i="1"/>
  <c r="I2370" i="1"/>
  <c r="I2369" i="1"/>
  <c r="I2368" i="1"/>
  <c r="I2367" i="1"/>
  <c r="I2366" i="1"/>
  <c r="I2365" i="1"/>
  <c r="I2364" i="1"/>
  <c r="I2363" i="1"/>
  <c r="I2362" i="1"/>
  <c r="I2361" i="1"/>
  <c r="I2360" i="1"/>
  <c r="I2359" i="1"/>
  <c r="I2358" i="1"/>
  <c r="I2357" i="1"/>
  <c r="I2356" i="1"/>
  <c r="I2355" i="1"/>
  <c r="I2354" i="1"/>
  <c r="I2353" i="1"/>
  <c r="I2352" i="1"/>
  <c r="I2351" i="1"/>
  <c r="I2350" i="1"/>
  <c r="I2349" i="1"/>
  <c r="I2348" i="1"/>
  <c r="I2347" i="1"/>
  <c r="I2346" i="1"/>
  <c r="I2345" i="1"/>
  <c r="I2344" i="1"/>
  <c r="I2343" i="1"/>
  <c r="I2342" i="1"/>
  <c r="I2341" i="1"/>
  <c r="I2340" i="1"/>
  <c r="I2339" i="1"/>
  <c r="I2338" i="1"/>
  <c r="I2337" i="1"/>
  <c r="I2336" i="1"/>
  <c r="I2335" i="1"/>
  <c r="I2334" i="1"/>
  <c r="I2333" i="1"/>
  <c r="I2332" i="1"/>
  <c r="I2331" i="1"/>
  <c r="I2330" i="1"/>
  <c r="I2329" i="1"/>
  <c r="I2328" i="1"/>
  <c r="I2327" i="1"/>
  <c r="I2326" i="1"/>
  <c r="I2325" i="1"/>
  <c r="I2324" i="1"/>
  <c r="I2323" i="1"/>
  <c r="I2322" i="1"/>
  <c r="I2321" i="1"/>
  <c r="I2320" i="1"/>
  <c r="I2319" i="1"/>
  <c r="I2318" i="1"/>
  <c r="I2317" i="1"/>
  <c r="I2316" i="1"/>
  <c r="I2315" i="1"/>
  <c r="I2314" i="1"/>
  <c r="I2313" i="1"/>
  <c r="I2312" i="1"/>
  <c r="I2311" i="1"/>
  <c r="I2310" i="1"/>
  <c r="I2309" i="1"/>
  <c r="I2308" i="1"/>
  <c r="I2307" i="1"/>
  <c r="I2306" i="1"/>
  <c r="I2305" i="1"/>
  <c r="I2304" i="1"/>
  <c r="I2303" i="1"/>
  <c r="I2302" i="1"/>
  <c r="I2301" i="1"/>
  <c r="I2300" i="1"/>
  <c r="I2299" i="1"/>
  <c r="I2298" i="1"/>
  <c r="I2297" i="1"/>
  <c r="I2296" i="1"/>
  <c r="I2295" i="1"/>
  <c r="I2294" i="1"/>
  <c r="I2293" i="1"/>
  <c r="I2292" i="1"/>
  <c r="I2291" i="1"/>
  <c r="I2290" i="1"/>
  <c r="I2289" i="1"/>
  <c r="I2288" i="1"/>
  <c r="I2287" i="1"/>
  <c r="I2286" i="1"/>
  <c r="I2285" i="1"/>
  <c r="I2284" i="1"/>
  <c r="I2283" i="1"/>
  <c r="I2282" i="1"/>
  <c r="I2281" i="1"/>
  <c r="I2280" i="1"/>
  <c r="I2279" i="1"/>
  <c r="I2278" i="1"/>
  <c r="I2277" i="1"/>
  <c r="I2276" i="1"/>
  <c r="I2275" i="1"/>
  <c r="I2274" i="1"/>
  <c r="I2273" i="1"/>
  <c r="I2272" i="1"/>
  <c r="I2271" i="1"/>
  <c r="I2270" i="1"/>
  <c r="I2269" i="1"/>
  <c r="I2268" i="1"/>
  <c r="I2267" i="1"/>
  <c r="I2266" i="1"/>
  <c r="I2265" i="1"/>
  <c r="I2264" i="1"/>
  <c r="I2263" i="1"/>
  <c r="I2262" i="1"/>
  <c r="I2261" i="1"/>
  <c r="I2260" i="1"/>
  <c r="I2259" i="1"/>
  <c r="I2258" i="1"/>
  <c r="I2257" i="1"/>
  <c r="I2256" i="1"/>
  <c r="I2255" i="1"/>
  <c r="I2254" i="1"/>
  <c r="I2253" i="1"/>
  <c r="I2252" i="1"/>
  <c r="I2251" i="1"/>
  <c r="I2250" i="1"/>
  <c r="I2249" i="1"/>
  <c r="I2248" i="1"/>
  <c r="I2247" i="1"/>
  <c r="I2246" i="1"/>
  <c r="I2245" i="1"/>
  <c r="I2244" i="1"/>
  <c r="I2243" i="1"/>
  <c r="I2242" i="1"/>
  <c r="I2241" i="1"/>
  <c r="I2240" i="1"/>
  <c r="I2239" i="1"/>
  <c r="I2238" i="1"/>
  <c r="I2237" i="1"/>
  <c r="I2236" i="1"/>
  <c r="I2235" i="1"/>
  <c r="I2234" i="1"/>
  <c r="I2233" i="1"/>
  <c r="I2232" i="1"/>
  <c r="I2231" i="1"/>
  <c r="I2230" i="1"/>
  <c r="I2229" i="1"/>
  <c r="I2228" i="1"/>
  <c r="I2227" i="1"/>
  <c r="I2226" i="1"/>
  <c r="I2225" i="1"/>
  <c r="I2224" i="1"/>
  <c r="I2223" i="1"/>
  <c r="I2222" i="1"/>
  <c r="I2221" i="1"/>
  <c r="I2220" i="1"/>
  <c r="I2219" i="1"/>
  <c r="I2218" i="1"/>
  <c r="I2217" i="1"/>
  <c r="I2216" i="1"/>
  <c r="I2215" i="1"/>
  <c r="I2214" i="1"/>
  <c r="I2213" i="1"/>
  <c r="I2212" i="1"/>
  <c r="I2211" i="1"/>
  <c r="I2210" i="1"/>
  <c r="I2209" i="1"/>
  <c r="I2208" i="1"/>
  <c r="I2207" i="1"/>
  <c r="I2206" i="1"/>
  <c r="I2205" i="1"/>
  <c r="I2204" i="1"/>
  <c r="I2203" i="1"/>
  <c r="I2202" i="1"/>
  <c r="I2201" i="1"/>
  <c r="I2200" i="1"/>
  <c r="I2199" i="1"/>
  <c r="I2198" i="1"/>
  <c r="I2197" i="1"/>
  <c r="I2196" i="1"/>
  <c r="I2195" i="1"/>
  <c r="I2194" i="1"/>
  <c r="I2193" i="1"/>
  <c r="I2192" i="1"/>
  <c r="I2191" i="1"/>
  <c r="I2190" i="1"/>
  <c r="I2189" i="1"/>
  <c r="I2188" i="1"/>
  <c r="I2187" i="1"/>
  <c r="I2186" i="1"/>
  <c r="I2185" i="1"/>
  <c r="I2184" i="1"/>
  <c r="I2183" i="1"/>
  <c r="I2182" i="1"/>
  <c r="I2181" i="1"/>
  <c r="I2180" i="1"/>
  <c r="I2179" i="1"/>
  <c r="I2178" i="1"/>
  <c r="I2177" i="1"/>
  <c r="I2176" i="1"/>
  <c r="I2175" i="1"/>
  <c r="I2174" i="1"/>
  <c r="I2173" i="1"/>
  <c r="I2172" i="1"/>
  <c r="I2171" i="1"/>
  <c r="I2170" i="1"/>
  <c r="I2169" i="1"/>
  <c r="I2168" i="1"/>
  <c r="I2167" i="1"/>
  <c r="I2166" i="1"/>
  <c r="I2165" i="1"/>
  <c r="I2164" i="1"/>
  <c r="I2163" i="1"/>
  <c r="I2162" i="1"/>
  <c r="I2161" i="1"/>
  <c r="I2160" i="1"/>
  <c r="I2159" i="1"/>
  <c r="I2158" i="1"/>
  <c r="I2157" i="1"/>
  <c r="I2156" i="1"/>
  <c r="I2155" i="1"/>
  <c r="I2154" i="1"/>
  <c r="I2153" i="1"/>
  <c r="I2152" i="1"/>
  <c r="I2151" i="1"/>
  <c r="I2150" i="1"/>
  <c r="I2149" i="1"/>
  <c r="I2148" i="1"/>
  <c r="I2147" i="1"/>
  <c r="I2146" i="1"/>
  <c r="I2145" i="1"/>
  <c r="I2144" i="1"/>
  <c r="I2143" i="1"/>
  <c r="I2142" i="1"/>
  <c r="I2141" i="1"/>
  <c r="I2140" i="1"/>
  <c r="I2139" i="1"/>
  <c r="I2138" i="1"/>
  <c r="I2137" i="1"/>
  <c r="I2136" i="1"/>
  <c r="I2135" i="1"/>
  <c r="I2134" i="1"/>
  <c r="I2133" i="1"/>
  <c r="I2132" i="1"/>
  <c r="I2131" i="1"/>
  <c r="I2130" i="1"/>
  <c r="I2129" i="1"/>
  <c r="I2128" i="1"/>
  <c r="I2127" i="1"/>
  <c r="I2126" i="1"/>
  <c r="I2125" i="1"/>
  <c r="I2124" i="1"/>
  <c r="I2123" i="1"/>
  <c r="I2122" i="1"/>
  <c r="I2121" i="1"/>
  <c r="I2120" i="1"/>
  <c r="I2119" i="1"/>
  <c r="I2118" i="1"/>
  <c r="I2117" i="1"/>
  <c r="I2116" i="1"/>
  <c r="I2115" i="1"/>
  <c r="I2114" i="1"/>
  <c r="I2113" i="1"/>
  <c r="I2112" i="1"/>
  <c r="I2111" i="1"/>
  <c r="I2110" i="1"/>
  <c r="I2109" i="1"/>
  <c r="I2108" i="1"/>
  <c r="I2107" i="1"/>
  <c r="I2106" i="1"/>
  <c r="I2105" i="1"/>
  <c r="I2104" i="1"/>
  <c r="I2103" i="1"/>
  <c r="I2102" i="1"/>
  <c r="I2101" i="1"/>
  <c r="I2100" i="1"/>
  <c r="I2099" i="1"/>
  <c r="I2098" i="1"/>
  <c r="I2097" i="1"/>
  <c r="I2096" i="1"/>
  <c r="I2095" i="1"/>
  <c r="I2094" i="1"/>
  <c r="I2093" i="1"/>
  <c r="I2092" i="1"/>
  <c r="I2091" i="1"/>
  <c r="I2090" i="1"/>
  <c r="I2089" i="1"/>
  <c r="I2088" i="1"/>
  <c r="I2087" i="1"/>
  <c r="I2086" i="1"/>
  <c r="I2085" i="1"/>
  <c r="I2084" i="1"/>
  <c r="I2083" i="1"/>
  <c r="I2082" i="1"/>
  <c r="I2081" i="1"/>
  <c r="I2080" i="1"/>
  <c r="I2079" i="1"/>
  <c r="I2078" i="1"/>
  <c r="I2077" i="1"/>
  <c r="I2076" i="1"/>
  <c r="I2075" i="1"/>
  <c r="I2074" i="1"/>
  <c r="I2073" i="1"/>
  <c r="I2072" i="1"/>
  <c r="I2071" i="1"/>
  <c r="I2070" i="1"/>
  <c r="I2069" i="1"/>
  <c r="I2068" i="1"/>
  <c r="I2067" i="1"/>
  <c r="I2066" i="1"/>
  <c r="I2065" i="1"/>
  <c r="I2064" i="1"/>
  <c r="I2063" i="1"/>
  <c r="I2062" i="1"/>
  <c r="I2061" i="1"/>
  <c r="I2060" i="1"/>
  <c r="I2059" i="1"/>
  <c r="I2058" i="1"/>
  <c r="I2057" i="1"/>
  <c r="I2056" i="1"/>
  <c r="I2055" i="1"/>
  <c r="I2054" i="1"/>
  <c r="I2053" i="1"/>
  <c r="I2052" i="1"/>
  <c r="I2051" i="1"/>
  <c r="I2050" i="1"/>
  <c r="I2049" i="1"/>
  <c r="I2048" i="1"/>
  <c r="I2047" i="1"/>
  <c r="I2046" i="1"/>
  <c r="I2045" i="1"/>
  <c r="I2044" i="1"/>
  <c r="I2043" i="1"/>
  <c r="I2042" i="1"/>
  <c r="I2041" i="1"/>
  <c r="I2040" i="1"/>
  <c r="I2039" i="1"/>
  <c r="I2038" i="1"/>
  <c r="I2037" i="1"/>
  <c r="I2036" i="1"/>
  <c r="I2035" i="1"/>
  <c r="I2034" i="1"/>
  <c r="I2033" i="1"/>
  <c r="I2032" i="1"/>
  <c r="I2031" i="1"/>
  <c r="I2030" i="1"/>
  <c r="I2029" i="1"/>
  <c r="I2028" i="1"/>
  <c r="I2027" i="1"/>
  <c r="I2026" i="1"/>
  <c r="I2025" i="1"/>
  <c r="I2024" i="1"/>
  <c r="I2023" i="1"/>
  <c r="I2022" i="1"/>
  <c r="I2021" i="1"/>
  <c r="I2020" i="1"/>
  <c r="I2019" i="1"/>
  <c r="I2018" i="1"/>
  <c r="I2017" i="1"/>
  <c r="I2016" i="1"/>
  <c r="I2015" i="1"/>
  <c r="I2014" i="1"/>
  <c r="I2013" i="1"/>
  <c r="I2012" i="1"/>
  <c r="I2011" i="1"/>
  <c r="I2010" i="1"/>
  <c r="I2009" i="1"/>
  <c r="I2008" i="1"/>
  <c r="I2007" i="1"/>
  <c r="I2006" i="1"/>
  <c r="I2005" i="1"/>
  <c r="I2004" i="1"/>
  <c r="I2003" i="1"/>
  <c r="I2002" i="1"/>
  <c r="I2001" i="1"/>
  <c r="I2000" i="1"/>
  <c r="I1999" i="1"/>
  <c r="I1998" i="1"/>
  <c r="I1997" i="1"/>
  <c r="I1996" i="1"/>
  <c r="I1995" i="1"/>
  <c r="I1994" i="1"/>
  <c r="I1993" i="1"/>
  <c r="I1992" i="1"/>
  <c r="I1991" i="1"/>
  <c r="I1990" i="1"/>
  <c r="I1989" i="1"/>
  <c r="I1988" i="1"/>
  <c r="I1987" i="1"/>
  <c r="I1986" i="1"/>
  <c r="I1985" i="1"/>
  <c r="I1984" i="1"/>
  <c r="I1983" i="1"/>
  <c r="I1982" i="1"/>
  <c r="I1981" i="1"/>
  <c r="I1980" i="1"/>
  <c r="I1979" i="1"/>
  <c r="I1978" i="1"/>
  <c r="I1977" i="1"/>
  <c r="I1976" i="1"/>
  <c r="I1975" i="1"/>
  <c r="I1974" i="1"/>
  <c r="I1973" i="1"/>
  <c r="I1972" i="1"/>
  <c r="I1971" i="1"/>
  <c r="I1970" i="1"/>
  <c r="I1969" i="1"/>
  <c r="I1968" i="1"/>
  <c r="I1967" i="1"/>
  <c r="I1966" i="1"/>
  <c r="I1965" i="1"/>
  <c r="I1964" i="1"/>
  <c r="I1963" i="1"/>
  <c r="I1962" i="1"/>
  <c r="I1961" i="1"/>
  <c r="I1960" i="1"/>
  <c r="I1959" i="1"/>
  <c r="I1958" i="1"/>
  <c r="I1957" i="1"/>
  <c r="I1956" i="1"/>
  <c r="I1955" i="1"/>
  <c r="I1954" i="1"/>
  <c r="I1953" i="1"/>
  <c r="I1952" i="1"/>
  <c r="I1951" i="1"/>
  <c r="I1950" i="1"/>
  <c r="I1949" i="1"/>
  <c r="I1948" i="1"/>
  <c r="I1947" i="1"/>
  <c r="I1946" i="1"/>
  <c r="I1945" i="1"/>
  <c r="I1944" i="1"/>
  <c r="I1943" i="1"/>
  <c r="I1942" i="1"/>
  <c r="I1941" i="1"/>
  <c r="I1940" i="1"/>
  <c r="I1939" i="1"/>
  <c r="I1938" i="1"/>
  <c r="I1937" i="1"/>
  <c r="I1936" i="1"/>
  <c r="I1935" i="1"/>
  <c r="I1934" i="1"/>
  <c r="I1933" i="1"/>
  <c r="I1932" i="1"/>
  <c r="I1931" i="1"/>
  <c r="I1930" i="1"/>
  <c r="I1929" i="1"/>
  <c r="I1928" i="1"/>
  <c r="I1927" i="1"/>
  <c r="I1926" i="1"/>
  <c r="I1925" i="1"/>
  <c r="I1924" i="1"/>
  <c r="I1923" i="1"/>
  <c r="I1922" i="1"/>
  <c r="I1921" i="1"/>
  <c r="I1920" i="1"/>
  <c r="I1919" i="1"/>
  <c r="I1918" i="1"/>
  <c r="I1917" i="1"/>
  <c r="I1916" i="1"/>
  <c r="I1915" i="1"/>
  <c r="I1914" i="1"/>
  <c r="I1913" i="1"/>
  <c r="I1912" i="1"/>
  <c r="I1911" i="1"/>
  <c r="I1910" i="1"/>
  <c r="I1909" i="1"/>
  <c r="I1908" i="1"/>
  <c r="I1907" i="1"/>
  <c r="I1906" i="1"/>
  <c r="I1905" i="1"/>
  <c r="I1904" i="1"/>
  <c r="I1903" i="1"/>
  <c r="I1902" i="1"/>
  <c r="I1901" i="1"/>
  <c r="I1900" i="1"/>
  <c r="I1899" i="1"/>
  <c r="I1898" i="1"/>
  <c r="I1897" i="1"/>
  <c r="I1896" i="1"/>
  <c r="I1895" i="1"/>
  <c r="I1894" i="1"/>
  <c r="I1893" i="1"/>
  <c r="I1892" i="1"/>
  <c r="I1891" i="1"/>
  <c r="I1890" i="1"/>
  <c r="I1889" i="1"/>
  <c r="I1888" i="1"/>
  <c r="I1887" i="1"/>
  <c r="I1886" i="1"/>
  <c r="I1885" i="1"/>
  <c r="I1884" i="1"/>
  <c r="I1883" i="1"/>
  <c r="I1882" i="1"/>
  <c r="I1881" i="1"/>
  <c r="I1880" i="1"/>
  <c r="I1879" i="1"/>
  <c r="I1878" i="1"/>
  <c r="I1877" i="1"/>
  <c r="I1876" i="1"/>
  <c r="I1875" i="1"/>
  <c r="I1874" i="1"/>
  <c r="I1873" i="1"/>
  <c r="I1872" i="1"/>
  <c r="I1871" i="1"/>
  <c r="I1870" i="1"/>
  <c r="I1869" i="1"/>
  <c r="I1868" i="1"/>
  <c r="I1867" i="1"/>
  <c r="I1866" i="1"/>
  <c r="I1865" i="1"/>
  <c r="I1864" i="1"/>
  <c r="I1863" i="1"/>
  <c r="I1862" i="1"/>
  <c r="I1861" i="1"/>
  <c r="I1860" i="1"/>
  <c r="I1859" i="1"/>
  <c r="I1858" i="1"/>
  <c r="I1857" i="1"/>
  <c r="I1856" i="1"/>
  <c r="I1855" i="1"/>
  <c r="I1854" i="1"/>
  <c r="I1853" i="1"/>
  <c r="I1852" i="1"/>
  <c r="I1851" i="1"/>
  <c r="I1850" i="1"/>
  <c r="I1849" i="1"/>
  <c r="I1848" i="1"/>
  <c r="I1847" i="1"/>
  <c r="I1846" i="1"/>
  <c r="I1845" i="1"/>
  <c r="I1844" i="1"/>
  <c r="I1843" i="1"/>
  <c r="I1842" i="1"/>
  <c r="I1841" i="1"/>
  <c r="I1840" i="1"/>
  <c r="I1839" i="1"/>
  <c r="I1838" i="1"/>
  <c r="I1837" i="1"/>
  <c r="I1836" i="1"/>
  <c r="I1835" i="1"/>
  <c r="I1834" i="1"/>
  <c r="I1833" i="1"/>
  <c r="I1832" i="1"/>
  <c r="I1831" i="1"/>
  <c r="I1830" i="1"/>
  <c r="I1829" i="1"/>
  <c r="I1828" i="1"/>
  <c r="I1827" i="1"/>
  <c r="I1826" i="1"/>
  <c r="I1825" i="1"/>
  <c r="I1824" i="1"/>
  <c r="I1823" i="1"/>
  <c r="I1822" i="1"/>
  <c r="I1821" i="1"/>
  <c r="I1820" i="1"/>
  <c r="I1819" i="1"/>
  <c r="I1818" i="1"/>
  <c r="I1817" i="1"/>
  <c r="I1816" i="1"/>
  <c r="I1815" i="1"/>
  <c r="I1814" i="1"/>
  <c r="I1813" i="1"/>
  <c r="I1812" i="1"/>
  <c r="I1811" i="1"/>
  <c r="I1810" i="1"/>
  <c r="I1809" i="1"/>
  <c r="I1808" i="1"/>
  <c r="I1807" i="1"/>
  <c r="I1806" i="1"/>
  <c r="I1805" i="1"/>
  <c r="I1804" i="1"/>
  <c r="I1803" i="1"/>
  <c r="I1802" i="1"/>
  <c r="I1801" i="1"/>
  <c r="I1800" i="1"/>
  <c r="I1799" i="1"/>
  <c r="I1798" i="1"/>
  <c r="I1797" i="1"/>
  <c r="I1796" i="1"/>
  <c r="I1795" i="1"/>
  <c r="I1794" i="1"/>
  <c r="I1793" i="1"/>
  <c r="I1792" i="1"/>
  <c r="I1791" i="1"/>
  <c r="I1790" i="1"/>
  <c r="I1789" i="1"/>
  <c r="I1788" i="1"/>
  <c r="I1787" i="1"/>
  <c r="I1786" i="1"/>
  <c r="I1785" i="1"/>
  <c r="I1784" i="1"/>
  <c r="I1783" i="1"/>
  <c r="I1782" i="1"/>
  <c r="I1781" i="1"/>
  <c r="I1780" i="1"/>
  <c r="I1779" i="1"/>
  <c r="I1778" i="1"/>
  <c r="I1777" i="1"/>
  <c r="I1776" i="1"/>
  <c r="I1775" i="1"/>
  <c r="I1774" i="1"/>
  <c r="I1773" i="1"/>
  <c r="I1772" i="1"/>
  <c r="I1771" i="1"/>
  <c r="I1770" i="1"/>
  <c r="I1769" i="1"/>
  <c r="I1768" i="1"/>
  <c r="I1767" i="1"/>
  <c r="I1766" i="1"/>
  <c r="I1765" i="1"/>
  <c r="I1764" i="1"/>
  <c r="I1763" i="1"/>
  <c r="I1762" i="1"/>
  <c r="I1761" i="1"/>
  <c r="I1760" i="1"/>
  <c r="I1759" i="1"/>
  <c r="I1758" i="1"/>
  <c r="I1757" i="1"/>
  <c r="I1756" i="1"/>
  <c r="I1755" i="1"/>
  <c r="I1754" i="1"/>
  <c r="I1753" i="1"/>
  <c r="I1752" i="1"/>
  <c r="I1751" i="1"/>
  <c r="I1750" i="1"/>
  <c r="I1749" i="1"/>
  <c r="I1748" i="1"/>
  <c r="I1747" i="1"/>
  <c r="I1746" i="1"/>
  <c r="I1745" i="1"/>
  <c r="I1744" i="1"/>
  <c r="I1743" i="1"/>
  <c r="I1742" i="1"/>
  <c r="I1741" i="1"/>
  <c r="I1740" i="1"/>
  <c r="I1739" i="1"/>
  <c r="I1738" i="1"/>
  <c r="I1737" i="1"/>
  <c r="I1736" i="1"/>
  <c r="I1735" i="1"/>
  <c r="I1734" i="1"/>
  <c r="I1733" i="1"/>
  <c r="I1732" i="1"/>
  <c r="I1731" i="1"/>
  <c r="I1730" i="1"/>
  <c r="I1729" i="1"/>
  <c r="I1728" i="1"/>
  <c r="I1727" i="1"/>
  <c r="I1726" i="1"/>
  <c r="I1725" i="1"/>
  <c r="I1724" i="1"/>
  <c r="I1723" i="1"/>
  <c r="I1722" i="1"/>
  <c r="I1721" i="1"/>
  <c r="I1720" i="1"/>
  <c r="I1719" i="1"/>
  <c r="I1718" i="1"/>
  <c r="I1717" i="1"/>
  <c r="I1716" i="1"/>
  <c r="I1715" i="1"/>
  <c r="I1714" i="1"/>
  <c r="I1713" i="1"/>
  <c r="I1712" i="1"/>
  <c r="I1711" i="1"/>
  <c r="I1710" i="1"/>
  <c r="I1709" i="1"/>
  <c r="I1708" i="1"/>
  <c r="I1707" i="1"/>
  <c r="I1706" i="1"/>
  <c r="I1705" i="1"/>
  <c r="I1704" i="1"/>
  <c r="I1703" i="1"/>
  <c r="I1702" i="1"/>
  <c r="I1701" i="1"/>
  <c r="I1700" i="1"/>
  <c r="I1699" i="1"/>
  <c r="I1698" i="1"/>
  <c r="I1697" i="1"/>
  <c r="I1696" i="1"/>
  <c r="I1695" i="1"/>
  <c r="I1694" i="1"/>
  <c r="I1693" i="1"/>
  <c r="I1692" i="1"/>
  <c r="I1691" i="1"/>
  <c r="I1690" i="1"/>
  <c r="I1689" i="1"/>
  <c r="I1688" i="1"/>
  <c r="I1687" i="1"/>
  <c r="I1686" i="1"/>
  <c r="I1685" i="1"/>
  <c r="I1684" i="1"/>
  <c r="I1683" i="1"/>
  <c r="I1682" i="1"/>
  <c r="I1681" i="1"/>
  <c r="I1680" i="1"/>
  <c r="I1679" i="1"/>
  <c r="I1678" i="1"/>
  <c r="I1677" i="1"/>
  <c r="I1676" i="1"/>
  <c r="I1675" i="1"/>
  <c r="I1674" i="1"/>
  <c r="I1673" i="1"/>
  <c r="I1672" i="1"/>
  <c r="I1671" i="1"/>
  <c r="I1670" i="1"/>
  <c r="I1669" i="1"/>
  <c r="I1668" i="1"/>
  <c r="I1667" i="1"/>
  <c r="I1666" i="1"/>
  <c r="I1665" i="1"/>
  <c r="I1664" i="1"/>
  <c r="I1663" i="1"/>
  <c r="I1662" i="1"/>
  <c r="I1661" i="1"/>
  <c r="I1660" i="1"/>
  <c r="I1659" i="1"/>
  <c r="I1658" i="1"/>
  <c r="I1657" i="1"/>
  <c r="I1656" i="1"/>
  <c r="I1655" i="1"/>
  <c r="I1654" i="1"/>
  <c r="I1653" i="1"/>
  <c r="I1652" i="1"/>
  <c r="I1651" i="1"/>
  <c r="I1650" i="1"/>
  <c r="I1649" i="1"/>
  <c r="I1648" i="1"/>
  <c r="I1647" i="1"/>
  <c r="I1646" i="1"/>
  <c r="I1645" i="1"/>
  <c r="I1644" i="1"/>
  <c r="I1643" i="1"/>
  <c r="I1642" i="1"/>
  <c r="I1641" i="1"/>
  <c r="I1640" i="1"/>
  <c r="I1639" i="1"/>
  <c r="I1638" i="1"/>
  <c r="I1637" i="1"/>
  <c r="I1636" i="1"/>
  <c r="I1635" i="1"/>
  <c r="I1634" i="1"/>
  <c r="I1633" i="1"/>
  <c r="I1632" i="1"/>
  <c r="I1631" i="1"/>
  <c r="I1630" i="1"/>
  <c r="I1629" i="1"/>
  <c r="I1628" i="1"/>
  <c r="I1627" i="1"/>
  <c r="I1626" i="1"/>
  <c r="I1625" i="1"/>
  <c r="I1624" i="1"/>
  <c r="I1623" i="1"/>
  <c r="I1622" i="1"/>
  <c r="I1621" i="1"/>
  <c r="I1620" i="1"/>
  <c r="I1619" i="1"/>
  <c r="I1618" i="1"/>
  <c r="I1617" i="1"/>
  <c r="I1616" i="1"/>
  <c r="I1615" i="1"/>
  <c r="I1614" i="1"/>
  <c r="I1613" i="1"/>
  <c r="I1612" i="1"/>
  <c r="I1611" i="1"/>
  <c r="I1610" i="1"/>
  <c r="I1609" i="1"/>
  <c r="I1608" i="1"/>
  <c r="I1607" i="1"/>
  <c r="I1606" i="1"/>
  <c r="I1605" i="1"/>
  <c r="I1604" i="1"/>
  <c r="I1603" i="1"/>
  <c r="I1602" i="1"/>
  <c r="I1601" i="1"/>
  <c r="I1600" i="1"/>
  <c r="I1599" i="1"/>
  <c r="I1598" i="1"/>
  <c r="I1597" i="1"/>
  <c r="I1596" i="1"/>
  <c r="I1595" i="1"/>
  <c r="I1594" i="1"/>
  <c r="I1593" i="1"/>
  <c r="I1592" i="1"/>
  <c r="I1591" i="1"/>
  <c r="I1590" i="1"/>
  <c r="I1589" i="1"/>
  <c r="I1588" i="1"/>
  <c r="I1587" i="1"/>
  <c r="I1586" i="1"/>
  <c r="I1585" i="1"/>
  <c r="I1584" i="1"/>
  <c r="I1583" i="1"/>
  <c r="I1582" i="1"/>
  <c r="I1581" i="1"/>
  <c r="I1580" i="1"/>
  <c r="I1579" i="1"/>
  <c r="I1578" i="1"/>
  <c r="I1577" i="1"/>
  <c r="I1576" i="1"/>
  <c r="I1575" i="1"/>
  <c r="I1574" i="1"/>
  <c r="I1573" i="1"/>
  <c r="I1572" i="1"/>
  <c r="I1571" i="1"/>
  <c r="I1570" i="1"/>
  <c r="I1569" i="1"/>
  <c r="I1568" i="1"/>
  <c r="I1567" i="1"/>
  <c r="I1566" i="1"/>
  <c r="I1565" i="1"/>
  <c r="I1564" i="1"/>
  <c r="I1563" i="1"/>
  <c r="I1562" i="1"/>
  <c r="I1561" i="1"/>
  <c r="I1560" i="1"/>
  <c r="I1559" i="1"/>
  <c r="I1558" i="1"/>
  <c r="I1557" i="1"/>
  <c r="I1556" i="1"/>
  <c r="I1555" i="1"/>
  <c r="I1554" i="1"/>
  <c r="I1553" i="1"/>
  <c r="I1552" i="1"/>
  <c r="I1551" i="1"/>
  <c r="I1550" i="1"/>
  <c r="I1549" i="1"/>
  <c r="I1548" i="1"/>
  <c r="I1547" i="1"/>
  <c r="I1546" i="1"/>
  <c r="I1545" i="1"/>
  <c r="I1544" i="1"/>
  <c r="I1543" i="1"/>
  <c r="I1542" i="1"/>
  <c r="I1541" i="1"/>
  <c r="I1540" i="1"/>
  <c r="I1539" i="1"/>
  <c r="I1538" i="1"/>
  <c r="I1537" i="1"/>
  <c r="I1536" i="1"/>
  <c r="I1535" i="1"/>
  <c r="I1534" i="1"/>
  <c r="I1533" i="1"/>
  <c r="I1532" i="1"/>
  <c r="I1531" i="1"/>
  <c r="I1530" i="1"/>
  <c r="I1529" i="1"/>
  <c r="I1528" i="1"/>
  <c r="I1527" i="1"/>
  <c r="I1526" i="1"/>
  <c r="I1525" i="1"/>
  <c r="I1524" i="1"/>
  <c r="I1523" i="1"/>
  <c r="I1522" i="1"/>
  <c r="I1521" i="1"/>
  <c r="I1520" i="1"/>
  <c r="I1519" i="1"/>
  <c r="I1518" i="1"/>
  <c r="I1517" i="1"/>
  <c r="I1516" i="1"/>
  <c r="I1515" i="1"/>
  <c r="I1514" i="1"/>
  <c r="I1513" i="1"/>
  <c r="I1512" i="1"/>
  <c r="I1511" i="1"/>
  <c r="I1510" i="1"/>
  <c r="I1509" i="1"/>
  <c r="I1508" i="1"/>
  <c r="I1507" i="1"/>
  <c r="I1506" i="1"/>
  <c r="I1505" i="1"/>
  <c r="I1504" i="1"/>
  <c r="I1503" i="1"/>
  <c r="I1502" i="1"/>
  <c r="I1501" i="1"/>
  <c r="I1500" i="1"/>
  <c r="I1499" i="1"/>
  <c r="I1498" i="1"/>
  <c r="I1497" i="1"/>
  <c r="I1496" i="1"/>
  <c r="I1495" i="1"/>
  <c r="I1494" i="1"/>
  <c r="I1493" i="1"/>
  <c r="I1492" i="1"/>
  <c r="I1491" i="1"/>
  <c r="I1490" i="1"/>
  <c r="I1489" i="1"/>
  <c r="I1488" i="1"/>
  <c r="I1487" i="1"/>
  <c r="I1486" i="1"/>
  <c r="I1485" i="1"/>
  <c r="I1484" i="1"/>
  <c r="I1483" i="1"/>
  <c r="I1482" i="1"/>
  <c r="I1481" i="1"/>
  <c r="I1480" i="1"/>
  <c r="I1479" i="1"/>
  <c r="I1478" i="1"/>
  <c r="I1477" i="1"/>
  <c r="I1476" i="1"/>
  <c r="I1475" i="1"/>
  <c r="I1474" i="1"/>
  <c r="I1473" i="1"/>
  <c r="I1472" i="1"/>
  <c r="I1471" i="1"/>
  <c r="I1470" i="1"/>
  <c r="I1469" i="1"/>
  <c r="I1468" i="1"/>
  <c r="I1467" i="1"/>
  <c r="I1466" i="1"/>
  <c r="I1465" i="1"/>
  <c r="I1464" i="1"/>
  <c r="I1463" i="1"/>
  <c r="I1462" i="1"/>
  <c r="I1461" i="1"/>
  <c r="I1460" i="1"/>
  <c r="I1459" i="1"/>
  <c r="I1458" i="1"/>
  <c r="I1457" i="1"/>
  <c r="I1456" i="1"/>
  <c r="I1455" i="1"/>
  <c r="I1454" i="1"/>
  <c r="I1453" i="1"/>
  <c r="I1452" i="1"/>
  <c r="I1451" i="1"/>
  <c r="I1450" i="1"/>
  <c r="I1449" i="1"/>
  <c r="I1448" i="1"/>
  <c r="I1447" i="1"/>
  <c r="I1446" i="1"/>
  <c r="I1445" i="1"/>
  <c r="I1444" i="1"/>
  <c r="I1443" i="1"/>
  <c r="I1442" i="1"/>
  <c r="I1441" i="1"/>
  <c r="I1440" i="1"/>
  <c r="I1439" i="1"/>
  <c r="I1438" i="1"/>
  <c r="I1437" i="1"/>
  <c r="I1436" i="1"/>
  <c r="I1435" i="1"/>
  <c r="I1434" i="1"/>
  <c r="I1433" i="1"/>
  <c r="I1432" i="1"/>
  <c r="I1431" i="1"/>
  <c r="I1430" i="1"/>
  <c r="I1429" i="1"/>
  <c r="I1428" i="1"/>
  <c r="I1427" i="1"/>
  <c r="I1426" i="1"/>
  <c r="I1425" i="1"/>
  <c r="I1424" i="1"/>
  <c r="I1423" i="1"/>
  <c r="I1422" i="1"/>
  <c r="I1421" i="1"/>
  <c r="I1420" i="1"/>
  <c r="I1419" i="1"/>
  <c r="I1418" i="1"/>
  <c r="I1417" i="1"/>
  <c r="I1416" i="1"/>
  <c r="I1415" i="1"/>
  <c r="I1414" i="1"/>
  <c r="I1413" i="1"/>
  <c r="I1412" i="1"/>
  <c r="I1411" i="1"/>
  <c r="I1410" i="1"/>
  <c r="I1409" i="1"/>
  <c r="I1408" i="1"/>
  <c r="I1407" i="1"/>
  <c r="I1406" i="1"/>
  <c r="I1405" i="1"/>
  <c r="I1404" i="1"/>
  <c r="I1403" i="1"/>
  <c r="I1402" i="1"/>
  <c r="I1401" i="1"/>
  <c r="I1400" i="1"/>
  <c r="I1399" i="1"/>
  <c r="I1398" i="1"/>
  <c r="I1397" i="1"/>
  <c r="I1396" i="1"/>
  <c r="I1395" i="1"/>
  <c r="I1394" i="1"/>
  <c r="I1393" i="1"/>
  <c r="I1392" i="1"/>
  <c r="I1391" i="1"/>
  <c r="I1390" i="1"/>
  <c r="I1389" i="1"/>
  <c r="I1388" i="1"/>
  <c r="I1387" i="1"/>
  <c r="I1386" i="1"/>
  <c r="I1385" i="1"/>
  <c r="I1384" i="1"/>
  <c r="I1383" i="1"/>
  <c r="I1382" i="1"/>
  <c r="I1381" i="1"/>
  <c r="I1380" i="1"/>
  <c r="I1379" i="1"/>
  <c r="I1378" i="1"/>
  <c r="I1377" i="1"/>
  <c r="I1376" i="1"/>
  <c r="I1375" i="1"/>
  <c r="I1374" i="1"/>
  <c r="I1373" i="1"/>
  <c r="I1372" i="1"/>
  <c r="I1371" i="1"/>
  <c r="I1370" i="1"/>
  <c r="I1369" i="1"/>
  <c r="I1368" i="1"/>
  <c r="I1367" i="1"/>
  <c r="I1366" i="1"/>
  <c r="I1365" i="1"/>
  <c r="I1364" i="1"/>
  <c r="I1363" i="1"/>
  <c r="I1362" i="1"/>
  <c r="I1361" i="1"/>
  <c r="I1360" i="1"/>
  <c r="I1359" i="1"/>
  <c r="I1358" i="1"/>
  <c r="I1357" i="1"/>
  <c r="I1356" i="1"/>
  <c r="I1355" i="1"/>
  <c r="I1354" i="1"/>
  <c r="I1353" i="1"/>
  <c r="I1352" i="1"/>
  <c r="I1351" i="1"/>
  <c r="I1350" i="1"/>
  <c r="I1349" i="1"/>
  <c r="I1348" i="1"/>
  <c r="I1347" i="1"/>
  <c r="I1346" i="1"/>
  <c r="I1345" i="1"/>
  <c r="I1344" i="1"/>
  <c r="I1343" i="1"/>
  <c r="I1342" i="1"/>
  <c r="I1341" i="1"/>
  <c r="I1340" i="1"/>
  <c r="I1339" i="1"/>
  <c r="I1338" i="1"/>
  <c r="I1337" i="1"/>
  <c r="I1336" i="1"/>
  <c r="I1335" i="1"/>
  <c r="I1334" i="1"/>
  <c r="I1333" i="1"/>
  <c r="I1332" i="1"/>
  <c r="I1331" i="1"/>
  <c r="I1330" i="1"/>
  <c r="I1329" i="1"/>
  <c r="I1328" i="1"/>
  <c r="I1327" i="1"/>
  <c r="I1326" i="1"/>
  <c r="I1325" i="1"/>
  <c r="I1324" i="1"/>
  <c r="I1323" i="1"/>
  <c r="I1322" i="1"/>
  <c r="I1321" i="1"/>
  <c r="I1320" i="1"/>
  <c r="I1319" i="1"/>
  <c r="I1318" i="1"/>
  <c r="I1317" i="1"/>
  <c r="I1316" i="1"/>
  <c r="I1315" i="1"/>
  <c r="I1314" i="1"/>
  <c r="I1313" i="1"/>
  <c r="I1312" i="1"/>
  <c r="I1311" i="1"/>
  <c r="I1310" i="1"/>
  <c r="I1309" i="1"/>
  <c r="I1308" i="1"/>
  <c r="I1307" i="1"/>
  <c r="I1306" i="1"/>
  <c r="I1305" i="1"/>
  <c r="I1304" i="1"/>
  <c r="I1303" i="1"/>
  <c r="I1302" i="1"/>
  <c r="I1301" i="1"/>
  <c r="I1300" i="1"/>
  <c r="I1299" i="1"/>
  <c r="I1298" i="1"/>
  <c r="I1297" i="1"/>
  <c r="I1296" i="1"/>
  <c r="I1295" i="1"/>
  <c r="I1294" i="1"/>
  <c r="I1293" i="1"/>
  <c r="I1292" i="1"/>
  <c r="I1291" i="1"/>
  <c r="I1290" i="1"/>
  <c r="I1289" i="1"/>
  <c r="I1288" i="1"/>
  <c r="I1287" i="1"/>
  <c r="I1286" i="1"/>
  <c r="I1285" i="1"/>
  <c r="I1284" i="1"/>
  <c r="I1283" i="1"/>
  <c r="I1282" i="1"/>
  <c r="I1281" i="1"/>
  <c r="I1280" i="1"/>
  <c r="I1279" i="1"/>
  <c r="I1278" i="1"/>
  <c r="I1277" i="1"/>
  <c r="I1276" i="1"/>
  <c r="I1275" i="1"/>
  <c r="I1274" i="1"/>
  <c r="I1273" i="1"/>
  <c r="I1272" i="1"/>
  <c r="I1271" i="1"/>
  <c r="I1270" i="1"/>
  <c r="I1269" i="1"/>
  <c r="I1268" i="1"/>
  <c r="I1267" i="1"/>
  <c r="I1266" i="1"/>
  <c r="I1265" i="1"/>
  <c r="I1264" i="1"/>
  <c r="I1263" i="1"/>
  <c r="I1262" i="1"/>
  <c r="I1261" i="1"/>
  <c r="I1260" i="1"/>
  <c r="I1259" i="1"/>
  <c r="I1258" i="1"/>
  <c r="I1257" i="1"/>
  <c r="I1256" i="1"/>
  <c r="I1255" i="1"/>
  <c r="I1254" i="1"/>
  <c r="I1253" i="1"/>
  <c r="I1252" i="1"/>
  <c r="I1251" i="1"/>
  <c r="I1250" i="1"/>
  <c r="I1249" i="1"/>
  <c r="I1248" i="1"/>
  <c r="I1247" i="1"/>
  <c r="I1246" i="1"/>
  <c r="I1245" i="1"/>
  <c r="I1244" i="1"/>
  <c r="I1243" i="1"/>
  <c r="I1242" i="1"/>
  <c r="I1241" i="1"/>
  <c r="I1240" i="1"/>
  <c r="I1239" i="1"/>
  <c r="I1238" i="1"/>
  <c r="I1237" i="1"/>
  <c r="I1236" i="1"/>
  <c r="I1235" i="1"/>
  <c r="I1234" i="1"/>
  <c r="I1233" i="1"/>
  <c r="I1232" i="1"/>
  <c r="I1231" i="1"/>
  <c r="I1230" i="1"/>
  <c r="I1229" i="1"/>
  <c r="I1228" i="1"/>
  <c r="I1227" i="1"/>
  <c r="I1226" i="1"/>
  <c r="I1225" i="1"/>
  <c r="I1224" i="1"/>
  <c r="I1223" i="1"/>
  <c r="I1222" i="1"/>
  <c r="I1221" i="1"/>
  <c r="I1220" i="1"/>
  <c r="I1219" i="1"/>
  <c r="I1218" i="1"/>
  <c r="I1217" i="1"/>
  <c r="I1216" i="1"/>
  <c r="I1215" i="1"/>
  <c r="I1214" i="1"/>
  <c r="I1213" i="1"/>
  <c r="I1212" i="1"/>
  <c r="I1211" i="1"/>
  <c r="I1210" i="1"/>
  <c r="I1209" i="1"/>
  <c r="I1208" i="1"/>
  <c r="I1207" i="1"/>
  <c r="I1206" i="1"/>
  <c r="I1205" i="1"/>
  <c r="I1204" i="1"/>
  <c r="I1203" i="1"/>
  <c r="I1202" i="1"/>
  <c r="I1201" i="1"/>
  <c r="I1200" i="1"/>
  <c r="I1199" i="1"/>
  <c r="I1198" i="1"/>
  <c r="I1197" i="1"/>
  <c r="I1196" i="1"/>
  <c r="I1195" i="1"/>
  <c r="I1194" i="1"/>
  <c r="I1193" i="1"/>
  <c r="I1192" i="1"/>
  <c r="I1191" i="1"/>
  <c r="I1190" i="1"/>
  <c r="I1189" i="1"/>
  <c r="I1188" i="1"/>
  <c r="I1187" i="1"/>
  <c r="I1186" i="1"/>
  <c r="I1185" i="1"/>
  <c r="I1184" i="1"/>
  <c r="I1183" i="1"/>
  <c r="I1182" i="1"/>
  <c r="I1181" i="1"/>
  <c r="I1180" i="1"/>
  <c r="I1179" i="1"/>
  <c r="I1178" i="1"/>
  <c r="I1177" i="1"/>
  <c r="I1176" i="1"/>
  <c r="I1175" i="1"/>
  <c r="I1174" i="1"/>
  <c r="I1173" i="1"/>
  <c r="I1172" i="1"/>
  <c r="I1171" i="1"/>
  <c r="I1170" i="1"/>
  <c r="I1169" i="1"/>
  <c r="I1168" i="1"/>
  <c r="I1167" i="1"/>
  <c r="I1166" i="1"/>
  <c r="I1165" i="1"/>
  <c r="I1164" i="1"/>
  <c r="I1163" i="1"/>
  <c r="I1162" i="1"/>
  <c r="I1161" i="1"/>
  <c r="I1160" i="1"/>
  <c r="I1159" i="1"/>
  <c r="I1158" i="1"/>
  <c r="I1157" i="1"/>
  <c r="I1156" i="1"/>
  <c r="I1155" i="1"/>
  <c r="I1154" i="1"/>
  <c r="I1153" i="1"/>
  <c r="I1152" i="1"/>
  <c r="I1151" i="1"/>
  <c r="I1150" i="1"/>
  <c r="I1149" i="1"/>
  <c r="I1148" i="1"/>
  <c r="I1147" i="1"/>
  <c r="I1146" i="1"/>
  <c r="I1145" i="1"/>
  <c r="I1144" i="1"/>
  <c r="I1143" i="1"/>
  <c r="I1142" i="1"/>
  <c r="I1141" i="1"/>
  <c r="I1140" i="1"/>
  <c r="I1139" i="1"/>
  <c r="I1138" i="1"/>
  <c r="I1137" i="1"/>
  <c r="I1136" i="1"/>
  <c r="I1135" i="1"/>
  <c r="I1134" i="1"/>
  <c r="I1133" i="1"/>
  <c r="I1132" i="1"/>
  <c r="I1131" i="1"/>
  <c r="I1130" i="1"/>
  <c r="I1129" i="1"/>
  <c r="I1128" i="1"/>
  <c r="I1127" i="1"/>
  <c r="I1126" i="1"/>
  <c r="I1125" i="1"/>
  <c r="I1124" i="1"/>
  <c r="I1123" i="1"/>
  <c r="I1122" i="1"/>
  <c r="I1121" i="1"/>
  <c r="I1120" i="1"/>
  <c r="I1119" i="1"/>
  <c r="I1118" i="1"/>
  <c r="I1117" i="1"/>
  <c r="I1116" i="1"/>
  <c r="I1115" i="1"/>
  <c r="I1114" i="1"/>
  <c r="I1113" i="1"/>
  <c r="I1112" i="1"/>
  <c r="I1111" i="1"/>
  <c r="I1110" i="1"/>
  <c r="I1109" i="1"/>
  <c r="I1108" i="1"/>
  <c r="I1107" i="1"/>
  <c r="I1106" i="1"/>
  <c r="I1105" i="1"/>
  <c r="I1104" i="1"/>
  <c r="I1103" i="1"/>
  <c r="I1102" i="1"/>
  <c r="I1101" i="1"/>
  <c r="I1100" i="1"/>
  <c r="I1099" i="1"/>
  <c r="I1098" i="1"/>
  <c r="I1097" i="1"/>
  <c r="I1096" i="1"/>
  <c r="I1095" i="1"/>
  <c r="I1094" i="1"/>
  <c r="I1093" i="1"/>
  <c r="I1092" i="1"/>
  <c r="I1091" i="1"/>
  <c r="I1090" i="1"/>
  <c r="I1089" i="1"/>
  <c r="I1088" i="1"/>
  <c r="I1087" i="1"/>
  <c r="I1086" i="1"/>
  <c r="I1085" i="1"/>
  <c r="I1084" i="1"/>
  <c r="I1083" i="1"/>
  <c r="I1082" i="1"/>
  <c r="I1081" i="1"/>
  <c r="I1080" i="1"/>
  <c r="I1079" i="1"/>
  <c r="I1078" i="1"/>
  <c r="I1077" i="1"/>
  <c r="I1076" i="1"/>
  <c r="I1075" i="1"/>
  <c r="I1074" i="1"/>
  <c r="I1073" i="1"/>
  <c r="I1072" i="1"/>
  <c r="I1071" i="1"/>
  <c r="I1070" i="1"/>
  <c r="I1069" i="1"/>
  <c r="I1068" i="1"/>
  <c r="I1067" i="1"/>
  <c r="I1066" i="1"/>
  <c r="I1065" i="1"/>
  <c r="I1064" i="1"/>
  <c r="I1063" i="1"/>
  <c r="I1062" i="1"/>
  <c r="I1061" i="1"/>
  <c r="I1060" i="1"/>
  <c r="I1059" i="1"/>
  <c r="I1058" i="1"/>
  <c r="I1057" i="1"/>
  <c r="I1056" i="1"/>
  <c r="I1055" i="1"/>
  <c r="I1054" i="1"/>
  <c r="I1053" i="1"/>
  <c r="I1052" i="1"/>
  <c r="I1051" i="1"/>
  <c r="I1050" i="1"/>
  <c r="I1049" i="1"/>
  <c r="I1048" i="1"/>
  <c r="I1047" i="1"/>
  <c r="I1046" i="1"/>
  <c r="I1045" i="1"/>
  <c r="I1044" i="1"/>
  <c r="I1043" i="1"/>
  <c r="I1042" i="1"/>
  <c r="I1041" i="1"/>
  <c r="I1040" i="1"/>
  <c r="I1039" i="1"/>
  <c r="I1038" i="1"/>
  <c r="I1037" i="1"/>
  <c r="I1036" i="1"/>
  <c r="I1035" i="1"/>
  <c r="I1034" i="1"/>
  <c r="I1033" i="1"/>
  <c r="I1032" i="1"/>
  <c r="I1031" i="1"/>
  <c r="I1030" i="1"/>
  <c r="I1029" i="1"/>
  <c r="I1028" i="1"/>
  <c r="I1027" i="1"/>
  <c r="I1026" i="1"/>
  <c r="I1025" i="1"/>
  <c r="I1024" i="1"/>
  <c r="I1023" i="1"/>
  <c r="I1022" i="1"/>
  <c r="I1021" i="1"/>
  <c r="I1020" i="1"/>
  <c r="I1019" i="1"/>
  <c r="I1018" i="1"/>
  <c r="I1017" i="1"/>
  <c r="I1016" i="1"/>
  <c r="I1015" i="1"/>
  <c r="I1014" i="1"/>
  <c r="I1013" i="1"/>
  <c r="I1012" i="1"/>
  <c r="I1011" i="1"/>
  <c r="I1010" i="1"/>
  <c r="I1009" i="1"/>
  <c r="I1008" i="1"/>
  <c r="I1007" i="1"/>
  <c r="I1006" i="1"/>
  <c r="I1005" i="1"/>
  <c r="I1004" i="1"/>
  <c r="I1003" i="1"/>
  <c r="I1002" i="1"/>
  <c r="I1001" i="1"/>
  <c r="I1000" i="1"/>
  <c r="I999" i="1"/>
  <c r="I998" i="1"/>
  <c r="I997" i="1"/>
  <c r="I996" i="1"/>
  <c r="I995" i="1"/>
  <c r="I994" i="1"/>
  <c r="I993" i="1"/>
  <c r="I992" i="1"/>
  <c r="I991" i="1"/>
  <c r="I990" i="1"/>
  <c r="I989" i="1"/>
  <c r="I988" i="1"/>
  <c r="I987" i="1"/>
  <c r="I986" i="1"/>
  <c r="I985" i="1"/>
  <c r="I984" i="1"/>
  <c r="I983" i="1"/>
  <c r="I982" i="1"/>
  <c r="I981" i="1"/>
  <c r="I980" i="1"/>
  <c r="I979" i="1"/>
  <c r="I978" i="1"/>
  <c r="I977" i="1"/>
  <c r="I976" i="1"/>
  <c r="I975" i="1"/>
  <c r="I974" i="1"/>
  <c r="I973" i="1"/>
  <c r="I972" i="1"/>
  <c r="I971" i="1"/>
  <c r="I970" i="1"/>
  <c r="I969" i="1"/>
  <c r="I968" i="1"/>
  <c r="I967" i="1"/>
  <c r="I966" i="1"/>
  <c r="I965" i="1"/>
  <c r="I964" i="1"/>
  <c r="I963" i="1"/>
  <c r="I962" i="1"/>
  <c r="I961" i="1"/>
  <c r="I960" i="1"/>
  <c r="I959" i="1"/>
  <c r="I958" i="1"/>
  <c r="I957" i="1"/>
  <c r="I956" i="1"/>
  <c r="I955" i="1"/>
  <c r="I954" i="1"/>
  <c r="I953" i="1"/>
  <c r="I952" i="1"/>
  <c r="I951" i="1"/>
  <c r="I950" i="1"/>
  <c r="I949" i="1"/>
  <c r="I948" i="1"/>
  <c r="I947" i="1"/>
  <c r="I946" i="1"/>
  <c r="I945" i="1"/>
  <c r="I944" i="1"/>
  <c r="I943" i="1"/>
  <c r="I942" i="1"/>
  <c r="I941" i="1"/>
  <c r="I940" i="1"/>
  <c r="I939" i="1"/>
  <c r="I938" i="1"/>
  <c r="I937" i="1"/>
  <c r="I936" i="1"/>
  <c r="I935" i="1"/>
  <c r="I934" i="1"/>
  <c r="I933" i="1"/>
  <c r="I932" i="1"/>
  <c r="I931" i="1"/>
  <c r="I930" i="1"/>
  <c r="I929" i="1"/>
  <c r="I928" i="1"/>
  <c r="I927" i="1"/>
  <c r="I926" i="1"/>
  <c r="I925" i="1"/>
  <c r="I924" i="1"/>
  <c r="I923" i="1"/>
  <c r="I922" i="1"/>
  <c r="I921" i="1"/>
  <c r="I920" i="1"/>
  <c r="I919" i="1"/>
  <c r="I918" i="1"/>
  <c r="I917" i="1"/>
  <c r="I916" i="1"/>
  <c r="I915" i="1"/>
  <c r="I914" i="1"/>
  <c r="I913" i="1"/>
  <c r="I912" i="1"/>
  <c r="I911" i="1"/>
  <c r="I910" i="1"/>
  <c r="I909" i="1"/>
  <c r="I908" i="1"/>
  <c r="I907" i="1"/>
  <c r="I906" i="1"/>
  <c r="I905" i="1"/>
  <c r="I904" i="1"/>
  <c r="I903" i="1"/>
  <c r="I902" i="1"/>
  <c r="I901" i="1"/>
  <c r="I900" i="1"/>
  <c r="I899" i="1"/>
  <c r="I898" i="1"/>
  <c r="I897" i="1"/>
  <c r="I896" i="1"/>
  <c r="I895" i="1"/>
  <c r="I894" i="1"/>
  <c r="I893" i="1"/>
  <c r="I892" i="1"/>
  <c r="I891" i="1"/>
  <c r="I890" i="1"/>
  <c r="I889" i="1"/>
  <c r="I888" i="1"/>
  <c r="I887" i="1"/>
  <c r="I886" i="1"/>
  <c r="I885" i="1"/>
  <c r="I884" i="1"/>
  <c r="I883" i="1"/>
  <c r="I882" i="1"/>
  <c r="I881" i="1"/>
  <c r="I880" i="1"/>
  <c r="I879" i="1"/>
  <c r="I878" i="1"/>
  <c r="I877" i="1"/>
  <c r="I876" i="1"/>
  <c r="I875" i="1"/>
  <c r="I874" i="1"/>
  <c r="I873" i="1"/>
  <c r="I872" i="1"/>
  <c r="I871" i="1"/>
  <c r="I870" i="1"/>
  <c r="I869" i="1"/>
  <c r="I868" i="1"/>
  <c r="I867" i="1"/>
  <c r="I866" i="1"/>
  <c r="I865" i="1"/>
  <c r="I864" i="1"/>
  <c r="I863" i="1"/>
  <c r="I862" i="1"/>
  <c r="I861" i="1"/>
  <c r="I860" i="1"/>
  <c r="I859" i="1"/>
  <c r="I858" i="1"/>
  <c r="I857" i="1"/>
  <c r="I856" i="1"/>
  <c r="I855" i="1"/>
  <c r="I854" i="1"/>
  <c r="I853" i="1"/>
  <c r="I852" i="1"/>
  <c r="I851" i="1"/>
  <c r="I850" i="1"/>
  <c r="I849" i="1"/>
  <c r="I848" i="1"/>
  <c r="I847" i="1"/>
  <c r="I846" i="1"/>
  <c r="I845" i="1"/>
  <c r="I844" i="1"/>
  <c r="I843" i="1"/>
  <c r="I842" i="1"/>
  <c r="I841" i="1"/>
  <c r="I840" i="1"/>
  <c r="I839" i="1"/>
  <c r="I838" i="1"/>
  <c r="I837" i="1"/>
  <c r="I836" i="1"/>
  <c r="I835" i="1"/>
  <c r="I834" i="1"/>
  <c r="I833" i="1"/>
  <c r="I832" i="1"/>
  <c r="I831" i="1"/>
  <c r="I830" i="1"/>
  <c r="I829" i="1"/>
  <c r="I828" i="1"/>
  <c r="I827" i="1"/>
  <c r="I826" i="1"/>
  <c r="I825" i="1"/>
  <c r="I824" i="1"/>
  <c r="I823" i="1"/>
  <c r="I822" i="1"/>
  <c r="I821" i="1"/>
  <c r="I820" i="1"/>
  <c r="I819" i="1"/>
  <c r="I818" i="1"/>
  <c r="I817" i="1"/>
  <c r="I816" i="1"/>
  <c r="I815" i="1"/>
  <c r="I814" i="1"/>
  <c r="I813" i="1"/>
  <c r="I812" i="1"/>
  <c r="I811" i="1"/>
  <c r="I810" i="1"/>
  <c r="I809" i="1"/>
  <c r="I808" i="1"/>
  <c r="I807" i="1"/>
  <c r="I806" i="1"/>
  <c r="I805" i="1"/>
  <c r="I804" i="1"/>
  <c r="I803" i="1"/>
  <c r="I802" i="1"/>
  <c r="I801" i="1"/>
  <c r="I800" i="1"/>
  <c r="I799" i="1"/>
  <c r="I798" i="1"/>
  <c r="I797" i="1"/>
  <c r="I796" i="1"/>
  <c r="I795" i="1"/>
  <c r="I794" i="1"/>
  <c r="I793" i="1"/>
  <c r="I792" i="1"/>
  <c r="I791" i="1"/>
  <c r="I790" i="1"/>
  <c r="I789" i="1"/>
  <c r="I788" i="1"/>
  <c r="I787" i="1"/>
  <c r="I786" i="1"/>
  <c r="I785" i="1"/>
  <c r="I784" i="1"/>
  <c r="I783" i="1"/>
  <c r="I782" i="1"/>
  <c r="I781" i="1"/>
  <c r="I780" i="1"/>
  <c r="I779" i="1"/>
  <c r="I778" i="1"/>
  <c r="I777" i="1"/>
  <c r="I776" i="1"/>
  <c r="I775" i="1"/>
  <c r="I774" i="1"/>
  <c r="I773" i="1"/>
  <c r="I772" i="1"/>
  <c r="I771" i="1"/>
  <c r="I770" i="1"/>
  <c r="I769" i="1"/>
  <c r="I768" i="1"/>
  <c r="I767" i="1"/>
  <c r="I766" i="1"/>
  <c r="I765" i="1"/>
  <c r="I764" i="1"/>
  <c r="I763" i="1"/>
  <c r="I762" i="1"/>
  <c r="I761" i="1"/>
  <c r="I760" i="1"/>
  <c r="I759" i="1"/>
  <c r="I758" i="1"/>
  <c r="I757" i="1"/>
  <c r="I756" i="1"/>
  <c r="I755" i="1"/>
  <c r="I754" i="1"/>
  <c r="I753" i="1"/>
  <c r="I752" i="1"/>
  <c r="I751" i="1"/>
  <c r="I750" i="1"/>
  <c r="I749" i="1"/>
  <c r="I748" i="1"/>
  <c r="I747" i="1"/>
  <c r="I746" i="1"/>
  <c r="I745" i="1"/>
  <c r="I744" i="1"/>
  <c r="I743" i="1"/>
  <c r="I742" i="1"/>
  <c r="I741" i="1"/>
  <c r="I740" i="1"/>
  <c r="I739" i="1"/>
  <c r="I738" i="1"/>
  <c r="I737" i="1"/>
  <c r="I736" i="1"/>
  <c r="I735" i="1"/>
  <c r="I734" i="1"/>
  <c r="I733" i="1"/>
  <c r="I732" i="1"/>
  <c r="I731" i="1"/>
  <c r="I730" i="1"/>
  <c r="I729" i="1"/>
  <c r="I728" i="1"/>
  <c r="I727" i="1"/>
  <c r="I726" i="1"/>
  <c r="I725" i="1"/>
  <c r="I724" i="1"/>
  <c r="I723" i="1"/>
  <c r="I722" i="1"/>
  <c r="I721" i="1"/>
  <c r="I720" i="1"/>
  <c r="I719" i="1"/>
  <c r="I718" i="1"/>
  <c r="I717" i="1"/>
  <c r="I716" i="1"/>
  <c r="I715" i="1"/>
  <c r="I714" i="1"/>
  <c r="I713" i="1"/>
  <c r="I712" i="1"/>
  <c r="I711" i="1"/>
  <c r="I710" i="1"/>
  <c r="I709" i="1"/>
  <c r="I708" i="1"/>
  <c r="I707" i="1"/>
  <c r="I706" i="1"/>
  <c r="I705" i="1"/>
  <c r="I704" i="1"/>
  <c r="I703" i="1"/>
  <c r="I702" i="1"/>
  <c r="I701" i="1"/>
  <c r="I700" i="1"/>
  <c r="I699" i="1"/>
  <c r="I698" i="1"/>
  <c r="I697" i="1"/>
  <c r="I696" i="1"/>
  <c r="I695" i="1"/>
  <c r="I694" i="1"/>
  <c r="I693" i="1"/>
  <c r="I692" i="1"/>
  <c r="I691" i="1"/>
  <c r="I690" i="1"/>
  <c r="I689" i="1"/>
  <c r="I688" i="1"/>
  <c r="I687" i="1"/>
  <c r="I686" i="1"/>
  <c r="I685" i="1"/>
  <c r="I684" i="1"/>
  <c r="I683" i="1"/>
  <c r="I682" i="1"/>
  <c r="I681" i="1"/>
  <c r="I680" i="1"/>
  <c r="I679" i="1"/>
  <c r="I678" i="1"/>
  <c r="I677" i="1"/>
  <c r="I676" i="1"/>
  <c r="I675" i="1"/>
  <c r="I674" i="1"/>
  <c r="I673" i="1"/>
  <c r="I672" i="1"/>
  <c r="I671" i="1"/>
  <c r="I670" i="1"/>
  <c r="I669" i="1"/>
  <c r="I668" i="1"/>
  <c r="I667" i="1"/>
  <c r="I666" i="1"/>
  <c r="I665" i="1"/>
  <c r="I664" i="1"/>
  <c r="I663" i="1"/>
  <c r="I662" i="1"/>
  <c r="I661" i="1"/>
  <c r="I660" i="1"/>
  <c r="I659" i="1"/>
  <c r="I658" i="1"/>
  <c r="I657" i="1"/>
  <c r="I656" i="1"/>
  <c r="I655" i="1"/>
  <c r="I654" i="1"/>
  <c r="I653" i="1"/>
  <c r="I652" i="1"/>
  <c r="I651" i="1"/>
  <c r="I650" i="1"/>
  <c r="I649" i="1"/>
  <c r="I648" i="1"/>
  <c r="I647" i="1"/>
  <c r="I646" i="1"/>
  <c r="I645" i="1"/>
  <c r="I644" i="1"/>
  <c r="I643" i="1"/>
  <c r="I642" i="1"/>
  <c r="I641" i="1"/>
  <c r="I640" i="1"/>
  <c r="I639" i="1"/>
  <c r="I638" i="1"/>
  <c r="I637" i="1"/>
  <c r="I636" i="1"/>
  <c r="I635" i="1"/>
  <c r="I634" i="1"/>
  <c r="I633" i="1"/>
  <c r="I632" i="1"/>
  <c r="I631" i="1"/>
  <c r="I630" i="1"/>
  <c r="I629" i="1"/>
  <c r="I628" i="1"/>
  <c r="I627" i="1"/>
  <c r="I626" i="1"/>
  <c r="I625" i="1"/>
  <c r="I624" i="1"/>
  <c r="I623" i="1"/>
  <c r="I622" i="1"/>
  <c r="I621" i="1"/>
  <c r="I620" i="1"/>
  <c r="I619" i="1"/>
  <c r="I618" i="1"/>
  <c r="I617" i="1"/>
  <c r="I616" i="1"/>
  <c r="I615" i="1"/>
  <c r="I614" i="1"/>
  <c r="I613" i="1"/>
  <c r="I612" i="1"/>
  <c r="I611" i="1"/>
  <c r="I610" i="1"/>
  <c r="I609" i="1"/>
  <c r="I608" i="1"/>
  <c r="I607" i="1"/>
  <c r="I606" i="1"/>
  <c r="I605" i="1"/>
  <c r="I604" i="1"/>
  <c r="I603" i="1"/>
  <c r="I602" i="1"/>
  <c r="I601" i="1"/>
  <c r="I600" i="1"/>
  <c r="I599" i="1"/>
  <c r="I598" i="1"/>
  <c r="I597" i="1"/>
  <c r="I596" i="1"/>
  <c r="I595" i="1"/>
  <c r="I594" i="1"/>
  <c r="I593" i="1"/>
  <c r="I592" i="1"/>
  <c r="I591" i="1"/>
  <c r="I590" i="1"/>
  <c r="I589" i="1"/>
  <c r="I588" i="1"/>
  <c r="I587" i="1"/>
  <c r="I586" i="1"/>
  <c r="I585" i="1"/>
  <c r="I584" i="1"/>
  <c r="I583" i="1"/>
  <c r="I582" i="1"/>
  <c r="I581" i="1"/>
  <c r="I580" i="1"/>
  <c r="I579" i="1"/>
  <c r="I578" i="1"/>
  <c r="I577" i="1"/>
  <c r="I576" i="1"/>
  <c r="I575" i="1"/>
  <c r="I574" i="1"/>
  <c r="I573" i="1"/>
  <c r="I572" i="1"/>
  <c r="I571" i="1"/>
  <c r="I570" i="1"/>
  <c r="I569" i="1"/>
  <c r="I568" i="1"/>
  <c r="I567" i="1"/>
  <c r="I566" i="1"/>
  <c r="I565" i="1"/>
  <c r="I564" i="1"/>
  <c r="I563" i="1"/>
  <c r="I562" i="1"/>
  <c r="I561" i="1"/>
  <c r="I560" i="1"/>
  <c r="I559" i="1"/>
  <c r="I558" i="1"/>
  <c r="I557" i="1"/>
  <c r="I556" i="1"/>
  <c r="I555" i="1"/>
  <c r="I554" i="1"/>
  <c r="I553" i="1"/>
  <c r="I552" i="1"/>
  <c r="I551" i="1"/>
  <c r="I550" i="1"/>
  <c r="I549" i="1"/>
  <c r="I548" i="1"/>
  <c r="I547" i="1"/>
  <c r="I546" i="1"/>
  <c r="I545" i="1"/>
  <c r="I544" i="1"/>
  <c r="I543" i="1"/>
  <c r="I542" i="1"/>
  <c r="I541" i="1"/>
  <c r="I540" i="1"/>
  <c r="I539" i="1"/>
  <c r="I538" i="1"/>
  <c r="I537" i="1"/>
  <c r="I536" i="1"/>
  <c r="I535" i="1"/>
  <c r="I534" i="1"/>
  <c r="I533" i="1"/>
  <c r="I532" i="1"/>
  <c r="I531" i="1"/>
  <c r="I530" i="1"/>
  <c r="I529" i="1"/>
  <c r="I528" i="1"/>
  <c r="I527" i="1"/>
  <c r="I526" i="1"/>
  <c r="I525" i="1"/>
  <c r="I524" i="1"/>
  <c r="I523" i="1"/>
  <c r="I522" i="1"/>
  <c r="I521" i="1"/>
  <c r="I520" i="1"/>
  <c r="I519" i="1"/>
  <c r="I518" i="1"/>
  <c r="I517" i="1"/>
  <c r="I516" i="1"/>
  <c r="I515" i="1"/>
  <c r="I514" i="1"/>
  <c r="I513" i="1"/>
  <c r="I512"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50" i="1"/>
  <c r="I449" i="1"/>
  <c r="I448" i="1"/>
  <c r="I447" i="1"/>
  <c r="I446" i="1"/>
  <c r="I445" i="1"/>
  <c r="I444" i="1"/>
  <c r="I443" i="1"/>
  <c r="I442" i="1"/>
  <c r="I441" i="1"/>
  <c r="I440" i="1"/>
  <c r="I439" i="1"/>
  <c r="I438" i="1"/>
  <c r="I437" i="1"/>
  <c r="I436" i="1"/>
  <c r="I435" i="1"/>
  <c r="I434" i="1"/>
  <c r="I433" i="1"/>
  <c r="I432" i="1"/>
  <c r="I431" i="1"/>
  <c r="I430" i="1"/>
  <c r="I429" i="1"/>
  <c r="I428" i="1"/>
  <c r="I427" i="1"/>
  <c r="I426" i="1"/>
  <c r="I425" i="1"/>
  <c r="I424" i="1"/>
  <c r="I423" i="1"/>
  <c r="I422" i="1"/>
  <c r="I421" i="1"/>
  <c r="I420" i="1"/>
  <c r="I419" i="1"/>
  <c r="I418" i="1"/>
  <c r="I417" i="1"/>
  <c r="I416" i="1"/>
  <c r="I415" i="1"/>
  <c r="I414" i="1"/>
  <c r="I413" i="1"/>
  <c r="I412" i="1"/>
  <c r="I411" i="1"/>
  <c r="I410" i="1"/>
  <c r="I409" i="1"/>
  <c r="I408" i="1"/>
  <c r="I407" i="1"/>
  <c r="I406" i="1"/>
  <c r="I405" i="1"/>
  <c r="I404" i="1"/>
  <c r="I403" i="1"/>
  <c r="I402" i="1"/>
  <c r="I401" i="1"/>
  <c r="I400" i="1"/>
  <c r="I399" i="1"/>
  <c r="I398" i="1"/>
  <c r="I397" i="1"/>
  <c r="I396" i="1"/>
  <c r="I395" i="1"/>
  <c r="I394" i="1"/>
  <c r="I393" i="1"/>
  <c r="I392" i="1"/>
  <c r="I391" i="1"/>
  <c r="I390" i="1"/>
  <c r="I389" i="1"/>
  <c r="I388" i="1"/>
  <c r="I387" i="1"/>
  <c r="I386" i="1"/>
  <c r="I385" i="1"/>
  <c r="I384" i="1"/>
  <c r="I383" i="1"/>
  <c r="I382" i="1"/>
  <c r="I381" i="1"/>
  <c r="I380" i="1"/>
  <c r="I379" i="1"/>
  <c r="I378" i="1"/>
  <c r="I377" i="1"/>
  <c r="I376" i="1"/>
  <c r="I375" i="1"/>
  <c r="I374" i="1"/>
  <c r="I373" i="1"/>
  <c r="I372" i="1"/>
  <c r="I371" i="1"/>
  <c r="I370" i="1"/>
  <c r="I369" i="1"/>
  <c r="I368" i="1"/>
  <c r="I367" i="1"/>
  <c r="I366" i="1"/>
  <c r="I365" i="1"/>
  <c r="I364" i="1"/>
  <c r="I363" i="1"/>
  <c r="I362" i="1"/>
  <c r="I361" i="1"/>
  <c r="I360" i="1"/>
  <c r="I359" i="1"/>
  <c r="I358" i="1"/>
  <c r="I357" i="1"/>
  <c r="I356" i="1"/>
  <c r="I355" i="1"/>
  <c r="I354" i="1"/>
  <c r="I353" i="1"/>
  <c r="I352" i="1"/>
  <c r="I351" i="1"/>
  <c r="I350" i="1"/>
  <c r="I349" i="1"/>
  <c r="I348" i="1"/>
  <c r="I347" i="1"/>
  <c r="I346" i="1"/>
  <c r="I345" i="1"/>
  <c r="I344" i="1"/>
  <c r="I343" i="1"/>
  <c r="I342" i="1"/>
  <c r="I341" i="1"/>
  <c r="I340" i="1"/>
  <c r="I339" i="1"/>
  <c r="I338" i="1"/>
  <c r="I337" i="1"/>
  <c r="I336" i="1"/>
  <c r="I335" i="1"/>
  <c r="I334" i="1"/>
  <c r="I333" i="1"/>
  <c r="I332" i="1"/>
  <c r="I331" i="1"/>
  <c r="I330" i="1"/>
  <c r="I329" i="1"/>
  <c r="I328" i="1"/>
  <c r="I327" i="1"/>
  <c r="I326" i="1"/>
  <c r="I325" i="1"/>
  <c r="I324" i="1"/>
  <c r="I323" i="1"/>
  <c r="I322" i="1"/>
  <c r="I321" i="1"/>
  <c r="I320" i="1"/>
  <c r="I319" i="1"/>
  <c r="I318" i="1"/>
  <c r="I317" i="1"/>
  <c r="I316" i="1"/>
  <c r="I315" i="1"/>
  <c r="I314" i="1"/>
  <c r="I313" i="1"/>
  <c r="I312" i="1"/>
  <c r="I311" i="1"/>
  <c r="I310" i="1"/>
  <c r="I309" i="1"/>
  <c r="I308" i="1"/>
  <c r="I307" i="1"/>
  <c r="I306" i="1"/>
  <c r="I305" i="1"/>
  <c r="I304" i="1"/>
  <c r="I303" i="1"/>
  <c r="I302" i="1"/>
  <c r="I301" i="1"/>
  <c r="I300" i="1"/>
  <c r="I299" i="1"/>
  <c r="I298" i="1"/>
  <c r="I297" i="1"/>
  <c r="I296" i="1"/>
  <c r="I295" i="1"/>
  <c r="I294" i="1"/>
  <c r="I293" i="1"/>
  <c r="I292" i="1"/>
  <c r="I291" i="1"/>
  <c r="I290" i="1"/>
  <c r="I289" i="1"/>
  <c r="I288" i="1"/>
  <c r="I287" i="1"/>
  <c r="I286" i="1"/>
  <c r="I285" i="1"/>
  <c r="I284" i="1"/>
  <c r="I283" i="1"/>
  <c r="I282" i="1"/>
  <c r="I281" i="1"/>
  <c r="I280" i="1"/>
  <c r="I279" i="1"/>
  <c r="I278" i="1"/>
  <c r="I277" i="1"/>
  <c r="I276" i="1"/>
  <c r="I275" i="1"/>
  <c r="I274" i="1"/>
  <c r="I273" i="1"/>
  <c r="I272" i="1"/>
  <c r="I271" i="1"/>
  <c r="I270" i="1"/>
  <c r="I269" i="1"/>
  <c r="I268" i="1"/>
  <c r="I267" i="1"/>
  <c r="I266" i="1"/>
  <c r="I265" i="1"/>
  <c r="I264" i="1"/>
  <c r="I263" i="1"/>
  <c r="I262" i="1"/>
  <c r="I261" i="1"/>
  <c r="I260" i="1"/>
  <c r="I259" i="1"/>
  <c r="I258" i="1"/>
  <c r="I257" i="1"/>
  <c r="I256" i="1"/>
  <c r="I255" i="1"/>
  <c r="I254" i="1"/>
  <c r="I253" i="1"/>
  <c r="I252" i="1"/>
  <c r="I251" i="1"/>
  <c r="I250" i="1"/>
  <c r="I249" i="1"/>
  <c r="I248" i="1"/>
  <c r="I247" i="1"/>
  <c r="I246" i="1"/>
  <c r="I245" i="1"/>
  <c r="I244" i="1"/>
  <c r="I243" i="1"/>
  <c r="I242" i="1"/>
  <c r="I241" i="1"/>
  <c r="I240" i="1"/>
  <c r="I239" i="1"/>
  <c r="I238" i="1"/>
  <c r="I237" i="1"/>
  <c r="I236" i="1"/>
  <c r="I235" i="1"/>
  <c r="I234" i="1"/>
  <c r="I233" i="1"/>
  <c r="I232" i="1"/>
  <c r="I231" i="1"/>
  <c r="I230" i="1"/>
  <c r="I229" i="1"/>
  <c r="I228" i="1"/>
  <c r="I227" i="1"/>
  <c r="I226" i="1"/>
  <c r="I225" i="1"/>
  <c r="I224" i="1"/>
  <c r="I223" i="1"/>
  <c r="I222" i="1"/>
  <c r="I221" i="1"/>
  <c r="I220" i="1"/>
  <c r="I219" i="1"/>
  <c r="I218" i="1"/>
  <c r="I217" i="1"/>
  <c r="I216" i="1"/>
  <c r="I215" i="1"/>
  <c r="I214" i="1"/>
  <c r="I213" i="1"/>
  <c r="I212" i="1"/>
  <c r="I211" i="1"/>
  <c r="I210" i="1"/>
  <c r="I209" i="1"/>
  <c r="I208" i="1"/>
  <c r="I207" i="1"/>
  <c r="I206" i="1"/>
  <c r="I205" i="1"/>
  <c r="I204" i="1"/>
  <c r="I203" i="1"/>
  <c r="I202" i="1"/>
  <c r="I201" i="1"/>
  <c r="I200" i="1"/>
  <c r="I199" i="1"/>
  <c r="I198" i="1"/>
  <c r="I197" i="1"/>
  <c r="I196" i="1"/>
  <c r="I195" i="1"/>
  <c r="I194" i="1"/>
  <c r="I193" i="1"/>
  <c r="I192" i="1"/>
  <c r="I191" i="1"/>
  <c r="I190" i="1"/>
  <c r="I189" i="1"/>
  <c r="I188" i="1"/>
  <c r="I187" i="1"/>
  <c r="I186" i="1"/>
  <c r="I185" i="1"/>
  <c r="I184" i="1"/>
  <c r="I183" i="1"/>
  <c r="I182" i="1"/>
  <c r="I181" i="1"/>
  <c r="I180" i="1"/>
  <c r="I179" i="1"/>
  <c r="I178" i="1"/>
  <c r="I177" i="1"/>
  <c r="I176" i="1"/>
  <c r="I175" i="1"/>
  <c r="I174" i="1"/>
  <c r="I173" i="1"/>
  <c r="I172" i="1"/>
  <c r="I171" i="1"/>
  <c r="I170" i="1"/>
  <c r="I169" i="1"/>
  <c r="I168" i="1"/>
  <c r="I167" i="1"/>
  <c r="I166" i="1"/>
  <c r="I165" i="1"/>
  <c r="I164" i="1"/>
  <c r="I163" i="1"/>
  <c r="I162" i="1"/>
  <c r="I161" i="1"/>
  <c r="I160" i="1"/>
  <c r="I159" i="1"/>
  <c r="I158" i="1"/>
  <c r="I157" i="1"/>
  <c r="I156" i="1"/>
  <c r="I155" i="1"/>
  <c r="I154" i="1"/>
  <c r="I153" i="1"/>
  <c r="I152" i="1"/>
  <c r="I151" i="1"/>
  <c r="I150" i="1"/>
  <c r="I149" i="1"/>
  <c r="I148" i="1"/>
  <c r="I147" i="1"/>
  <c r="I146" i="1"/>
  <c r="I145" i="1"/>
  <c r="I144" i="1"/>
  <c r="I143" i="1"/>
  <c r="I142" i="1"/>
  <c r="I141" i="1"/>
  <c r="I140" i="1"/>
  <c r="I139" i="1"/>
  <c r="I138" i="1"/>
  <c r="I137" i="1"/>
  <c r="I136" i="1"/>
  <c r="I135" i="1"/>
  <c r="I134" i="1"/>
  <c r="I133" i="1"/>
  <c r="I132" i="1"/>
  <c r="I131" i="1"/>
  <c r="I130" i="1"/>
  <c r="I129" i="1"/>
  <c r="I128" i="1"/>
  <c r="I127" i="1"/>
  <c r="I126" i="1"/>
  <c r="I125" i="1"/>
  <c r="I124" i="1"/>
  <c r="I123" i="1"/>
  <c r="I122" i="1"/>
  <c r="I121" i="1"/>
  <c r="I120" i="1"/>
  <c r="I119" i="1"/>
  <c r="I118" i="1"/>
  <c r="I117" i="1"/>
  <c r="I116" i="1"/>
  <c r="I115" i="1"/>
  <c r="I114" i="1"/>
  <c r="I113" i="1"/>
  <c r="I112" i="1"/>
  <c r="I111" i="1"/>
  <c r="I110" i="1"/>
  <c r="I109" i="1"/>
  <c r="I108" i="1"/>
  <c r="I107" i="1"/>
  <c r="I106" i="1"/>
  <c r="I105" i="1"/>
  <c r="I104" i="1"/>
  <c r="I103" i="1"/>
  <c r="I102" i="1"/>
  <c r="I101" i="1"/>
  <c r="I100" i="1"/>
  <c r="I99" i="1"/>
  <c r="I98" i="1"/>
  <c r="I97" i="1"/>
  <c r="I96" i="1"/>
  <c r="I95" i="1"/>
  <c r="I94" i="1"/>
  <c r="I93" i="1"/>
  <c r="I92" i="1"/>
  <c r="I91" i="1"/>
  <c r="I90" i="1"/>
  <c r="I89" i="1"/>
  <c r="I88" i="1"/>
  <c r="I87" i="1"/>
  <c r="I86" i="1"/>
  <c r="I85" i="1"/>
  <c r="I84" i="1"/>
  <c r="I83" i="1"/>
  <c r="I82" i="1"/>
  <c r="I81" i="1"/>
  <c r="I80" i="1"/>
  <c r="I79" i="1"/>
  <c r="I78" i="1"/>
  <c r="I77" i="1"/>
  <c r="I76" i="1"/>
  <c r="I75" i="1"/>
  <c r="I74" i="1"/>
  <c r="I73" i="1"/>
  <c r="I72" i="1"/>
  <c r="I71" i="1"/>
  <c r="I70" i="1"/>
  <c r="I69" i="1"/>
  <c r="I68" i="1"/>
  <c r="I67" i="1"/>
  <c r="I66" i="1"/>
  <c r="I65" i="1"/>
  <c r="I64" i="1"/>
  <c r="I63" i="1"/>
  <c r="I62" i="1"/>
  <c r="I61" i="1"/>
  <c r="I60" i="1"/>
  <c r="I59" i="1"/>
  <c r="I58" i="1"/>
  <c r="I57"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3" i="1"/>
  <c r="I2" i="1"/>
  <c r="B3" i="2"/>
  <c r="B4" i="2"/>
  <c r="B5" i="2"/>
  <c r="B6" i="2"/>
  <c r="B7" i="2"/>
  <c r="B2" i="2"/>
  <c r="C2" i="4"/>
  <c r="H2" i="1"/>
</calcChain>
</file>

<file path=xl/sharedStrings.xml><?xml version="1.0" encoding="utf-8"?>
<sst xmlns="http://schemas.openxmlformats.org/spreadsheetml/2006/main" count="15905" uniqueCount="396">
  <si>
    <t>Order Date</t>
  </si>
  <si>
    <t>Region</t>
  </si>
  <si>
    <t>Category</t>
  </si>
  <si>
    <t>Product ID</t>
  </si>
  <si>
    <t>Sales</t>
  </si>
  <si>
    <t>Profit</t>
  </si>
  <si>
    <t>2/24/2003 0:00</t>
  </si>
  <si>
    <t>5/7/2003 0:00</t>
  </si>
  <si>
    <t>7/1/2003 0:00</t>
  </si>
  <si>
    <t>8/25/2003 0:00</t>
  </si>
  <si>
    <t>10/10/2003 0:00</t>
  </si>
  <si>
    <t>10/28/2003 0:00</t>
  </si>
  <si>
    <t>11/11/2003 0:00</t>
  </si>
  <si>
    <t>11/18/2003 0:00</t>
  </si>
  <si>
    <t>12/1/2003 0:00</t>
  </si>
  <si>
    <t>1/15/2004 0:00</t>
  </si>
  <si>
    <t>2/20/2004 0:00</t>
  </si>
  <si>
    <t>4/5/2004 0:00</t>
  </si>
  <si>
    <t>5/18/2004 0:00</t>
  </si>
  <si>
    <t>6/28/2004 0:00</t>
  </si>
  <si>
    <t>7/23/2004 0:00</t>
  </si>
  <si>
    <t>8/27/2004 0:00</t>
  </si>
  <si>
    <t>9/30/2004 0:00</t>
  </si>
  <si>
    <t>10/15/2004 0:00</t>
  </si>
  <si>
    <t>11/2/2004 0:00</t>
  </si>
  <si>
    <t>11/15/2004 0:00</t>
  </si>
  <si>
    <t>11/24/2004 0:00</t>
  </si>
  <si>
    <t>12/17/2004 0:00</t>
  </si>
  <si>
    <t>2/3/2005 0:00</t>
  </si>
  <si>
    <t>3/3/2005 0:00</t>
  </si>
  <si>
    <t>4/8/2005 0:00</t>
  </si>
  <si>
    <t>5/13/2005 0:00</t>
  </si>
  <si>
    <t>1/29/2003 0:00</t>
  </si>
  <si>
    <t>3/24/2003 0:00</t>
  </si>
  <si>
    <t>5/28/2003 0:00</t>
  </si>
  <si>
    <t>7/24/2003 0:00</t>
  </si>
  <si>
    <t>9/19/2003 0:00</t>
  </si>
  <si>
    <t>10/20/2003 0:00</t>
  </si>
  <si>
    <t>11/6/2003 0:00</t>
  </si>
  <si>
    <t>11/13/2003 0:00</t>
  </si>
  <si>
    <t>11/25/2003 0:00</t>
  </si>
  <si>
    <t>12/5/2003 0:00</t>
  </si>
  <si>
    <t>1/29/2004 0:00</t>
  </si>
  <si>
    <t>3/10/2004 0:00</t>
  </si>
  <si>
    <t>5/4/2004 0:00</t>
  </si>
  <si>
    <t>6/15/2004 0:00</t>
  </si>
  <si>
    <t>7/19/2004 0:00</t>
  </si>
  <si>
    <t>8/17/2004 0:00</t>
  </si>
  <si>
    <t>9/8/2004 0:00</t>
  </si>
  <si>
    <t>10/11/2004 0:00</t>
  </si>
  <si>
    <t>10/21/2004 0:00</t>
  </si>
  <si>
    <t>11/4/2004 0:00</t>
  </si>
  <si>
    <t>11/18/2004 0:00</t>
  </si>
  <si>
    <t>11/29/2004 0:00</t>
  </si>
  <si>
    <t>12/10/2004 0:00</t>
  </si>
  <si>
    <t>1/20/2005 0:00</t>
  </si>
  <si>
    <t>2/17/2005 0:00</t>
  </si>
  <si>
    <t>3/9/2005 0:00</t>
  </si>
  <si>
    <t>5/1/2005 0:00</t>
  </si>
  <si>
    <t>5/31/2005 0:00</t>
  </si>
  <si>
    <t>4/29/2003 0:00</t>
  </si>
  <si>
    <t>1/12/2004 0:00</t>
  </si>
  <si>
    <t>4/3/2004 0:00</t>
  </si>
  <si>
    <t>9/27/2004 0:00</t>
  </si>
  <si>
    <t>11/23/2004 0:00</t>
  </si>
  <si>
    <t>2/2/2005 0:00</t>
  </si>
  <si>
    <t>4/7/2005 0:00</t>
  </si>
  <si>
    <t>1/5/2005 0:00</t>
  </si>
  <si>
    <t>2/11/2003 0:00</t>
  </si>
  <si>
    <t>4/28/2003 0:00</t>
  </si>
  <si>
    <t>6/12/2003 0:00</t>
  </si>
  <si>
    <t>8/10/2003 0:00</t>
  </si>
  <si>
    <t>10/6/2003 0:00</t>
  </si>
  <si>
    <t>10/23/2003 0:00</t>
  </si>
  <si>
    <t>11/8/2003 0:00</t>
  </si>
  <si>
    <t>11/14/2003 0:00</t>
  </si>
  <si>
    <t>11/26/2003 0:00</t>
  </si>
  <si>
    <t>1/9/2004 0:00</t>
  </si>
  <si>
    <t>2/19/2004 0:00</t>
  </si>
  <si>
    <t>5/7/2004 0:00</t>
  </si>
  <si>
    <t>6/17/2004 0:00</t>
  </si>
  <si>
    <t>7/21/2004 0:00</t>
  </si>
  <si>
    <t>8/20/2004 0:00</t>
  </si>
  <si>
    <t>9/10/2004 0:00</t>
  </si>
  <si>
    <t>10/14/2004 0:00</t>
  </si>
  <si>
    <t>11/1/2004 0:00</t>
  </si>
  <si>
    <t>11/5/2004 0:00</t>
  </si>
  <si>
    <t>11/21/2004 0:00</t>
  </si>
  <si>
    <t>12/2/2004 0:00</t>
  </si>
  <si>
    <t>12/15/2004 0:00</t>
  </si>
  <si>
    <t>1/31/2005 0:00</t>
  </si>
  <si>
    <t>2/23/2005 0:00</t>
  </si>
  <si>
    <t>3/17/2005 0:00</t>
  </si>
  <si>
    <t>4/1/2005 0:00</t>
  </si>
  <si>
    <t>5/6/2005 0:00</t>
  </si>
  <si>
    <t>4/1/2003 0:00</t>
  </si>
  <si>
    <t>10/21/2003 0:00</t>
  </si>
  <si>
    <t>12/9/2003 0:00</t>
  </si>
  <si>
    <t>2/4/2004 0:00</t>
  </si>
  <si>
    <t>3/11/2004 0:00</t>
  </si>
  <si>
    <t>8/19/2004 0:00</t>
  </si>
  <si>
    <t>10/13/2004 0:00</t>
  </si>
  <si>
    <t>10/22/2004 0:00</t>
  </si>
  <si>
    <t>11/19/2004 0:00</t>
  </si>
  <si>
    <t>3/3/2003 0:00</t>
  </si>
  <si>
    <t>5/8/2003 0:00</t>
  </si>
  <si>
    <t>7/2/2003 0:00</t>
  </si>
  <si>
    <t>9/5/2003 0:00</t>
  </si>
  <si>
    <t>11/4/2003 0:00</t>
  </si>
  <si>
    <t>11/12/2003 0:00</t>
  </si>
  <si>
    <t>11/20/2003 0:00</t>
  </si>
  <si>
    <t>12/2/2003 0:00</t>
  </si>
  <si>
    <t>2/22/2004 0:00</t>
  </si>
  <si>
    <t>4/9/2004 0:00</t>
  </si>
  <si>
    <t>6/1/2004 0:00</t>
  </si>
  <si>
    <t>7/6/2004 0:00</t>
  </si>
  <si>
    <t>8/2/2004 0:00</t>
  </si>
  <si>
    <t>8/30/2004 0:00</t>
  </si>
  <si>
    <t>10/4/2003 0:00</t>
  </si>
  <si>
    <t>10/16/2004 0:00</t>
  </si>
  <si>
    <t>11/3/2004 0:00</t>
  </si>
  <si>
    <t>1/6/2005 0:00</t>
  </si>
  <si>
    <t>5/17/2005 0:00</t>
  </si>
  <si>
    <t>4/16/2003 0:00</t>
  </si>
  <si>
    <t>6/3/2003 0:00</t>
  </si>
  <si>
    <t>8/8/2003 0:00</t>
  </si>
  <si>
    <t>9/28/2003 0:00</t>
  </si>
  <si>
    <t>10/22/2003 0:00</t>
  </si>
  <si>
    <t>1/2/2004 0:00</t>
  </si>
  <si>
    <t>2/12/2004 0:00</t>
  </si>
  <si>
    <t>3/19/2004 0:00</t>
  </si>
  <si>
    <t>5/5/2004 0:00</t>
  </si>
  <si>
    <t>7/20/2004 0:00</t>
  </si>
  <si>
    <t>9/9/2004 0:00</t>
  </si>
  <si>
    <t>11/20/2004 0:00</t>
  </si>
  <si>
    <t>1/23/2005 0:00</t>
  </si>
  <si>
    <t>5/5/2005 0:00</t>
  </si>
  <si>
    <t>3/26/2003 0:00</t>
  </si>
  <si>
    <t>2/2/2004 0:00</t>
  </si>
  <si>
    <t>2/21/2004 0:00</t>
  </si>
  <si>
    <t>1/31/2003 0:00</t>
  </si>
  <si>
    <t>3/15/2004 0:00</t>
  </si>
  <si>
    <t>1/26/2005 0:00</t>
  </si>
  <si>
    <t>10/11/2003 0:00</t>
  </si>
  <si>
    <t>1/16/2004 0:00</t>
  </si>
  <si>
    <t>2/8/2005 0:00</t>
  </si>
  <si>
    <t>12/1/2004 0:00</t>
  </si>
  <si>
    <t>3/23/2005 0:00</t>
  </si>
  <si>
    <t>2/9/2005 0:00</t>
  </si>
  <si>
    <t>4/4/2003 0:00</t>
  </si>
  <si>
    <t>8/1/2003 0:00</t>
  </si>
  <si>
    <t>9/21/2003 0:00</t>
  </si>
  <si>
    <t>2/10/2004 0:00</t>
  </si>
  <si>
    <t>5/3/2005 0:00</t>
  </si>
  <si>
    <t>4/12/2004 0:00</t>
  </si>
  <si>
    <t>8/4/2004 0:00</t>
  </si>
  <si>
    <t>4/14/2005 0:00</t>
  </si>
  <si>
    <t>3/10/2003 0:00</t>
  </si>
  <si>
    <t>7/4/2003 0:00</t>
  </si>
  <si>
    <t>9/11/2003 0:00</t>
  </si>
  <si>
    <t>10/17/2003 0:00</t>
  </si>
  <si>
    <t>11/5/2003 0:00</t>
  </si>
  <si>
    <t>4/13/2004 0:00</t>
  </si>
  <si>
    <t>8/6/2004 0:00</t>
  </si>
  <si>
    <t>10/5/2003 0:00</t>
  </si>
  <si>
    <t>11/17/2004 0:00</t>
  </si>
  <si>
    <t>12/9/2004 0:00</t>
  </si>
  <si>
    <t>1/7/2005 0:00</t>
  </si>
  <si>
    <t>3/4/2005 0:00</t>
  </si>
  <si>
    <t>4/15/2005 0:00</t>
  </si>
  <si>
    <t>1/10/2003 0:00</t>
  </si>
  <si>
    <t>3/25/2003 0:00</t>
  </si>
  <si>
    <t>5/21/2003 0:00</t>
  </si>
  <si>
    <t>7/16/2003 0:00</t>
  </si>
  <si>
    <t>9/12/2003 0:00</t>
  </si>
  <si>
    <t>10/18/2003 0:00</t>
  </si>
  <si>
    <t>11/21/2003 0:00</t>
  </si>
  <si>
    <t>12/3/2003 0:00</t>
  </si>
  <si>
    <t>3/2/2004 0:00</t>
  </si>
  <si>
    <t>4/29/2004 0:00</t>
  </si>
  <si>
    <t>6/8/2004 0:00</t>
  </si>
  <si>
    <t>9/3/2004 0:00</t>
  </si>
  <si>
    <t>2/16/2005 0:00</t>
  </si>
  <si>
    <t>5/30/2005 0:00</t>
  </si>
  <si>
    <t>3/18/2003 0:00</t>
  </si>
  <si>
    <t>5/20/2003 0:00</t>
  </si>
  <si>
    <t>7/10/2003 0:00</t>
  </si>
  <si>
    <t>2/26/2004 0:00</t>
  </si>
  <si>
    <t>9/1/2004 0:00</t>
  </si>
  <si>
    <t>1/12/2005 0:00</t>
  </si>
  <si>
    <t>2/10/2005 0:00</t>
  </si>
  <si>
    <t>4/22/2005 0:00</t>
  </si>
  <si>
    <t>2/17/2003 0:00</t>
  </si>
  <si>
    <t>6/16/2003 0:00</t>
  </si>
  <si>
    <t>11/27/2003 0:00</t>
  </si>
  <si>
    <t>5/11/2004 0:00</t>
  </si>
  <si>
    <t>6/24/2004 0:00</t>
  </si>
  <si>
    <t>8/21/2004 0:00</t>
  </si>
  <si>
    <t>9/15/2004 0:00</t>
  </si>
  <si>
    <t>11/10/2004 0:00</t>
  </si>
  <si>
    <t>11/22/2004 0:00</t>
  </si>
  <si>
    <t>12/3/2004 0:00</t>
  </si>
  <si>
    <t>3/1/2005 0:00</t>
  </si>
  <si>
    <t>3/30/2005 0:00</t>
  </si>
  <si>
    <t>5/10/2005 0:00</t>
  </si>
  <si>
    <t>1/6/2003 0:00</t>
  </si>
  <si>
    <t>1/26/2004 0:00</t>
  </si>
  <si>
    <t>11/25/2004 0:00</t>
  </si>
  <si>
    <t>5/29/2005 0:00</t>
  </si>
  <si>
    <t>1/10/2005 0:00</t>
  </si>
  <si>
    <t>10/6/2004 0:00</t>
  </si>
  <si>
    <t>2/22/2005 0:00</t>
  </si>
  <si>
    <t>1/9/2003 0:00</t>
  </si>
  <si>
    <t>4/26/2004 0:00</t>
  </si>
  <si>
    <t>4/23/2005 0:00</t>
  </si>
  <si>
    <t>6/27/2003 0:00</t>
  </si>
  <si>
    <t>4/2/2004 0:00</t>
  </si>
  <si>
    <t>9/16/2004 0:00</t>
  </si>
  <si>
    <t>12/4/2004 0:00</t>
  </si>
  <si>
    <t>4/3/2005 0:00</t>
  </si>
  <si>
    <t>6/4/2004 0:00</t>
  </si>
  <si>
    <t>6/14/2004 0:00</t>
  </si>
  <si>
    <t>7/16/2004 0:00</t>
  </si>
  <si>
    <t>3/10/2005 0:00</t>
  </si>
  <si>
    <t>6/6/2003 0:00</t>
  </si>
  <si>
    <t>11/7/2003 0:00</t>
  </si>
  <si>
    <t>2/18/2004 0:00</t>
  </si>
  <si>
    <t>3/20/2004 0:00</t>
  </si>
  <si>
    <t>3/15/2005 0:00</t>
  </si>
  <si>
    <t>11/9/2004 0:00</t>
  </si>
  <si>
    <t>5/26/2004 0:00</t>
  </si>
  <si>
    <t>7/2/2004 0:00</t>
  </si>
  <si>
    <t>9/7/2004 0:00</t>
  </si>
  <si>
    <t>11/16/2004 0:00</t>
  </si>
  <si>
    <t>12/7/2004 0:00</t>
  </si>
  <si>
    <t>9/3/2003 0:00</t>
  </si>
  <si>
    <t>6/30/2004 0:00</t>
  </si>
  <si>
    <t>8/28/2004 0:00</t>
  </si>
  <si>
    <t>5/8/2004 0:00</t>
  </si>
  <si>
    <t>11/12/2004 0:00</t>
  </si>
  <si>
    <t>5/9/2005 0:00</t>
  </si>
  <si>
    <t>9/25/2003 0:00</t>
  </si>
  <si>
    <t>1/22/2004 0:00</t>
  </si>
  <si>
    <t>10/29/2004 0:00</t>
  </si>
  <si>
    <t>7/7/2004 0:00</t>
  </si>
  <si>
    <t>8/9/2004 0:00</t>
  </si>
  <si>
    <t>11/19/2003 0:00</t>
  </si>
  <si>
    <t>1/19/2005 0:00</t>
  </si>
  <si>
    <t>10/2/2003 0:00</t>
  </si>
  <si>
    <t>3/29/2004 0:00</t>
  </si>
  <si>
    <t>2/28/2005 0:00</t>
  </si>
  <si>
    <t>4/20/2004 0:00</t>
  </si>
  <si>
    <t>3/2/2005 0:00</t>
  </si>
  <si>
    <t>4/11/2003 0:00</t>
  </si>
  <si>
    <t>8/13/2003 0:00</t>
  </si>
  <si>
    <t>10/8/2003 0:00</t>
  </si>
  <si>
    <t>3/28/2005 0:00</t>
  </si>
  <si>
    <t>4/21/2003 0:00</t>
  </si>
  <si>
    <t>EMEA</t>
  </si>
  <si>
    <t>APAC</t>
  </si>
  <si>
    <t>Japan</t>
  </si>
  <si>
    <t>Motorcycles</t>
  </si>
  <si>
    <t>Classic Cars</t>
  </si>
  <si>
    <t>Trucks and Buses</t>
  </si>
  <si>
    <t>Vintage Cars</t>
  </si>
  <si>
    <t>Planes</t>
  </si>
  <si>
    <t>Ships</t>
  </si>
  <si>
    <t>Trains</t>
  </si>
  <si>
    <t>S10_1678</t>
  </si>
  <si>
    <t>S10_1949</t>
  </si>
  <si>
    <t>S10_2016</t>
  </si>
  <si>
    <t>S10_4698</t>
  </si>
  <si>
    <t>S10_4757</t>
  </si>
  <si>
    <t>S10_4962</t>
  </si>
  <si>
    <t>S12_1099</t>
  </si>
  <si>
    <t>S12_1108</t>
  </si>
  <si>
    <t>S12_1666</t>
  </si>
  <si>
    <t>S12_2823</t>
  </si>
  <si>
    <t>S12_3148</t>
  </si>
  <si>
    <t>S12_3380</t>
  </si>
  <si>
    <t>S12_3891</t>
  </si>
  <si>
    <t>S12_3990</t>
  </si>
  <si>
    <t>S12_4473</t>
  </si>
  <si>
    <t>S12_4675</t>
  </si>
  <si>
    <t>S18_1097</t>
  </si>
  <si>
    <t>S18_1129</t>
  </si>
  <si>
    <t>S18_1342</t>
  </si>
  <si>
    <t>S18_1367</t>
  </si>
  <si>
    <t>S18_1589</t>
  </si>
  <si>
    <t>S18_1662</t>
  </si>
  <si>
    <t>S18_1749</t>
  </si>
  <si>
    <t>S18_1889</t>
  </si>
  <si>
    <t>S18_1984</t>
  </si>
  <si>
    <t>S18_2238</t>
  </si>
  <si>
    <t>S18_2248</t>
  </si>
  <si>
    <t>S18_2319</t>
  </si>
  <si>
    <t>S18_2325</t>
  </si>
  <si>
    <t>S18_2432</t>
  </si>
  <si>
    <t>S18_2581</t>
  </si>
  <si>
    <t>S18_2625</t>
  </si>
  <si>
    <t>S18_2795</t>
  </si>
  <si>
    <t>S18_2870</t>
  </si>
  <si>
    <t>S18_2949</t>
  </si>
  <si>
    <t>S18_2957</t>
  </si>
  <si>
    <t>S18_3029</t>
  </si>
  <si>
    <t>S18_3136</t>
  </si>
  <si>
    <t>S18_3140</t>
  </si>
  <si>
    <t>S18_3232</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</si>
  <si>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</si>
  <si>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</si>
  <si>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</si>
  <si>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</si>
  <si>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</si>
  <si>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</si>
  <si>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</si>
  <si>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</si>
  <si>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</si>
  <si>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</si>
  <si>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</si>
  <si>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</si>
  <si>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</si>
  <si>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</si>
  <si>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</si>
  <si>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</si>
  <si>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</si>
  <si>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</si>
  <si>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</si>
  <si>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</si>
  <si>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</si>
  <si>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</si>
  <si>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</si>
  <si>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</si>
  <si>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</si>
  <si>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</si>
  <si>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</si>
  <si>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</si>
  <si>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</si>
  <si>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</si>
  <si>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</si>
  <si>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</si>
  <si>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</si>
  <si>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</si>
  <si>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</si>
  <si>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</si>
  <si>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</si>
  <si>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</si>
  <si>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</si>
  <si>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</si>
  <si>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</si>
  <si>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</si>
  <si>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</si>
  <si>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</si>
  <si>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</si>
  <si>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</si>
  <si>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</si>
  <si>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</si>
  <si>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</si>
  <si>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</si>
  <si>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</si>
  <si>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</si>
  <si>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</si>
  <si>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</si>
  <si>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</si>
  <si>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</si>
  <si>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</si>
  <si>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</si>
  <si>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</si>
  <si>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</si>
  <si>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</si>
  <si>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</si>
  <si>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</si>
  <si>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</si>
  <si>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</si>
  <si>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</si>
  <si>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</si>
  <si>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</si>
  <si>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</si>
  <si>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Metric</t>
  </si>
  <si>
    <t>Value</t>
  </si>
  <si>
    <t>Total Sales</t>
  </si>
  <si>
    <t>Average Sales</t>
  </si>
  <si>
    <t>Highest Sales</t>
  </si>
  <si>
    <t>Lowest Sales</t>
  </si>
  <si>
    <t>Sales Count (COUNT)</t>
  </si>
  <si>
    <t>Total Records (COUNTA)</t>
  </si>
  <si>
    <t>Sales Category(IF Function)</t>
  </si>
  <si>
    <t>Performance</t>
  </si>
  <si>
    <t xml:space="preserve"> Clean Product</t>
  </si>
  <si>
    <t>Category_Lookup</t>
  </si>
  <si>
    <t>Year</t>
  </si>
  <si>
    <t>Month</t>
  </si>
  <si>
    <t>Row Labels</t>
  </si>
  <si>
    <t>(blank)</t>
  </si>
  <si>
    <t>Grand Total</t>
  </si>
  <si>
    <t>Count of Sales</t>
  </si>
  <si>
    <t>Count of Profit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</si>
</sst>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20"/>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1" fillId="0" borderId="0" xfId="0" applyFont="1"/>
    <xf numFmtId="0" fontId="2" fillId="0" borderId="0" xfId="0" applyFont="1"/>
    <xf numFmtId="0" fontId="1" fillId="0" borderId="1" xfId="0" applyFont="1" applyBorder="1" applyAlignment="1">
      <alignment horizontal="left" vertical="top"/>
    </xf>
    <xf numFmtId="0" fontId="0" fillId="0" borderId="0" xfId="0" applyAlignment="1">
      <alignment horizontal="left"/>
    </xf>
    <xf numFmtId="0" fontId="1" fillId="0" borderId="0" xfId="0" applyFont="1" applyBorder="1" applyAlignment="1">
      <alignment horizontal="left" vertical="top"/>
    </xf>
    <xf numFmtId="0" fontId="0" fillId="0" borderId="0" xfId="0" pivotButton="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[Assignment6_Excel_Data_Analytics.xlsx]Pivot – Sales by Region!PivotTable6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manualLayout>
          <c:layoutTarget val="inner"/>
          <c:xMode val="edge"/>
          <c:yMode val="edge"/>
          <c:x val="7.8025371828521428E-2"/>
          <c:y val="0.28643299795858851"/>
          <c:w val="0.72191863517060373"/>
          <c:h val="0.6293157626130067"/>
        </c:manualLayout>
      </c:layout>
      <c:lineChart>
        <c:grouping val="standard"/>
        <c:varyColors val="0"/>
        <c:ser>
          <c:idx val="0"/>
          <c:order val="0"/>
          <c:tx>
            <c:strRef>
              <c:f>'Pivot – Sales by Region'!$B$1</c:f>
              <c:strCache>
                <c:ptCount val="1"/>
                <c:pt idx="0">
                  <c:v>Total</c:v>
                </c:pt>
              </c:strCache>
            </c:strRef>
          </c:tx>
          <c:spPr>
            <a:ln w="28575" cap="rnd">
              <a:solidFill>
                <a:schemeClr val="accent1"/>
              </a:solidFill>
              <a:round/>
            </a:ln>
            <a:effectLst/>
          </c:spPr>
          <c:marker>
            <c:symbol val="none"/>
          </c:marker>
          <c:cat>
            <c:strRef>
              <c:f>'Pivot – Sales by Region'!$B$2</c:f>
              <c:strCache>
                <c:ptCount val="1"/>
                <c:pt idx="0">
                  <c:v>Total</c:v>
                </c:pt>
              </c:strCache>
            </c:strRef>
          </c:cat>
          <c:val>
            <c:numRef>
              <c:f>'Pivot – Sales by Region'!$B$2</c:f>
              <c:numCache>
                <c:formatCode>General</c:formatCode>
                <c:ptCount val="1"/>
                <c:pt idx="0">
                  <c:v>2823</c:v>
                </c:pt>
              </c:numCache>
            </c:numRef>
          </c:val>
          <c:smooth val="0"/>
        </c:ser>
        <c:dLbls>
          <c:showLegendKey val="0"/>
          <c:showVal val="0"/>
          <c:showCatName val="0"/>
          <c:showSerName val="0"/>
          <c:showPercent val="0"/>
          <c:showBubbleSize val="0"/>
        </c:dLbls>
        <c:smooth val="0"/>
        <c:axId val="-866404848"/>
        <c:axId val="-866402128"/>
      </c:lineChart>
      <c:catAx>
        <c:axId val="-86640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02128"/>
        <c:crosses val="autoZero"/>
        <c:auto val="1"/>
        <c:lblAlgn val="ctr"/>
        <c:lblOffset val="100"/>
        <c:noMultiLvlLbl val="0"/>
      </c:catAx>
      <c:valAx>
        <c:axId val="-866402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048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[Assignment6_Excel_Data_Analytics.xlsx]Pivot – Sales by Region!PivotTable8</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 Sales by Region'!$D$1</c:f>
              <c:strCache>
                <c:ptCount val="1"/>
                <c:pt idx="0">
                  <c:v>Total</c:v>
                </c:pt>
              </c:strCache>
            </c:strRef>
          </c:tx>
          <c:spPr>
            <a:solidFill>
              <a:schemeClr val="accent1"/>
            </a:solidFill>
            <a:ln>
              <a:noFill/>
            </a:ln>
            <a:effectLst/>
          </c:spPr>
          <c:invertIfNegative val="0"/>
          <c:cat>
            <c:strRef>
              <c:f>'Pivot – Sales by Region'!$D$2</c:f>
              <c:strCache>
                <c:ptCount val="1"/>
                <c:pt idx="0">
                  <c:v>Total</c:v>
                </c:pt>
              </c:strCache>
            </c:strRef>
          </c:cat>
          <c:val>
            <c:numRef>
              <c:f>'Pivot – Sales by Region'!$D$2</c:f>
              <c:numCache>
                <c:formatCode>General</c:formatCode>
                <c:ptCount val="1"/>
                <c:pt idx="0">
                  <c:v>1</c:v>
                </c:pt>
              </c:numCache>
            </c:numRef>
          </c:val>
        </c:ser>
        <c:dLbls>
          <c:showLegendKey val="0"/>
          <c:showVal val="0"/>
          <c:showCatName val="0"/>
          <c:showSerName val="0"/>
          <c:showPercent val="0"/>
          <c:showBubbleSize val="0"/>
        </c:dLbls>
        <c:gapWidth val="219"/>
        <c:overlap val="-27"/>
        <c:axId val="-786421504"/>
        <c:axId val="-786417696"/>
      </c:barChart>
      <c:catAx>
        <c:axId val="-78642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417696"/>
        <c:crosses val="autoZero"/>
        <c:auto val="1"/>
        <c:lblAlgn val="ctr"/>
        <c:lblOffset val="100"/>
        <c:noMultiLvlLbl val="0"/>
      </c:catAx>
      <c:valAx>
        <c:axId val="-786417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421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[Assignment6_Excel_Data_Analytics.xlsx]Pivot – Sales by Region!PivotTable3</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779456656"/>
        <c:axId val="-779447952"/>
      </c:barChart>
      <c:catAx>
        <c:axId val="-7794566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47952"/>
        <c:crosses val="autoZero"/>
        <c:auto val="1"/>
        <c:lblAlgn val="ctr"/>
        <c:lblOffset val="100"/>
        <c:noMultiLvlLbl val="0"/>
      </c:catAx>
      <c:valAx>
        <c:axId val="-77944795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456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[Assignment6_Excel_Data_Analytics.xlsx]Pivot – Sales by Region!PivotTable6</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7.8025371828521428E-2"/>
          <c:y val="0.28643299795858851"/>
          <c:w val="0.72191863517060373"/>
          <c:h val="0.6293157626130067"/>
        </c:manualLayout>
      </c:layout>
      <c:lineChart>
        <c:grouping val="standard"/>
        <c:varyColors val="0"/>
        <c:ser>
          <c:idx val="0"/>
          <c:order val="0"/>
          <c:tx>
            <c:strRef>
              <c:f>'Pivot – Sales by Region'!$B$1</c:f>
              <c:strCache>
                <c:ptCount val="1"/>
                <c:pt idx="0">
                  <c:v>Total</c:v>
                </c:pt>
              </c:strCache>
            </c:strRef>
          </c:tx>
          <c:spPr>
            <a:ln w="28575" cap="rnd">
              <a:solidFill>
                <a:schemeClr val="accent1"/>
              </a:solidFill>
              <a:round/>
            </a:ln>
            <a:effectLst/>
          </c:spPr>
          <c:marker>
            <c:symbol val="none"/>
          </c:marker>
          <c:cat>
            <c:strRef>
              <c:f>'Pivot – Sales by Region'!$B$2</c:f>
              <c:strCache>
                <c:ptCount val="1"/>
                <c:pt idx="0">
                  <c:v>Total</c:v>
                </c:pt>
              </c:strCache>
            </c:strRef>
          </c:cat>
          <c:val>
            <c:numRef>
              <c:f>'Pivot – Sales by Region'!$B$2</c:f>
              <c:numCache>
                <c:formatCode>General</c:formatCode>
                <c:ptCount val="1"/>
                <c:pt idx="0">
                  <c:v>2823</c:v>
                </c:pt>
              </c:numCache>
            </c:numRef>
          </c:val>
          <c:smooth val="0"/>
        </c:ser>
        <c:dLbls>
          <c:showLegendKey val="0"/>
          <c:showVal val="0"/>
          <c:showCatName val="0"/>
          <c:showSerName val="0"/>
          <c:showPercent val="0"/>
          <c:showBubbleSize val="0"/>
        </c:dLbls>
        <c:smooth val="0"/>
        <c:axId val="-866407568"/>
        <c:axId val="-866407024"/>
      </c:lineChart>
      <c:catAx>
        <c:axId val="-866407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07024"/>
        <c:crosses val="autoZero"/>
        <c:auto val="1"/>
        <c:lblAlgn val="ctr"/>
        <c:lblOffset val="100"/>
        <c:noMultiLvlLbl val="0"/>
      </c:catAx>
      <c:valAx>
        <c:axId val="-86640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40756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[Assignment6_Excel_Data_Analytics.xlsx]Pivot – Sales by Region!PivotTable8</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 Sales by Region'!$D$1</c:f>
              <c:strCache>
                <c:ptCount val="1"/>
                <c:pt idx="0">
                  <c:v>Total</c:v>
                </c:pt>
              </c:strCache>
            </c:strRef>
          </c:tx>
          <c:spPr>
            <a:solidFill>
              <a:schemeClr val="accent1"/>
            </a:solidFill>
            <a:ln>
              <a:noFill/>
            </a:ln>
            <a:effectLst/>
          </c:spPr>
          <c:invertIfNegative val="0"/>
          <c:cat>
            <c:strRef>
              <c:f>'Pivot – Sales by Region'!$D$2</c:f>
              <c:strCache>
                <c:ptCount val="1"/>
                <c:pt idx="0">
                  <c:v>Total</c:v>
                </c:pt>
              </c:strCache>
            </c:strRef>
          </c:cat>
          <c:val>
            <c:numRef>
              <c:f>'Pivot – Sales by Region'!$D$2</c:f>
              <c:numCache>
                <c:formatCode>General</c:formatCode>
                <c:ptCount val="1"/>
                <c:pt idx="0">
                  <c:v>1</c:v>
                </c:pt>
              </c:numCache>
            </c:numRef>
          </c:val>
        </c:ser>
        <c:dLbls>
          <c:showLegendKey val="0"/>
          <c:showVal val="0"/>
          <c:showCatName val="0"/>
          <c:showSerName val="0"/>
          <c:showPercent val="0"/>
          <c:showBubbleSize val="0"/>
        </c:dLbls>
        <c:gapWidth val="219"/>
        <c:overlap val="-27"/>
        <c:axId val="-783380480"/>
        <c:axId val="-783382656"/>
      </c:barChart>
      <c:catAx>
        <c:axId val="-78338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82656"/>
        <c:crosses val="autoZero"/>
        <c:auto val="1"/>
        <c:lblAlgn val="ctr"/>
        <c:lblOffset val="100"/>
        <c:noMultiLvlLbl val="0"/>
      </c:catAx>
      <c:valAx>
        <c:axId val="-78338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33804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[Assignment6_Excel_Data_Analytics.xlsx]Pivot – Sales by Region!PivotTable3</c:name>
    <c:fmtId val="1"/>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778447600"/>
        <c:axId val="-778447056"/>
      </c:barChart>
      <c:catAx>
        <c:axId val="-77844760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47056"/>
        <c:crosses val="autoZero"/>
        <c:auto val="1"/>
        <c:lblAlgn val="ctr"/>
        <c:lblOffset val="100"/>
        <c:noMultiLvlLbl val="0"/>
      </c:catAx>
      <c:valAx>
        <c:axId val="-778447056"/>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84476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552449</xdr:colOff>
      <xdr:row>5</xdr:row>
      <xdr:rowOff>9524</xdr:rowOff>
    </xdr:from>
    <xdr:to>
      <xdr:col>10</xdr:col>
      <xdr:colOff>219075</xdr:colOff>
      <xdr:row>19</xdr:row>
      <xdr:rowOff>38099</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66675</xdr:colOff>
      <xdr:row>5</xdr:row>
      <xdr:rowOff>4762</xdr:rowOff>
    </xdr:from>
    <xdr:to>
      <xdr:col>17</xdr:col>
      <xdr:colOff>533400</xdr:colOff>
      <xdr:row>18</xdr:row>
      <xdr:rowOff>38100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714376</xdr:colOff>
      <xdr:row>12</xdr:row>
      <xdr:rowOff>104775</xdr:rowOff>
    </xdr:from>
    <xdr:to>
      <xdr:col>4</xdr:col>
      <xdr:colOff>171451</xdr:colOff>
      <xdr:row>20</xdr:row>
      <xdr:rowOff>38100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276225</xdr:colOff>
      <xdr:row>0</xdr:row>
      <xdr:rowOff>0</xdr:rowOff>
    </xdr:from>
    <xdr:to>
      <xdr:col>5</xdr:col>
      <xdr:colOff>552451</xdr:colOff>
      <xdr:row>14</xdr:row>
      <xdr:rowOff>28575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561975</xdr:colOff>
      <xdr:row>1</xdr:row>
      <xdr:rowOff>9525</xdr:rowOff>
    </xdr:from>
    <xdr:to>
      <xdr:col>14</xdr:col>
      <xdr:colOff>419100</xdr:colOff>
      <xdr:row>14</xdr:row>
      <xdr:rowOff>42863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171450</xdr:colOff>
      <xdr:row>0</xdr:row>
      <xdr:rowOff>171450</xdr:rowOff>
    </xdr:from>
    <xdr:to>
      <xdr:col>18</xdr:col>
      <xdr:colOff>590550</xdr:colOff>
      <xdr:row>8</xdr:row>
      <xdr:rowOff>123825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485775</xdr:colOff>
      <xdr:row>8</xdr:row>
      <xdr:rowOff>180975</xdr:rowOff>
    </xdr:from>
    <xdr:to>
      <xdr:col>18</xdr:col>
      <xdr:colOff>485775</xdr:colOff>
      <xdr:row>22</xdr:row>
      <xdr:rowOff>38100</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629775" y="1704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85725</xdr:colOff>
      <xdr:row>10</xdr:row>
      <xdr:rowOff>123825</xdr:rowOff>
    </xdr:from>
    <xdr:to>
      <xdr:col>14</xdr:col>
      <xdr:colOff>314325</xdr:colOff>
      <xdr:row>21</xdr:row>
      <xdr:rowOff>171450</xdr:rowOff>
    </xdr:to>
    <mc:AlternateContent xmlns:mc="http://schemas.openxmlformats.org/markup-compatibility/2006">
      <mc:Choice xmlns:a14="http://schemas.microsoft.com/office/drawing/2010/main" Requires="a14">
        <xdr:graphicFrame macro="">
          <xdr:nvGraphicFramePr>
            <xdr:cNvPr id="9" name="Profit"/>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7400925" y="2028825"/>
              <a:ext cx="1447800" cy="2143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533401</xdr:colOff>
      <xdr:row>13</xdr:row>
      <xdr:rowOff>9525</xdr:rowOff>
    </xdr:from>
    <xdr:to>
      <xdr:col>5</xdr:col>
      <xdr:colOff>428625</xdr:colOff>
      <xdr:row>20</xdr:row>
      <xdr:rowOff>38100</xdr:rowOff>
    </xdr:to>
    <mc:AlternateContent xmlns:mc="http://schemas.openxmlformats.org/markup-compatibility/2006">
      <mc:Choice xmlns:a14="http://schemas.microsoft.com/office/drawing/2010/main" Requires="a14">
        <xdr:graphicFrame macro="">
          <xdr:nvGraphicFramePr>
            <xdr:cNvPr id="10" name="Sales"/>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2362201" y="2486025"/>
              <a:ext cx="1114424" cy="1362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Sales_Data"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s>
    <sheetDataSet>
      <sheetData sheetId="0">
        <row r="1">
          <cell r="E1" t="str">
            <v>Sales</v>
          </cell>
        </row>
        <row r="2">
          <cell r="E2">
            <v>2871</v>
          </cell>
        </row>
        <row r="3">
          <cell r="E3">
            <v>2765.9</v>
          </cell>
        </row>
        <row r="4">
          <cell r="E4">
            <v>3884.34</v>
          </cell>
        </row>
        <row r="5">
          <cell r="E5">
            <v>3746.7</v>
          </cell>
        </row>
        <row r="6">
          <cell r="E6">
            <v>5205.2700000000004</v>
          </cell>
        </row>
        <row r="7">
          <cell r="E7">
            <v>3479.76</v>
          </cell>
        </row>
        <row r="8">
          <cell r="E8">
            <v>2497.77</v>
          </cell>
        </row>
        <row r="9">
          <cell r="E9">
            <v>5512.32</v>
          </cell>
        </row>
        <row r="10">
          <cell r="E10">
            <v>2168.54</v>
          </cell>
        </row>
        <row r="11">
          <cell r="E11">
            <v>4708.4399999999996</v>
          </cell>
        </row>
        <row r="12">
          <cell r="E12">
            <v>3965.66</v>
          </cell>
        </row>
        <row r="13">
          <cell r="E13">
            <v>2333.12</v>
          </cell>
        </row>
        <row r="14">
          <cell r="E14">
            <v>3188.64</v>
          </cell>
        </row>
        <row r="15">
          <cell r="E15">
            <v>3676.76</v>
          </cell>
        </row>
        <row r="16">
          <cell r="E16">
            <v>4177.3500000000004</v>
          </cell>
        </row>
        <row r="17">
          <cell r="E17">
            <v>4099.68</v>
          </cell>
        </row>
        <row r="18">
          <cell r="E18">
            <v>2597.39</v>
          </cell>
        </row>
        <row r="19">
          <cell r="E19">
            <v>4394.38</v>
          </cell>
        </row>
        <row r="20">
          <cell r="E20">
            <v>4358.04</v>
          </cell>
        </row>
        <row r="21">
          <cell r="E21">
            <v>4396.1400000000003</v>
          </cell>
        </row>
        <row r="22">
          <cell r="E22">
            <v>7737.93</v>
          </cell>
        </row>
        <row r="23">
          <cell r="E23">
            <v>1451</v>
          </cell>
        </row>
        <row r="24">
          <cell r="E24">
            <v>733.11</v>
          </cell>
        </row>
        <row r="25">
          <cell r="E25">
            <v>3207.12</v>
          </cell>
        </row>
        <row r="26">
          <cell r="E26">
            <v>2434.56</v>
          </cell>
        </row>
        <row r="27">
          <cell r="E27">
            <v>7516.08</v>
          </cell>
        </row>
        <row r="28">
          <cell r="E28">
            <v>5404.62</v>
          </cell>
        </row>
        <row r="29">
          <cell r="E29">
            <v>7209.11</v>
          </cell>
        </row>
        <row r="30">
          <cell r="E30">
            <v>7329.06</v>
          </cell>
        </row>
        <row r="31">
          <cell r="E31">
            <v>7374.1</v>
          </cell>
        </row>
        <row r="32">
          <cell r="E32">
            <v>10993.5</v>
          </cell>
        </row>
        <row r="33">
          <cell r="E33">
            <v>4860.24</v>
          </cell>
        </row>
        <row r="34">
          <cell r="E34">
            <v>8014.82</v>
          </cell>
        </row>
        <row r="35">
          <cell r="E35">
            <v>5372.57</v>
          </cell>
        </row>
        <row r="36">
          <cell r="E36">
            <v>7290.36</v>
          </cell>
        </row>
        <row r="37">
          <cell r="E37">
            <v>9064.89</v>
          </cell>
        </row>
        <row r="38">
          <cell r="E38">
            <v>6075.3</v>
          </cell>
        </row>
        <row r="39">
          <cell r="E39">
            <v>6463.23</v>
          </cell>
        </row>
        <row r="40">
          <cell r="E40">
            <v>6120.34</v>
          </cell>
        </row>
        <row r="41">
          <cell r="E41">
            <v>7680.64</v>
          </cell>
        </row>
        <row r="42">
          <cell r="E42">
            <v>4905.3900000000003</v>
          </cell>
        </row>
        <row r="43">
          <cell r="E43">
            <v>8014.82</v>
          </cell>
        </row>
        <row r="44">
          <cell r="E44">
            <v>7136.19</v>
          </cell>
        </row>
        <row r="45">
          <cell r="E45">
            <v>10172.700000000001</v>
          </cell>
        </row>
        <row r="46">
          <cell r="E46">
            <v>11623.7</v>
          </cell>
        </row>
        <row r="47">
          <cell r="E47">
            <v>6000.4</v>
          </cell>
        </row>
        <row r="48">
          <cell r="E48">
            <v>3003</v>
          </cell>
        </row>
        <row r="49">
          <cell r="E49">
            <v>3944.7</v>
          </cell>
        </row>
        <row r="50">
          <cell r="E50">
            <v>5691.84</v>
          </cell>
        </row>
        <row r="51">
          <cell r="E51">
            <v>4514.92</v>
          </cell>
        </row>
        <row r="52">
          <cell r="E52">
            <v>8254.7999999999993</v>
          </cell>
        </row>
        <row r="53">
          <cell r="E53">
            <v>2416.56</v>
          </cell>
        </row>
        <row r="54">
          <cell r="E54">
            <v>4140.2299999999996</v>
          </cell>
        </row>
        <row r="55">
          <cell r="E55">
            <v>12001</v>
          </cell>
        </row>
        <row r="56">
          <cell r="E56">
            <v>3896.49</v>
          </cell>
        </row>
        <row r="57">
          <cell r="E57">
            <v>2793.86</v>
          </cell>
        </row>
        <row r="58">
          <cell r="E58">
            <v>3307.77</v>
          </cell>
        </row>
        <row r="59">
          <cell r="E59">
            <v>5192.95</v>
          </cell>
        </row>
        <row r="60">
          <cell r="E60">
            <v>5016.83</v>
          </cell>
        </row>
        <row r="61">
          <cell r="E61">
            <v>3660.93</v>
          </cell>
        </row>
        <row r="62">
          <cell r="E62">
            <v>4695.6000000000004</v>
          </cell>
        </row>
        <row r="63">
          <cell r="E63">
            <v>3660.92</v>
          </cell>
        </row>
        <row r="64">
          <cell r="E64">
            <v>3025.92</v>
          </cell>
        </row>
        <row r="65">
          <cell r="E65">
            <v>3009.09</v>
          </cell>
        </row>
        <row r="66">
          <cell r="E66">
            <v>5422.39</v>
          </cell>
        </row>
        <row r="67">
          <cell r="E67">
            <v>2852.08</v>
          </cell>
        </row>
        <row r="68">
          <cell r="E68">
            <v>5756.52</v>
          </cell>
        </row>
        <row r="69">
          <cell r="E69">
            <v>4472</v>
          </cell>
        </row>
        <row r="70">
          <cell r="E70">
            <v>2904.44</v>
          </cell>
        </row>
        <row r="71">
          <cell r="E71">
            <v>6484.59</v>
          </cell>
        </row>
        <row r="72">
          <cell r="E72">
            <v>3757.26</v>
          </cell>
        </row>
        <row r="73">
          <cell r="E73">
            <v>4043.96</v>
          </cell>
        </row>
        <row r="74">
          <cell r="E74">
            <v>5566.5</v>
          </cell>
        </row>
        <row r="75">
          <cell r="E75">
            <v>3176</v>
          </cell>
        </row>
        <row r="76">
          <cell r="E76">
            <v>2756.8</v>
          </cell>
        </row>
        <row r="77">
          <cell r="E77">
            <v>1329.9</v>
          </cell>
        </row>
        <row r="78">
          <cell r="E78">
            <v>5288.01</v>
          </cell>
        </row>
        <row r="79">
          <cell r="E79">
            <v>2225.5</v>
          </cell>
        </row>
        <row r="80">
          <cell r="E80">
            <v>5833.8</v>
          </cell>
        </row>
        <row r="81">
          <cell r="E81">
            <v>5887.35</v>
          </cell>
        </row>
        <row r="82">
          <cell r="E82">
            <v>6065.55</v>
          </cell>
        </row>
        <row r="83">
          <cell r="E83">
            <v>9264.86</v>
          </cell>
        </row>
        <row r="84">
          <cell r="E84">
            <v>7023.98</v>
          </cell>
        </row>
        <row r="85">
          <cell r="E85">
            <v>5176.38</v>
          </cell>
        </row>
        <row r="86">
          <cell r="E86">
            <v>4132.7</v>
          </cell>
        </row>
        <row r="87">
          <cell r="E87">
            <v>4183</v>
          </cell>
        </row>
        <row r="88">
          <cell r="E88">
            <v>8892.9</v>
          </cell>
        </row>
        <row r="89">
          <cell r="E89">
            <v>8714.7000000000007</v>
          </cell>
        </row>
        <row r="90">
          <cell r="E90">
            <v>8065.89</v>
          </cell>
        </row>
        <row r="91">
          <cell r="E91">
            <v>6123.4</v>
          </cell>
        </row>
        <row r="92">
          <cell r="E92">
            <v>9774.0300000000007</v>
          </cell>
        </row>
        <row r="93">
          <cell r="E93">
            <v>7023.9</v>
          </cell>
        </row>
        <row r="94">
          <cell r="E94">
            <v>7078.23</v>
          </cell>
        </row>
        <row r="95">
          <cell r="E95">
            <v>8336.94</v>
          </cell>
        </row>
        <row r="96">
          <cell r="E96">
            <v>6901.92</v>
          </cell>
        </row>
        <row r="97">
          <cell r="E97">
            <v>5438.07</v>
          </cell>
        </row>
        <row r="98">
          <cell r="E98">
            <v>6683.34</v>
          </cell>
        </row>
        <row r="99">
          <cell r="E99">
            <v>4570.3999999999996</v>
          </cell>
        </row>
        <row r="100">
          <cell r="E100">
            <v>7667.14</v>
          </cell>
        </row>
        <row r="101">
          <cell r="E101">
            <v>5868.2</v>
          </cell>
        </row>
        <row r="102">
          <cell r="E102">
            <v>2990.13</v>
          </cell>
        </row>
        <row r="103">
          <cell r="E103">
            <v>3664.1</v>
          </cell>
        </row>
        <row r="104">
          <cell r="E104">
            <v>3834.38</v>
          </cell>
        </row>
        <row r="105">
          <cell r="E105">
            <v>1822.17</v>
          </cell>
        </row>
        <row r="106">
          <cell r="E106">
            <v>11886.6</v>
          </cell>
        </row>
        <row r="107">
          <cell r="E107">
            <v>9218.16</v>
          </cell>
        </row>
        <row r="108">
          <cell r="E108">
            <v>7208</v>
          </cell>
        </row>
        <row r="109">
          <cell r="E109">
            <v>5004.8</v>
          </cell>
        </row>
        <row r="110">
          <cell r="E110">
            <v>4398.24</v>
          </cell>
        </row>
        <row r="111">
          <cell r="E111">
            <v>5597.76</v>
          </cell>
        </row>
        <row r="112">
          <cell r="E112">
            <v>4526.08</v>
          </cell>
        </row>
        <row r="113">
          <cell r="E113">
            <v>5924.16</v>
          </cell>
        </row>
        <row r="114">
          <cell r="E114">
            <v>3492.48</v>
          </cell>
        </row>
        <row r="115">
          <cell r="E115">
            <v>3854.24</v>
          </cell>
        </row>
        <row r="116">
          <cell r="E116">
            <v>5324.4</v>
          </cell>
        </row>
        <row r="117">
          <cell r="E117">
            <v>5197.92</v>
          </cell>
        </row>
        <row r="118">
          <cell r="E118">
            <v>5997.6</v>
          </cell>
        </row>
        <row r="119">
          <cell r="E119">
            <v>2910.4</v>
          </cell>
        </row>
        <row r="120">
          <cell r="E120">
            <v>3378.24</v>
          </cell>
        </row>
        <row r="121">
          <cell r="E121">
            <v>3508.8</v>
          </cell>
        </row>
        <row r="122">
          <cell r="E122">
            <v>2992</v>
          </cell>
        </row>
        <row r="123">
          <cell r="E123">
            <v>3427.2</v>
          </cell>
        </row>
        <row r="124">
          <cell r="E124">
            <v>2692.8</v>
          </cell>
        </row>
        <row r="125">
          <cell r="E125">
            <v>4128.96</v>
          </cell>
        </row>
        <row r="126">
          <cell r="E126">
            <v>3051.71</v>
          </cell>
        </row>
        <row r="127">
          <cell r="E127">
            <v>1201.25</v>
          </cell>
        </row>
        <row r="128">
          <cell r="E128">
            <v>1962.22</v>
          </cell>
        </row>
        <row r="129">
          <cell r="E129">
            <v>2624.64</v>
          </cell>
        </row>
        <row r="130">
          <cell r="E130">
            <v>4046.25</v>
          </cell>
        </row>
        <row r="131">
          <cell r="E131">
            <v>4846.7</v>
          </cell>
        </row>
        <row r="132">
          <cell r="E132">
            <v>3370.56</v>
          </cell>
        </row>
        <row r="133">
          <cell r="E133">
            <v>9661.44</v>
          </cell>
        </row>
        <row r="134">
          <cell r="E134">
            <v>2764.88</v>
          </cell>
        </row>
        <row r="135">
          <cell r="E135">
            <v>5398.26</v>
          </cell>
        </row>
        <row r="136">
          <cell r="E136">
            <v>4305.28</v>
          </cell>
        </row>
        <row r="137">
          <cell r="E137">
            <v>3347.74</v>
          </cell>
        </row>
        <row r="138">
          <cell r="E138">
            <v>3188.12</v>
          </cell>
        </row>
        <row r="139">
          <cell r="E139">
            <v>3191.2</v>
          </cell>
        </row>
        <row r="140">
          <cell r="E140">
            <v>3536.82</v>
          </cell>
        </row>
        <row r="141">
          <cell r="E141">
            <v>5362.83</v>
          </cell>
        </row>
        <row r="142">
          <cell r="E142">
            <v>3433.36</v>
          </cell>
        </row>
        <row r="143">
          <cell r="E143">
            <v>4263.74</v>
          </cell>
        </row>
        <row r="144">
          <cell r="E144">
            <v>4076.19</v>
          </cell>
        </row>
        <row r="145">
          <cell r="E145">
            <v>7020.48</v>
          </cell>
        </row>
        <row r="146">
          <cell r="E146">
            <v>6426.5</v>
          </cell>
        </row>
        <row r="147">
          <cell r="E147">
            <v>4591.72</v>
          </cell>
        </row>
        <row r="148">
          <cell r="E148">
            <v>4033.38</v>
          </cell>
        </row>
        <row r="149">
          <cell r="E149">
            <v>4302.08</v>
          </cell>
        </row>
        <row r="150">
          <cell r="E150">
            <v>7020.64</v>
          </cell>
        </row>
        <row r="151">
          <cell r="E151">
            <v>3855.9</v>
          </cell>
        </row>
        <row r="152">
          <cell r="E152">
            <v>6680.78</v>
          </cell>
        </row>
        <row r="153">
          <cell r="E153">
            <v>6678</v>
          </cell>
        </row>
        <row r="154">
          <cell r="E154">
            <v>2851.54</v>
          </cell>
        </row>
        <row r="155">
          <cell r="E155">
            <v>3188.12</v>
          </cell>
        </row>
        <row r="156">
          <cell r="E156">
            <v>4428</v>
          </cell>
        </row>
        <row r="157">
          <cell r="E157">
            <v>5780.92</v>
          </cell>
        </row>
        <row r="158">
          <cell r="E158">
            <v>2297.0500000000002</v>
          </cell>
        </row>
        <row r="159">
          <cell r="E159">
            <v>6231.54</v>
          </cell>
        </row>
        <row r="160">
          <cell r="E160">
            <v>1735.3</v>
          </cell>
        </row>
        <row r="161">
          <cell r="E161">
            <v>4427.7299999999996</v>
          </cell>
        </row>
        <row r="162">
          <cell r="E162">
            <v>5894.94</v>
          </cell>
        </row>
        <row r="163">
          <cell r="E163">
            <v>5265.15</v>
          </cell>
        </row>
        <row r="164">
          <cell r="E164">
            <v>7599.9</v>
          </cell>
        </row>
        <row r="165">
          <cell r="E165">
            <v>8008.56</v>
          </cell>
        </row>
        <row r="166">
          <cell r="E166">
            <v>9245.76</v>
          </cell>
        </row>
        <row r="167">
          <cell r="E167">
            <v>8296.35</v>
          </cell>
        </row>
        <row r="168">
          <cell r="E168">
            <v>5019.8999999999996</v>
          </cell>
        </row>
        <row r="169">
          <cell r="E169">
            <v>5411.07</v>
          </cell>
        </row>
        <row r="170">
          <cell r="E170">
            <v>3840.9</v>
          </cell>
        </row>
        <row r="171">
          <cell r="E171">
            <v>3930.4</v>
          </cell>
        </row>
        <row r="172">
          <cell r="E172">
            <v>7498.9</v>
          </cell>
        </row>
        <row r="173">
          <cell r="E173">
            <v>4517.91</v>
          </cell>
        </row>
        <row r="174">
          <cell r="E174">
            <v>5774.72</v>
          </cell>
        </row>
        <row r="175">
          <cell r="E175">
            <v>3922.56</v>
          </cell>
        </row>
        <row r="176">
          <cell r="E176">
            <v>9160.36</v>
          </cell>
        </row>
        <row r="177">
          <cell r="E177">
            <v>9631</v>
          </cell>
        </row>
        <row r="178">
          <cell r="E178">
            <v>3432.24</v>
          </cell>
        </row>
        <row r="179">
          <cell r="E179">
            <v>5521.89</v>
          </cell>
        </row>
        <row r="180">
          <cell r="E180">
            <v>6934.62</v>
          </cell>
        </row>
        <row r="181">
          <cell r="E181">
            <v>6876.11</v>
          </cell>
        </row>
        <row r="182">
          <cell r="E182">
            <v>2930.27</v>
          </cell>
        </row>
        <row r="183">
          <cell r="E183">
            <v>3584.25</v>
          </cell>
        </row>
        <row r="184">
          <cell r="E184">
            <v>2817.87</v>
          </cell>
        </row>
        <row r="185">
          <cell r="E185">
            <v>3420</v>
          </cell>
        </row>
        <row r="186">
          <cell r="E186">
            <v>2575.04</v>
          </cell>
        </row>
        <row r="187">
          <cell r="E187">
            <v>1961.28</v>
          </cell>
        </row>
        <row r="188">
          <cell r="E188">
            <v>8690.36</v>
          </cell>
        </row>
        <row r="189">
          <cell r="E189">
            <v>6034.38</v>
          </cell>
        </row>
        <row r="190">
          <cell r="E190">
            <v>11279.2</v>
          </cell>
        </row>
        <row r="191">
          <cell r="E191">
            <v>8023.29</v>
          </cell>
        </row>
        <row r="192">
          <cell r="E192">
            <v>4904</v>
          </cell>
        </row>
        <row r="193">
          <cell r="E193">
            <v>8594.52</v>
          </cell>
        </row>
        <row r="194">
          <cell r="E194">
            <v>7474.5</v>
          </cell>
        </row>
        <row r="195">
          <cell r="E195">
            <v>3883.74</v>
          </cell>
        </row>
        <row r="196">
          <cell r="E196">
            <v>8887.7000000000007</v>
          </cell>
        </row>
        <row r="197">
          <cell r="E197">
            <v>8602.92</v>
          </cell>
        </row>
        <row r="198">
          <cell r="E198">
            <v>7181.44</v>
          </cell>
        </row>
        <row r="199">
          <cell r="E199">
            <v>8378.58</v>
          </cell>
        </row>
        <row r="200">
          <cell r="E200">
            <v>10606.2</v>
          </cell>
        </row>
        <row r="201">
          <cell r="E201">
            <v>5818.4</v>
          </cell>
        </row>
        <row r="202">
          <cell r="E202">
            <v>7071.27</v>
          </cell>
        </row>
        <row r="203">
          <cell r="E203">
            <v>8411.56</v>
          </cell>
        </row>
        <row r="204">
          <cell r="E204">
            <v>6570.76</v>
          </cell>
        </row>
        <row r="205">
          <cell r="E205">
            <v>7975.44</v>
          </cell>
        </row>
        <row r="206">
          <cell r="E206">
            <v>2688</v>
          </cell>
        </row>
        <row r="207">
          <cell r="E207">
            <v>1888.26</v>
          </cell>
        </row>
        <row r="208">
          <cell r="E208">
            <v>2513.2800000000002</v>
          </cell>
        </row>
        <row r="209">
          <cell r="E209">
            <v>4764.4799999999996</v>
          </cell>
        </row>
        <row r="210">
          <cell r="E210">
            <v>3560.64</v>
          </cell>
        </row>
        <row r="211">
          <cell r="E211">
            <v>3823.64</v>
          </cell>
        </row>
        <row r="212">
          <cell r="E212">
            <v>2280.96</v>
          </cell>
        </row>
        <row r="213">
          <cell r="E213">
            <v>8677.7999999999993</v>
          </cell>
        </row>
        <row r="214">
          <cell r="E214">
            <v>3394.98</v>
          </cell>
        </row>
        <row r="215">
          <cell r="E215">
            <v>3415.44</v>
          </cell>
        </row>
        <row r="216">
          <cell r="E216">
            <v>2439.5700000000002</v>
          </cell>
        </row>
        <row r="217">
          <cell r="E217">
            <v>4829.8</v>
          </cell>
        </row>
        <row r="218">
          <cell r="E218">
            <v>4100.1000000000004</v>
          </cell>
        </row>
        <row r="219">
          <cell r="E219">
            <v>6563.06</v>
          </cell>
        </row>
        <row r="220">
          <cell r="E220">
            <v>6817.22</v>
          </cell>
        </row>
        <row r="221">
          <cell r="E221">
            <v>6163.94</v>
          </cell>
        </row>
        <row r="222">
          <cell r="E222">
            <v>4933.92</v>
          </cell>
        </row>
        <row r="223">
          <cell r="E223">
            <v>4056.36</v>
          </cell>
        </row>
        <row r="224">
          <cell r="E224">
            <v>5759.42</v>
          </cell>
        </row>
        <row r="225">
          <cell r="E225">
            <v>3451</v>
          </cell>
        </row>
        <row r="226">
          <cell r="E226">
            <v>5920.4</v>
          </cell>
        </row>
        <row r="227">
          <cell r="E227">
            <v>6668.24</v>
          </cell>
        </row>
        <row r="228">
          <cell r="E228">
            <v>4094.72</v>
          </cell>
        </row>
        <row r="229">
          <cell r="E229">
            <v>2938.5</v>
          </cell>
        </row>
        <row r="230">
          <cell r="E230">
            <v>6387.8</v>
          </cell>
        </row>
        <row r="231">
          <cell r="E231">
            <v>6396</v>
          </cell>
        </row>
        <row r="232">
          <cell r="E232">
            <v>2669.1</v>
          </cell>
        </row>
        <row r="233">
          <cell r="E233">
            <v>4784.13</v>
          </cell>
        </row>
        <row r="234">
          <cell r="E234">
            <v>3273.93</v>
          </cell>
        </row>
        <row r="235">
          <cell r="E235">
            <v>3586.43</v>
          </cell>
        </row>
        <row r="236">
          <cell r="E236">
            <v>5960.36</v>
          </cell>
        </row>
        <row r="237">
          <cell r="E237">
            <v>8470.14</v>
          </cell>
        </row>
        <row r="238">
          <cell r="E238">
            <v>2952</v>
          </cell>
        </row>
        <row r="239">
          <cell r="E239">
            <v>2464.8000000000002</v>
          </cell>
        </row>
        <row r="240">
          <cell r="E240">
            <v>6232</v>
          </cell>
        </row>
        <row r="241">
          <cell r="E241">
            <v>7969.36</v>
          </cell>
        </row>
        <row r="242">
          <cell r="E242">
            <v>3036.6</v>
          </cell>
        </row>
        <row r="243">
          <cell r="E243">
            <v>8284</v>
          </cell>
        </row>
        <row r="244">
          <cell r="E244">
            <v>2711.2</v>
          </cell>
        </row>
        <row r="245">
          <cell r="E245">
            <v>8339.7999999999993</v>
          </cell>
        </row>
        <row r="246">
          <cell r="E246">
            <v>6238.84</v>
          </cell>
        </row>
        <row r="247">
          <cell r="E247">
            <v>4639.25</v>
          </cell>
        </row>
        <row r="248">
          <cell r="E248">
            <v>6747.6</v>
          </cell>
        </row>
        <row r="249">
          <cell r="E249">
            <v>4512.4799999999996</v>
          </cell>
        </row>
        <row r="250">
          <cell r="E250">
            <v>4029</v>
          </cell>
        </row>
        <row r="251">
          <cell r="E251">
            <v>4771.8</v>
          </cell>
        </row>
        <row r="252">
          <cell r="E252">
            <v>6087.94</v>
          </cell>
        </row>
        <row r="253">
          <cell r="E253">
            <v>4193.28</v>
          </cell>
        </row>
        <row r="254">
          <cell r="E254">
            <v>7552.28</v>
          </cell>
        </row>
        <row r="255">
          <cell r="E255">
            <v>6434.4</v>
          </cell>
        </row>
        <row r="256">
          <cell r="E256">
            <v>5181.5</v>
          </cell>
        </row>
        <row r="257">
          <cell r="E257">
            <v>6863.92</v>
          </cell>
        </row>
        <row r="258">
          <cell r="E258">
            <v>4157.04</v>
          </cell>
        </row>
        <row r="259">
          <cell r="E259">
            <v>4660.24</v>
          </cell>
        </row>
        <row r="260">
          <cell r="E260">
            <v>4111.8</v>
          </cell>
        </row>
        <row r="261">
          <cell r="E261">
            <v>3542.64</v>
          </cell>
        </row>
        <row r="262">
          <cell r="E262">
            <v>8118.55</v>
          </cell>
        </row>
        <row r="263">
          <cell r="E263">
            <v>3877.06</v>
          </cell>
        </row>
        <row r="264">
          <cell r="E264">
            <v>3867.08</v>
          </cell>
        </row>
        <row r="265">
          <cell r="E265">
            <v>5951.44</v>
          </cell>
        </row>
        <row r="266">
          <cell r="E266">
            <v>8648.64</v>
          </cell>
        </row>
        <row r="267">
          <cell r="E267">
            <v>3447.78</v>
          </cell>
        </row>
        <row r="268">
          <cell r="E268">
            <v>5958.5</v>
          </cell>
        </row>
        <row r="269">
          <cell r="E269">
            <v>5911.64</v>
          </cell>
        </row>
        <row r="270">
          <cell r="E270">
            <v>7366.44</v>
          </cell>
        </row>
        <row r="271">
          <cell r="E271">
            <v>4985.6400000000003</v>
          </cell>
        </row>
        <row r="272">
          <cell r="E272">
            <v>5393.64</v>
          </cell>
        </row>
        <row r="273">
          <cell r="E273">
            <v>4880.0200000000004</v>
          </cell>
        </row>
        <row r="274">
          <cell r="E274">
            <v>8378.69</v>
          </cell>
        </row>
        <row r="275">
          <cell r="E275">
            <v>4038.21</v>
          </cell>
        </row>
        <row r="276">
          <cell r="E276">
            <v>3807.12</v>
          </cell>
        </row>
        <row r="277">
          <cell r="E277">
            <v>3142.36</v>
          </cell>
        </row>
        <row r="278">
          <cell r="E278">
            <v>4713.6000000000004</v>
          </cell>
        </row>
        <row r="279">
          <cell r="E279">
            <v>7016.31</v>
          </cell>
        </row>
        <row r="280">
          <cell r="E280">
            <v>4381.25</v>
          </cell>
        </row>
        <row r="281">
          <cell r="E281">
            <v>4283.01</v>
          </cell>
        </row>
        <row r="282">
          <cell r="E282">
            <v>4364.82</v>
          </cell>
        </row>
        <row r="283">
          <cell r="E283">
            <v>4242.24</v>
          </cell>
        </row>
        <row r="284">
          <cell r="E284">
            <v>4982.7</v>
          </cell>
        </row>
        <row r="285">
          <cell r="E285">
            <v>6393.54</v>
          </cell>
        </row>
        <row r="286">
          <cell r="E286">
            <v>1466.91</v>
          </cell>
        </row>
        <row r="287">
          <cell r="E287">
            <v>4059.33</v>
          </cell>
        </row>
        <row r="288">
          <cell r="E288">
            <v>4801.5200000000004</v>
          </cell>
        </row>
        <row r="289">
          <cell r="E289">
            <v>2711.66</v>
          </cell>
        </row>
        <row r="290">
          <cell r="E290">
            <v>5862</v>
          </cell>
        </row>
        <row r="291">
          <cell r="E291">
            <v>4071.85</v>
          </cell>
        </row>
        <row r="292">
          <cell r="E292">
            <v>8236.75</v>
          </cell>
        </row>
        <row r="293">
          <cell r="E293">
            <v>6130.35</v>
          </cell>
        </row>
        <row r="294">
          <cell r="E294">
            <v>3693.34</v>
          </cell>
        </row>
        <row r="295">
          <cell r="E295">
            <v>6031.68</v>
          </cell>
        </row>
        <row r="296">
          <cell r="E296">
            <v>3494.94</v>
          </cell>
        </row>
        <row r="297">
          <cell r="E297">
            <v>5294.14</v>
          </cell>
        </row>
        <row r="298">
          <cell r="E298">
            <v>5464.69</v>
          </cell>
        </row>
        <row r="299">
          <cell r="E299">
            <v>2860.76</v>
          </cell>
        </row>
        <row r="300">
          <cell r="E300">
            <v>5590</v>
          </cell>
        </row>
        <row r="301">
          <cell r="E301">
            <v>2254.8000000000002</v>
          </cell>
        </row>
        <row r="302">
          <cell r="E302">
            <v>4946.76</v>
          </cell>
        </row>
        <row r="303">
          <cell r="E303">
            <v>2495.5</v>
          </cell>
        </row>
        <row r="304">
          <cell r="E304">
            <v>3167.38</v>
          </cell>
        </row>
        <row r="305">
          <cell r="E305">
            <v>2402.84</v>
          </cell>
        </row>
        <row r="306">
          <cell r="E306">
            <v>2454.54</v>
          </cell>
        </row>
        <row r="307">
          <cell r="E307">
            <v>5464.69</v>
          </cell>
        </row>
        <row r="308">
          <cell r="E308">
            <v>4756.5</v>
          </cell>
        </row>
        <row r="309">
          <cell r="E309">
            <v>3984.6</v>
          </cell>
        </row>
        <row r="310">
          <cell r="E310">
            <v>3100.32</v>
          </cell>
        </row>
        <row r="311">
          <cell r="E311">
            <v>4850.3</v>
          </cell>
        </row>
        <row r="312">
          <cell r="E312">
            <v>3846.98</v>
          </cell>
        </row>
        <row r="313">
          <cell r="E313">
            <v>4220.92</v>
          </cell>
        </row>
        <row r="314">
          <cell r="E314">
            <v>3288.82</v>
          </cell>
        </row>
        <row r="315">
          <cell r="E315">
            <v>3987.2</v>
          </cell>
        </row>
        <row r="316">
          <cell r="E316">
            <v>1809.5</v>
          </cell>
        </row>
        <row r="317">
          <cell r="E317">
            <v>1092.2</v>
          </cell>
        </row>
        <row r="318">
          <cell r="E318">
            <v>4566.05</v>
          </cell>
        </row>
        <row r="319">
          <cell r="E319">
            <v>5938.14</v>
          </cell>
        </row>
        <row r="320">
          <cell r="E320">
            <v>8138.76</v>
          </cell>
        </row>
        <row r="321">
          <cell r="E321">
            <v>9470.94</v>
          </cell>
        </row>
        <row r="322">
          <cell r="E322">
            <v>7036.89</v>
          </cell>
        </row>
        <row r="323">
          <cell r="E323">
            <v>5559.03</v>
          </cell>
        </row>
        <row r="324">
          <cell r="E324">
            <v>7872.5</v>
          </cell>
        </row>
        <row r="325">
          <cell r="E325">
            <v>7886.2</v>
          </cell>
        </row>
        <row r="326">
          <cell r="E326">
            <v>7232.16</v>
          </cell>
        </row>
        <row r="327">
          <cell r="E327">
            <v>3114.4</v>
          </cell>
        </row>
        <row r="328">
          <cell r="E328">
            <v>5045.22</v>
          </cell>
        </row>
        <row r="329">
          <cell r="E329">
            <v>6952.12</v>
          </cell>
        </row>
        <row r="330">
          <cell r="E330">
            <v>4157.7299999999996</v>
          </cell>
        </row>
        <row r="331">
          <cell r="E331">
            <v>7962.24</v>
          </cell>
        </row>
        <row r="332">
          <cell r="E332">
            <v>3778.8</v>
          </cell>
        </row>
        <row r="333">
          <cell r="E333">
            <v>8253</v>
          </cell>
        </row>
        <row r="334">
          <cell r="E334">
            <v>3633.4</v>
          </cell>
        </row>
        <row r="335">
          <cell r="E335">
            <v>6913.8</v>
          </cell>
        </row>
        <row r="336">
          <cell r="E336">
            <v>2583.6</v>
          </cell>
        </row>
        <row r="337">
          <cell r="E337">
            <v>3105.62</v>
          </cell>
        </row>
        <row r="338">
          <cell r="E338">
            <v>4408.5600000000004</v>
          </cell>
        </row>
        <row r="339">
          <cell r="E339">
            <v>3042.41</v>
          </cell>
        </row>
        <row r="340">
          <cell r="E340">
            <v>5941.5</v>
          </cell>
        </row>
        <row r="341">
          <cell r="E341">
            <v>3241.9</v>
          </cell>
        </row>
        <row r="342">
          <cell r="E342">
            <v>6109.29</v>
          </cell>
        </row>
        <row r="343">
          <cell r="E343">
            <v>3387.78</v>
          </cell>
        </row>
        <row r="344">
          <cell r="E344">
            <v>3485.82</v>
          </cell>
        </row>
        <row r="345">
          <cell r="E345">
            <v>2042.88</v>
          </cell>
        </row>
        <row r="346">
          <cell r="E346">
            <v>1800.24</v>
          </cell>
        </row>
        <row r="347">
          <cell r="E347">
            <v>1340.64</v>
          </cell>
        </row>
        <row r="348">
          <cell r="E348">
            <v>1762.08</v>
          </cell>
        </row>
        <row r="349">
          <cell r="E349">
            <v>2298.2399999999998</v>
          </cell>
        </row>
        <row r="350">
          <cell r="E350">
            <v>1628</v>
          </cell>
        </row>
        <row r="351">
          <cell r="E351">
            <v>1939.2</v>
          </cell>
        </row>
        <row r="352">
          <cell r="E352">
            <v>3651.56</v>
          </cell>
        </row>
        <row r="353">
          <cell r="E353">
            <v>2591.96</v>
          </cell>
        </row>
        <row r="354">
          <cell r="E354">
            <v>2864.17</v>
          </cell>
        </row>
        <row r="355">
          <cell r="E355">
            <v>1484.2</v>
          </cell>
        </row>
        <row r="356">
          <cell r="E356">
            <v>2254.25</v>
          </cell>
        </row>
        <row r="357">
          <cell r="E357">
            <v>2681.35</v>
          </cell>
        </row>
        <row r="358">
          <cell r="E358">
            <v>3184.02</v>
          </cell>
        </row>
        <row r="359">
          <cell r="E359">
            <v>2846.63</v>
          </cell>
        </row>
        <row r="360">
          <cell r="E360">
            <v>1685.42</v>
          </cell>
        </row>
        <row r="361">
          <cell r="E361">
            <v>3988.6</v>
          </cell>
        </row>
        <row r="362">
          <cell r="E362">
            <v>2789.96</v>
          </cell>
        </row>
        <row r="363">
          <cell r="E363">
            <v>3607.56</v>
          </cell>
        </row>
        <row r="364">
          <cell r="E364">
            <v>3368.16</v>
          </cell>
        </row>
        <row r="365">
          <cell r="E365">
            <v>2775.08</v>
          </cell>
        </row>
        <row r="366">
          <cell r="E366">
            <v>1627.92</v>
          </cell>
        </row>
        <row r="367">
          <cell r="E367">
            <v>2529.36</v>
          </cell>
        </row>
        <row r="368">
          <cell r="E368">
            <v>3065.78</v>
          </cell>
        </row>
        <row r="369">
          <cell r="E369">
            <v>4615.78</v>
          </cell>
        </row>
        <row r="370">
          <cell r="E370">
            <v>5723.78</v>
          </cell>
        </row>
        <row r="371">
          <cell r="E371">
            <v>2559.6</v>
          </cell>
        </row>
        <row r="372">
          <cell r="E372">
            <v>2140.11</v>
          </cell>
        </row>
        <row r="373">
          <cell r="E373">
            <v>3327.6</v>
          </cell>
        </row>
        <row r="374">
          <cell r="E374">
            <v>6825.6</v>
          </cell>
        </row>
        <row r="375">
          <cell r="E375">
            <v>3543.28</v>
          </cell>
        </row>
        <row r="376">
          <cell r="E376">
            <v>4516.22</v>
          </cell>
        </row>
        <row r="377">
          <cell r="E377">
            <v>6445.46</v>
          </cell>
        </row>
        <row r="378">
          <cell r="E378">
            <v>3384.36</v>
          </cell>
        </row>
        <row r="379">
          <cell r="E379">
            <v>4891.68</v>
          </cell>
        </row>
        <row r="380">
          <cell r="E380">
            <v>4521.96</v>
          </cell>
        </row>
        <row r="381">
          <cell r="E381">
            <v>5069.66</v>
          </cell>
        </row>
        <row r="382">
          <cell r="E382">
            <v>6541.2</v>
          </cell>
        </row>
        <row r="383">
          <cell r="E383">
            <v>3012.27</v>
          </cell>
        </row>
        <row r="384">
          <cell r="E384">
            <v>5247.18</v>
          </cell>
        </row>
        <row r="385">
          <cell r="E385">
            <v>2214.87</v>
          </cell>
        </row>
        <row r="386">
          <cell r="E386">
            <v>4773.18</v>
          </cell>
        </row>
        <row r="387">
          <cell r="E387">
            <v>6185.7</v>
          </cell>
        </row>
        <row r="388">
          <cell r="E388">
            <v>1517.88</v>
          </cell>
        </row>
        <row r="389">
          <cell r="E389">
            <v>6372.6</v>
          </cell>
        </row>
        <row r="390">
          <cell r="E390">
            <v>5232.96</v>
          </cell>
        </row>
        <row r="391">
          <cell r="E391">
            <v>2694.72</v>
          </cell>
        </row>
        <row r="392">
          <cell r="E392">
            <v>1749.79</v>
          </cell>
        </row>
        <row r="393">
          <cell r="E393">
            <v>2130.56</v>
          </cell>
        </row>
        <row r="394">
          <cell r="E394">
            <v>5951.34</v>
          </cell>
        </row>
        <row r="395">
          <cell r="E395">
            <v>4692.6000000000004</v>
          </cell>
        </row>
        <row r="396">
          <cell r="E396">
            <v>3731.04</v>
          </cell>
        </row>
        <row r="397">
          <cell r="E397">
            <v>2142</v>
          </cell>
        </row>
        <row r="398">
          <cell r="E398">
            <v>2838.81</v>
          </cell>
        </row>
        <row r="399">
          <cell r="E399">
            <v>3230.37</v>
          </cell>
        </row>
        <row r="400">
          <cell r="E400">
            <v>5182</v>
          </cell>
        </row>
        <row r="401">
          <cell r="E401">
            <v>4391.1000000000004</v>
          </cell>
        </row>
        <row r="402">
          <cell r="E402">
            <v>4477.32</v>
          </cell>
        </row>
        <row r="403">
          <cell r="E403">
            <v>3544.56</v>
          </cell>
        </row>
        <row r="404">
          <cell r="E404">
            <v>5195.8500000000004</v>
          </cell>
        </row>
        <row r="405">
          <cell r="E405">
            <v>4180.4399999999996</v>
          </cell>
        </row>
        <row r="406">
          <cell r="E406">
            <v>2684.43</v>
          </cell>
        </row>
        <row r="407">
          <cell r="E407">
            <v>1958.88</v>
          </cell>
        </row>
        <row r="408">
          <cell r="E408">
            <v>4910.57</v>
          </cell>
        </row>
        <row r="409">
          <cell r="E409">
            <v>4468.3999999999996</v>
          </cell>
        </row>
        <row r="410">
          <cell r="E410">
            <v>3127.88</v>
          </cell>
        </row>
        <row r="411">
          <cell r="E411">
            <v>2675.13</v>
          </cell>
        </row>
        <row r="412">
          <cell r="E412">
            <v>2807.61</v>
          </cell>
        </row>
        <row r="413">
          <cell r="E413">
            <v>2504.75</v>
          </cell>
        </row>
        <row r="414">
          <cell r="E414">
            <v>2984.88</v>
          </cell>
        </row>
        <row r="415">
          <cell r="E415">
            <v>2524.86</v>
          </cell>
        </row>
        <row r="416">
          <cell r="E416">
            <v>4136</v>
          </cell>
        </row>
        <row r="417">
          <cell r="E417">
            <v>4068.7</v>
          </cell>
        </row>
        <row r="418">
          <cell r="E418">
            <v>5182</v>
          </cell>
        </row>
        <row r="419">
          <cell r="E419">
            <v>5243.79</v>
          </cell>
        </row>
        <row r="420">
          <cell r="E420">
            <v>9048.16</v>
          </cell>
        </row>
        <row r="421">
          <cell r="E421">
            <v>3832.64</v>
          </cell>
        </row>
        <row r="422">
          <cell r="E422">
            <v>3920</v>
          </cell>
        </row>
        <row r="423">
          <cell r="E423">
            <v>4916.66</v>
          </cell>
        </row>
        <row r="424">
          <cell r="E424">
            <v>3857</v>
          </cell>
        </row>
        <row r="425">
          <cell r="E425">
            <v>4181.4399999999996</v>
          </cell>
        </row>
        <row r="426">
          <cell r="E426">
            <v>4641</v>
          </cell>
        </row>
        <row r="427">
          <cell r="E427">
            <v>3570.12</v>
          </cell>
        </row>
        <row r="428">
          <cell r="E428">
            <v>4480.32</v>
          </cell>
        </row>
        <row r="429">
          <cell r="E429">
            <v>2033.64</v>
          </cell>
        </row>
        <row r="430">
          <cell r="E430">
            <v>1960.14</v>
          </cell>
        </row>
        <row r="431">
          <cell r="E431">
            <v>3966.78</v>
          </cell>
        </row>
        <row r="432">
          <cell r="E432">
            <v>5152</v>
          </cell>
        </row>
        <row r="433">
          <cell r="E433">
            <v>3360</v>
          </cell>
        </row>
        <row r="434">
          <cell r="E434">
            <v>3451</v>
          </cell>
        </row>
        <row r="435">
          <cell r="E435">
            <v>5453</v>
          </cell>
        </row>
        <row r="436">
          <cell r="E436">
            <v>4164.12</v>
          </cell>
        </row>
        <row r="437">
          <cell r="E437">
            <v>2800.08</v>
          </cell>
        </row>
        <row r="438">
          <cell r="E438">
            <v>4687.9399999999996</v>
          </cell>
        </row>
        <row r="439">
          <cell r="E439">
            <v>4508</v>
          </cell>
        </row>
        <row r="440">
          <cell r="E440">
            <v>4181.4399999999996</v>
          </cell>
        </row>
        <row r="441">
          <cell r="E441">
            <v>2251.04</v>
          </cell>
        </row>
        <row r="442">
          <cell r="E442">
            <v>1167.25</v>
          </cell>
        </row>
        <row r="443">
          <cell r="E443">
            <v>2083.1999999999998</v>
          </cell>
        </row>
        <row r="444">
          <cell r="E444">
            <v>3822</v>
          </cell>
        </row>
        <row r="445">
          <cell r="E445">
            <v>3911.49</v>
          </cell>
        </row>
        <row r="446">
          <cell r="E446">
            <v>4704</v>
          </cell>
        </row>
        <row r="447">
          <cell r="E447">
            <v>2467.9</v>
          </cell>
        </row>
        <row r="448">
          <cell r="E448">
            <v>3213</v>
          </cell>
        </row>
        <row r="449">
          <cell r="E449">
            <v>7182</v>
          </cell>
        </row>
        <row r="450">
          <cell r="E450">
            <v>4379.18</v>
          </cell>
        </row>
        <row r="451">
          <cell r="E451">
            <v>5004.8</v>
          </cell>
        </row>
        <row r="452">
          <cell r="E452">
            <v>3644.75</v>
          </cell>
        </row>
        <row r="453">
          <cell r="E453">
            <v>2702.04</v>
          </cell>
        </row>
        <row r="454">
          <cell r="E454">
            <v>3764.88</v>
          </cell>
        </row>
        <row r="455">
          <cell r="E455">
            <v>4508</v>
          </cell>
        </row>
        <row r="456">
          <cell r="E456">
            <v>5418.16</v>
          </cell>
        </row>
        <row r="457">
          <cell r="E457">
            <v>3300.66</v>
          </cell>
        </row>
        <row r="458">
          <cell r="E458">
            <v>6182.4</v>
          </cell>
        </row>
        <row r="459">
          <cell r="E459">
            <v>4186.7299999999996</v>
          </cell>
        </row>
        <row r="460">
          <cell r="E460">
            <v>4529.28</v>
          </cell>
        </row>
        <row r="461">
          <cell r="E461">
            <v>5628.89</v>
          </cell>
        </row>
        <row r="462">
          <cell r="E462">
            <v>3054.48</v>
          </cell>
        </row>
        <row r="463">
          <cell r="E463">
            <v>2526.5100000000002</v>
          </cell>
        </row>
        <row r="464">
          <cell r="E464">
            <v>4667.8599999999997</v>
          </cell>
        </row>
        <row r="465">
          <cell r="E465">
            <v>6499.32</v>
          </cell>
        </row>
        <row r="466">
          <cell r="E466">
            <v>5917.78</v>
          </cell>
        </row>
        <row r="467">
          <cell r="E467">
            <v>6231.91</v>
          </cell>
        </row>
        <row r="468">
          <cell r="E468">
            <v>5803.14</v>
          </cell>
        </row>
        <row r="469">
          <cell r="E469">
            <v>6434.02</v>
          </cell>
        </row>
        <row r="470">
          <cell r="E470">
            <v>6454.4</v>
          </cell>
        </row>
        <row r="471">
          <cell r="E471">
            <v>4196.8</v>
          </cell>
        </row>
        <row r="472">
          <cell r="E472">
            <v>2611.8000000000002</v>
          </cell>
        </row>
        <row r="473">
          <cell r="E473">
            <v>5895.05</v>
          </cell>
        </row>
        <row r="474">
          <cell r="E474">
            <v>3375.72</v>
          </cell>
        </row>
        <row r="475">
          <cell r="E475">
            <v>8374.69</v>
          </cell>
        </row>
        <row r="476">
          <cell r="E476">
            <v>4464.24</v>
          </cell>
        </row>
        <row r="477">
          <cell r="E477">
            <v>4808.3100000000004</v>
          </cell>
        </row>
        <row r="478">
          <cell r="E478">
            <v>3288.78</v>
          </cell>
        </row>
        <row r="479">
          <cell r="E479">
            <v>3254.72</v>
          </cell>
        </row>
        <row r="480">
          <cell r="E480">
            <v>3184.94</v>
          </cell>
        </row>
        <row r="481">
          <cell r="E481">
            <v>5907.5</v>
          </cell>
        </row>
        <row r="482">
          <cell r="E482">
            <v>4389.12</v>
          </cell>
        </row>
        <row r="483">
          <cell r="E483">
            <v>5036.16</v>
          </cell>
        </row>
        <row r="484">
          <cell r="E484">
            <v>2183.25</v>
          </cell>
        </row>
        <row r="485">
          <cell r="E485">
            <v>3106.88</v>
          </cell>
        </row>
        <row r="486">
          <cell r="E486">
            <v>3735.72</v>
          </cell>
        </row>
        <row r="487">
          <cell r="E487">
            <v>2413.2600000000002</v>
          </cell>
        </row>
        <row r="488">
          <cell r="E488">
            <v>2953.75</v>
          </cell>
        </row>
        <row r="489">
          <cell r="E489">
            <v>4684.8</v>
          </cell>
        </row>
        <row r="490">
          <cell r="E490">
            <v>3248.7</v>
          </cell>
        </row>
        <row r="491">
          <cell r="E491">
            <v>5239.5</v>
          </cell>
        </row>
        <row r="492">
          <cell r="E492">
            <v>4567.9799999999996</v>
          </cell>
        </row>
        <row r="493">
          <cell r="E493">
            <v>3535.35</v>
          </cell>
        </row>
        <row r="494">
          <cell r="E494">
            <v>3843.34</v>
          </cell>
        </row>
        <row r="495">
          <cell r="E495">
            <v>3710.9</v>
          </cell>
        </row>
        <row r="496">
          <cell r="E496">
            <v>4375.9799999999996</v>
          </cell>
        </row>
        <row r="497">
          <cell r="E497">
            <v>1516.62</v>
          </cell>
        </row>
        <row r="498">
          <cell r="E498">
            <v>2509</v>
          </cell>
        </row>
        <row r="499">
          <cell r="E499">
            <v>9240.44</v>
          </cell>
        </row>
        <row r="500">
          <cell r="E500">
            <v>2515.3200000000002</v>
          </cell>
        </row>
        <row r="501">
          <cell r="E501">
            <v>5548.9</v>
          </cell>
        </row>
        <row r="502">
          <cell r="E502">
            <v>4873.05</v>
          </cell>
        </row>
        <row r="503">
          <cell r="E503">
            <v>2055.7399999999998</v>
          </cell>
        </row>
        <row r="504">
          <cell r="E504">
            <v>2354.88</v>
          </cell>
        </row>
        <row r="505">
          <cell r="E505">
            <v>2309.58</v>
          </cell>
        </row>
        <row r="506">
          <cell r="E506">
            <v>2113.37</v>
          </cell>
        </row>
        <row r="507">
          <cell r="E507">
            <v>1746.6</v>
          </cell>
        </row>
        <row r="508">
          <cell r="E508">
            <v>2304.4499999999998</v>
          </cell>
        </row>
        <row r="509">
          <cell r="E509">
            <v>2122.08</v>
          </cell>
        </row>
        <row r="510">
          <cell r="E510">
            <v>1742.4</v>
          </cell>
        </row>
        <row r="511">
          <cell r="E511">
            <v>2455.02</v>
          </cell>
        </row>
        <row r="512">
          <cell r="E512">
            <v>3053.28</v>
          </cell>
        </row>
        <row r="513">
          <cell r="E513">
            <v>1423.29</v>
          </cell>
        </row>
        <row r="514">
          <cell r="E514">
            <v>1504.12</v>
          </cell>
        </row>
        <row r="515">
          <cell r="E515">
            <v>1164.4000000000001</v>
          </cell>
        </row>
        <row r="516">
          <cell r="E516">
            <v>1500.75</v>
          </cell>
        </row>
        <row r="517">
          <cell r="E517">
            <v>1557.36</v>
          </cell>
        </row>
        <row r="518">
          <cell r="E518">
            <v>1345.68</v>
          </cell>
        </row>
        <row r="519">
          <cell r="E519">
            <v>1795.24</v>
          </cell>
        </row>
        <row r="520">
          <cell r="E520">
            <v>1105.25</v>
          </cell>
        </row>
        <row r="521">
          <cell r="E521">
            <v>2364.88</v>
          </cell>
        </row>
        <row r="522">
          <cell r="E522">
            <v>2427.0300000000002</v>
          </cell>
        </row>
        <row r="523">
          <cell r="E523">
            <v>1237.95</v>
          </cell>
        </row>
        <row r="524">
          <cell r="E524">
            <v>1593.02</v>
          </cell>
        </row>
        <row r="525">
          <cell r="E525">
            <v>3156.16</v>
          </cell>
        </row>
        <row r="526">
          <cell r="E526">
            <v>1320.75</v>
          </cell>
        </row>
        <row r="527">
          <cell r="E527">
            <v>4998</v>
          </cell>
        </row>
        <row r="528">
          <cell r="E528">
            <v>1293.75</v>
          </cell>
        </row>
        <row r="529">
          <cell r="E529">
            <v>5433.08</v>
          </cell>
        </row>
        <row r="530">
          <cell r="E530">
            <v>3073.72</v>
          </cell>
        </row>
        <row r="531">
          <cell r="E531">
            <v>4380.2</v>
          </cell>
        </row>
        <row r="532">
          <cell r="E532">
            <v>5848.68</v>
          </cell>
        </row>
        <row r="533">
          <cell r="E533">
            <v>6153.73</v>
          </cell>
        </row>
        <row r="534">
          <cell r="E534">
            <v>4965.24</v>
          </cell>
        </row>
        <row r="535">
          <cell r="E535">
            <v>5435.64</v>
          </cell>
        </row>
        <row r="536">
          <cell r="E536">
            <v>4258.3599999999997</v>
          </cell>
        </row>
        <row r="537">
          <cell r="E537">
            <v>4032</v>
          </cell>
        </row>
        <row r="538">
          <cell r="E538">
            <v>4492.3599999999997</v>
          </cell>
        </row>
        <row r="539">
          <cell r="E539">
            <v>4161.38</v>
          </cell>
        </row>
        <row r="540">
          <cell r="E540">
            <v>2508.66</v>
          </cell>
        </row>
        <row r="541">
          <cell r="E541">
            <v>3374.88</v>
          </cell>
        </row>
        <row r="542">
          <cell r="E542">
            <v>5196.6000000000004</v>
          </cell>
        </row>
        <row r="543">
          <cell r="E543">
            <v>2604.52</v>
          </cell>
        </row>
        <row r="544">
          <cell r="E544">
            <v>2936.8</v>
          </cell>
        </row>
        <row r="545">
          <cell r="E545">
            <v>3424.64</v>
          </cell>
        </row>
        <row r="546">
          <cell r="E546">
            <v>2923.2</v>
          </cell>
        </row>
        <row r="547">
          <cell r="E547">
            <v>4489.76</v>
          </cell>
        </row>
        <row r="548">
          <cell r="E548">
            <v>4849.24</v>
          </cell>
        </row>
        <row r="549">
          <cell r="E549">
            <v>5848.92</v>
          </cell>
        </row>
        <row r="550">
          <cell r="E550">
            <v>2758.7</v>
          </cell>
        </row>
        <row r="551">
          <cell r="E551">
            <v>1449.76</v>
          </cell>
        </row>
        <row r="552">
          <cell r="E552">
            <v>7048.14</v>
          </cell>
        </row>
        <row r="553">
          <cell r="E553">
            <v>5202.9399999999996</v>
          </cell>
        </row>
        <row r="554">
          <cell r="E554">
            <v>5279.4</v>
          </cell>
        </row>
        <row r="555">
          <cell r="E555">
            <v>6916.12</v>
          </cell>
        </row>
        <row r="556">
          <cell r="E556">
            <v>2781.66</v>
          </cell>
        </row>
        <row r="557">
          <cell r="E557">
            <v>5248</v>
          </cell>
        </row>
        <row r="558">
          <cell r="E558">
            <v>6531.44</v>
          </cell>
        </row>
        <row r="559">
          <cell r="E559">
            <v>5763.72</v>
          </cell>
        </row>
        <row r="560">
          <cell r="E560">
            <v>6490.68</v>
          </cell>
        </row>
        <row r="561">
          <cell r="E561">
            <v>6004.8</v>
          </cell>
        </row>
        <row r="562">
          <cell r="E562">
            <v>7483.98</v>
          </cell>
        </row>
        <row r="563">
          <cell r="E563">
            <v>5719.5</v>
          </cell>
        </row>
        <row r="564">
          <cell r="E564">
            <v>6954.08</v>
          </cell>
        </row>
        <row r="565">
          <cell r="E565">
            <v>8160.3</v>
          </cell>
        </row>
        <row r="566">
          <cell r="E566">
            <v>6567.96</v>
          </cell>
        </row>
        <row r="567">
          <cell r="E567">
            <v>6724</v>
          </cell>
        </row>
        <row r="568">
          <cell r="E568">
            <v>5747.85</v>
          </cell>
        </row>
        <row r="569">
          <cell r="E569">
            <v>5676.84</v>
          </cell>
        </row>
        <row r="570">
          <cell r="E570">
            <v>7379.97</v>
          </cell>
        </row>
        <row r="571">
          <cell r="E571">
            <v>3704.13</v>
          </cell>
        </row>
        <row r="572">
          <cell r="E572">
            <v>2804.75</v>
          </cell>
        </row>
        <row r="573">
          <cell r="E573">
            <v>5624.79</v>
          </cell>
        </row>
        <row r="574">
          <cell r="E574">
            <v>3881.28</v>
          </cell>
        </row>
        <row r="575">
          <cell r="E575">
            <v>1611.4</v>
          </cell>
        </row>
        <row r="576">
          <cell r="E576">
            <v>1364.25</v>
          </cell>
        </row>
        <row r="577">
          <cell r="E577">
            <v>4215.09</v>
          </cell>
        </row>
        <row r="578">
          <cell r="E578">
            <v>6433.82</v>
          </cell>
        </row>
        <row r="579">
          <cell r="E579">
            <v>4352.16</v>
          </cell>
        </row>
        <row r="580">
          <cell r="E580">
            <v>5151</v>
          </cell>
        </row>
        <row r="581">
          <cell r="E581">
            <v>6069</v>
          </cell>
        </row>
        <row r="582">
          <cell r="E582">
            <v>2856</v>
          </cell>
        </row>
        <row r="583">
          <cell r="E583">
            <v>5375.4</v>
          </cell>
        </row>
        <row r="584">
          <cell r="E584">
            <v>5176.5</v>
          </cell>
        </row>
        <row r="585">
          <cell r="E585">
            <v>3508.8</v>
          </cell>
        </row>
        <row r="586">
          <cell r="E586">
            <v>7554.8</v>
          </cell>
        </row>
        <row r="587">
          <cell r="E587">
            <v>3141.6</v>
          </cell>
        </row>
        <row r="588">
          <cell r="E588">
            <v>5890.5</v>
          </cell>
        </row>
        <row r="589">
          <cell r="E589">
            <v>5967</v>
          </cell>
        </row>
        <row r="590">
          <cell r="E590">
            <v>3712.8</v>
          </cell>
        </row>
        <row r="591">
          <cell r="E591">
            <v>7597.3</v>
          </cell>
        </row>
        <row r="592">
          <cell r="E592">
            <v>3668.6</v>
          </cell>
        </row>
        <row r="593">
          <cell r="E593">
            <v>5875.2</v>
          </cell>
        </row>
        <row r="594">
          <cell r="E594">
            <v>7310</v>
          </cell>
        </row>
        <row r="595">
          <cell r="E595">
            <v>8078.4</v>
          </cell>
        </row>
        <row r="596">
          <cell r="E596">
            <v>3257.76</v>
          </cell>
        </row>
        <row r="597">
          <cell r="E597">
            <v>7650</v>
          </cell>
        </row>
        <row r="598">
          <cell r="E598">
            <v>4703.8100000000004</v>
          </cell>
        </row>
        <row r="599">
          <cell r="E599">
            <v>5399.55</v>
          </cell>
        </row>
        <row r="600">
          <cell r="E600">
            <v>14082.8</v>
          </cell>
        </row>
        <row r="601">
          <cell r="E601">
            <v>5283.6</v>
          </cell>
        </row>
        <row r="602">
          <cell r="E602">
            <v>3130.82</v>
          </cell>
        </row>
        <row r="603">
          <cell r="E603">
            <v>3112.34</v>
          </cell>
        </row>
        <row r="604">
          <cell r="E604">
            <v>3806.88</v>
          </cell>
        </row>
        <row r="605">
          <cell r="E605">
            <v>2142.14</v>
          </cell>
        </row>
        <row r="606">
          <cell r="E606">
            <v>3364.9</v>
          </cell>
        </row>
        <row r="607">
          <cell r="E607">
            <v>1262.8</v>
          </cell>
        </row>
        <row r="608">
          <cell r="E608">
            <v>1626.24</v>
          </cell>
        </row>
        <row r="609">
          <cell r="E609">
            <v>4088.7</v>
          </cell>
        </row>
        <row r="610">
          <cell r="E610">
            <v>3846.15</v>
          </cell>
        </row>
        <row r="611">
          <cell r="E611">
            <v>1339.8</v>
          </cell>
        </row>
        <row r="612">
          <cell r="E612">
            <v>3039.96</v>
          </cell>
        </row>
        <row r="613">
          <cell r="E613">
            <v>3400.32</v>
          </cell>
        </row>
        <row r="614">
          <cell r="E614">
            <v>1930.39</v>
          </cell>
        </row>
        <row r="615">
          <cell r="E615">
            <v>2464.77</v>
          </cell>
        </row>
        <row r="616">
          <cell r="E616">
            <v>2634.94</v>
          </cell>
        </row>
        <row r="617">
          <cell r="E617">
            <v>3625.16</v>
          </cell>
        </row>
        <row r="618">
          <cell r="E618">
            <v>3788.4</v>
          </cell>
        </row>
        <row r="619">
          <cell r="E619">
            <v>1832.6</v>
          </cell>
        </row>
        <row r="620">
          <cell r="E620">
            <v>2905.98</v>
          </cell>
        </row>
        <row r="621">
          <cell r="E621">
            <v>2954.81</v>
          </cell>
        </row>
        <row r="622">
          <cell r="E622">
            <v>3599.75</v>
          </cell>
        </row>
        <row r="623">
          <cell r="E623">
            <v>3686.54</v>
          </cell>
        </row>
        <row r="624">
          <cell r="E624">
            <v>2100.56</v>
          </cell>
        </row>
        <row r="625">
          <cell r="E625">
            <v>3881.78</v>
          </cell>
        </row>
        <row r="626">
          <cell r="E626">
            <v>4509.12</v>
          </cell>
        </row>
        <row r="627">
          <cell r="E627">
            <v>3273.27</v>
          </cell>
        </row>
        <row r="628">
          <cell r="E628">
            <v>4432.7</v>
          </cell>
        </row>
        <row r="629">
          <cell r="E629">
            <v>4100.99</v>
          </cell>
        </row>
        <row r="630">
          <cell r="E630">
            <v>5274.72</v>
          </cell>
        </row>
        <row r="631">
          <cell r="E631">
            <v>4232</v>
          </cell>
        </row>
        <row r="632">
          <cell r="E632">
            <v>6145.44</v>
          </cell>
        </row>
        <row r="633">
          <cell r="E633">
            <v>4680.2</v>
          </cell>
        </row>
        <row r="634">
          <cell r="E634">
            <v>3286.08</v>
          </cell>
        </row>
        <row r="635">
          <cell r="E635">
            <v>7421.3</v>
          </cell>
        </row>
        <row r="636">
          <cell r="E636">
            <v>6432.64</v>
          </cell>
        </row>
        <row r="637">
          <cell r="E637">
            <v>4840.87</v>
          </cell>
        </row>
        <row r="638">
          <cell r="E638">
            <v>3892.08</v>
          </cell>
        </row>
        <row r="639">
          <cell r="E639">
            <v>5526.32</v>
          </cell>
        </row>
        <row r="640">
          <cell r="E640">
            <v>4459.62</v>
          </cell>
        </row>
        <row r="641">
          <cell r="E641">
            <v>6203.4</v>
          </cell>
        </row>
        <row r="642">
          <cell r="E642">
            <v>3754.05</v>
          </cell>
        </row>
        <row r="643">
          <cell r="E643">
            <v>3516.48</v>
          </cell>
        </row>
        <row r="644">
          <cell r="E644">
            <v>7488.04</v>
          </cell>
        </row>
        <row r="645">
          <cell r="E645">
            <v>3448.08</v>
          </cell>
        </row>
        <row r="646">
          <cell r="E646">
            <v>3734</v>
          </cell>
        </row>
        <row r="647">
          <cell r="E647">
            <v>974.1</v>
          </cell>
        </row>
        <row r="648">
          <cell r="E648">
            <v>3160.74</v>
          </cell>
        </row>
        <row r="649">
          <cell r="E649">
            <v>1746.63</v>
          </cell>
        </row>
        <row r="650">
          <cell r="E650">
            <v>4207.84</v>
          </cell>
        </row>
        <row r="651">
          <cell r="E651">
            <v>4352.76</v>
          </cell>
        </row>
        <row r="652">
          <cell r="E652">
            <v>1463.7</v>
          </cell>
        </row>
        <row r="653">
          <cell r="E653">
            <v>7169.28</v>
          </cell>
        </row>
        <row r="654">
          <cell r="E654">
            <v>4594.76</v>
          </cell>
        </row>
        <row r="655">
          <cell r="E655">
            <v>3457.92</v>
          </cell>
        </row>
        <row r="656">
          <cell r="E656">
            <v>7381.16</v>
          </cell>
        </row>
        <row r="657">
          <cell r="E657">
            <v>7146.9</v>
          </cell>
        </row>
        <row r="658">
          <cell r="E658">
            <v>5938.53</v>
          </cell>
        </row>
        <row r="659">
          <cell r="E659">
            <v>7110.91</v>
          </cell>
        </row>
        <row r="660">
          <cell r="E660">
            <v>5032.95</v>
          </cell>
        </row>
        <row r="661">
          <cell r="E661">
            <v>3667.6</v>
          </cell>
        </row>
        <row r="662">
          <cell r="E662">
            <v>7381.16</v>
          </cell>
        </row>
        <row r="663">
          <cell r="E663">
            <v>5128.1099999999997</v>
          </cell>
        </row>
        <row r="664">
          <cell r="E664">
            <v>7060.24</v>
          </cell>
        </row>
        <row r="665">
          <cell r="E665">
            <v>8448.64</v>
          </cell>
        </row>
        <row r="666">
          <cell r="E666">
            <v>7300.51</v>
          </cell>
        </row>
        <row r="667">
          <cell r="E667">
            <v>6549.2</v>
          </cell>
        </row>
        <row r="668">
          <cell r="E668">
            <v>5697.9</v>
          </cell>
        </row>
        <row r="669">
          <cell r="E669">
            <v>9169</v>
          </cell>
        </row>
        <row r="670">
          <cell r="E670">
            <v>3238.63</v>
          </cell>
        </row>
        <row r="671">
          <cell r="E671">
            <v>4554.9399999999996</v>
          </cell>
        </row>
        <row r="672">
          <cell r="E672">
            <v>3934.44</v>
          </cell>
        </row>
        <row r="673">
          <cell r="E673">
            <v>5776.26</v>
          </cell>
        </row>
        <row r="674">
          <cell r="E674">
            <v>7207.45</v>
          </cell>
        </row>
        <row r="675">
          <cell r="E675">
            <v>7460.74</v>
          </cell>
        </row>
        <row r="676">
          <cell r="E676">
            <v>6719.54</v>
          </cell>
        </row>
        <row r="677">
          <cell r="E677">
            <v>2428</v>
          </cell>
        </row>
        <row r="678">
          <cell r="E678">
            <v>2602.25</v>
          </cell>
        </row>
        <row r="679">
          <cell r="E679">
            <v>2200</v>
          </cell>
        </row>
        <row r="680">
          <cell r="E680">
            <v>6712.93</v>
          </cell>
        </row>
        <row r="681">
          <cell r="E681">
            <v>5318.04</v>
          </cell>
        </row>
        <row r="682">
          <cell r="E682">
            <v>3390</v>
          </cell>
        </row>
        <row r="683">
          <cell r="E683">
            <v>1608</v>
          </cell>
        </row>
        <row r="684">
          <cell r="E684">
            <v>2262.96</v>
          </cell>
        </row>
        <row r="685">
          <cell r="E685">
            <v>1496.64</v>
          </cell>
        </row>
        <row r="686">
          <cell r="E686">
            <v>1879.74</v>
          </cell>
        </row>
        <row r="687">
          <cell r="E687">
            <v>1495.26</v>
          </cell>
        </row>
        <row r="688">
          <cell r="E688">
            <v>2323.6999999999998</v>
          </cell>
        </row>
        <row r="689">
          <cell r="E689">
            <v>2491.86</v>
          </cell>
        </row>
        <row r="690">
          <cell r="E690">
            <v>1643.12</v>
          </cell>
        </row>
        <row r="691">
          <cell r="E691">
            <v>1322.16</v>
          </cell>
        </row>
        <row r="692">
          <cell r="E692">
            <v>1423.8</v>
          </cell>
        </row>
        <row r="693">
          <cell r="E693">
            <v>2397.4499999999998</v>
          </cell>
        </row>
        <row r="694">
          <cell r="E694">
            <v>1574</v>
          </cell>
        </row>
        <row r="695">
          <cell r="E695">
            <v>1729</v>
          </cell>
        </row>
        <row r="696">
          <cell r="E696">
            <v>2255.84</v>
          </cell>
        </row>
        <row r="697">
          <cell r="E697">
            <v>1834.5</v>
          </cell>
        </row>
        <row r="698">
          <cell r="E698">
            <v>3201.5</v>
          </cell>
        </row>
        <row r="699">
          <cell r="E699">
            <v>2276.4</v>
          </cell>
        </row>
        <row r="700">
          <cell r="E700">
            <v>8884.7999999999993</v>
          </cell>
        </row>
        <row r="701">
          <cell r="E701">
            <v>1331.1</v>
          </cell>
        </row>
        <row r="702">
          <cell r="E702">
            <v>3051.3</v>
          </cell>
        </row>
        <row r="703">
          <cell r="E703">
            <v>2288.52</v>
          </cell>
        </row>
        <row r="704">
          <cell r="E704">
            <v>3772.61</v>
          </cell>
        </row>
        <row r="705">
          <cell r="E705">
            <v>4164.42</v>
          </cell>
        </row>
        <row r="706">
          <cell r="E706">
            <v>6295.95</v>
          </cell>
        </row>
        <row r="707">
          <cell r="E707">
            <v>6287.66</v>
          </cell>
        </row>
        <row r="708">
          <cell r="E708">
            <v>5412.54</v>
          </cell>
        </row>
        <row r="709">
          <cell r="E709">
            <v>5984.14</v>
          </cell>
        </row>
        <row r="710">
          <cell r="E710">
            <v>5891.04</v>
          </cell>
        </row>
        <row r="711">
          <cell r="E711">
            <v>5984.14</v>
          </cell>
        </row>
        <row r="712">
          <cell r="E712">
            <v>3608.15</v>
          </cell>
        </row>
        <row r="713">
          <cell r="E713">
            <v>5752.54</v>
          </cell>
        </row>
        <row r="714">
          <cell r="E714">
            <v>3765.32</v>
          </cell>
        </row>
        <row r="715">
          <cell r="E715">
            <v>2159.96</v>
          </cell>
        </row>
        <row r="716">
          <cell r="E716">
            <v>3379.94</v>
          </cell>
        </row>
        <row r="717">
          <cell r="E717">
            <v>5093.5</v>
          </cell>
        </row>
        <row r="718">
          <cell r="E718">
            <v>5773.44</v>
          </cell>
        </row>
        <row r="719">
          <cell r="E719">
            <v>4528.8599999999997</v>
          </cell>
        </row>
        <row r="720">
          <cell r="E720">
            <v>4816.08</v>
          </cell>
        </row>
        <row r="721">
          <cell r="E721">
            <v>3416.78</v>
          </cell>
        </row>
        <row r="722">
          <cell r="E722">
            <v>1236.8399999999999</v>
          </cell>
        </row>
        <row r="723">
          <cell r="E723">
            <v>5814.86</v>
          </cell>
        </row>
        <row r="724">
          <cell r="E724">
            <v>5223.4799999999996</v>
          </cell>
        </row>
        <row r="725">
          <cell r="E725">
            <v>728.4</v>
          </cell>
        </row>
        <row r="726">
          <cell r="E726">
            <v>3949</v>
          </cell>
        </row>
        <row r="727">
          <cell r="E727">
            <v>3843.99</v>
          </cell>
        </row>
        <row r="728">
          <cell r="E728">
            <v>5498.08</v>
          </cell>
        </row>
        <row r="729">
          <cell r="E729">
            <v>3777.58</v>
          </cell>
        </row>
        <row r="730">
          <cell r="E730">
            <v>3782</v>
          </cell>
        </row>
        <row r="731">
          <cell r="E731">
            <v>3859.68</v>
          </cell>
        </row>
        <row r="732">
          <cell r="E732">
            <v>4431.84</v>
          </cell>
        </row>
        <row r="733">
          <cell r="E733">
            <v>4950.33</v>
          </cell>
        </row>
        <row r="734">
          <cell r="E734">
            <v>4299.7</v>
          </cell>
        </row>
        <row r="735">
          <cell r="E735">
            <v>4492.83</v>
          </cell>
        </row>
        <row r="736">
          <cell r="E736">
            <v>2212</v>
          </cell>
        </row>
        <row r="737">
          <cell r="E737">
            <v>4642.88</v>
          </cell>
        </row>
        <row r="738">
          <cell r="E738">
            <v>3206.32</v>
          </cell>
        </row>
        <row r="739">
          <cell r="E739">
            <v>3604.23</v>
          </cell>
        </row>
        <row r="740">
          <cell r="E740">
            <v>7017.76</v>
          </cell>
        </row>
        <row r="741">
          <cell r="E741">
            <v>6154.18</v>
          </cell>
        </row>
        <row r="742">
          <cell r="E742">
            <v>4750.8</v>
          </cell>
        </row>
        <row r="743">
          <cell r="E743">
            <v>3822.92</v>
          </cell>
        </row>
        <row r="744">
          <cell r="E744">
            <v>2440.8000000000002</v>
          </cell>
        </row>
        <row r="745">
          <cell r="E745">
            <v>4729.3599999999997</v>
          </cell>
        </row>
        <row r="746">
          <cell r="E746">
            <v>12536.5</v>
          </cell>
        </row>
        <row r="747">
          <cell r="E747">
            <v>2264.15</v>
          </cell>
        </row>
        <row r="748">
          <cell r="E748">
            <v>3928.2</v>
          </cell>
        </row>
        <row r="749">
          <cell r="E749">
            <v>3630.22</v>
          </cell>
        </row>
        <row r="750">
          <cell r="E750">
            <v>4196.07</v>
          </cell>
        </row>
        <row r="751">
          <cell r="E751">
            <v>4931.6000000000004</v>
          </cell>
        </row>
        <row r="752">
          <cell r="E752">
            <v>3068.69</v>
          </cell>
        </row>
        <row r="753">
          <cell r="E753">
            <v>785.64</v>
          </cell>
        </row>
        <row r="754">
          <cell r="E754">
            <v>4977</v>
          </cell>
        </row>
        <row r="755">
          <cell r="E755">
            <v>1189.98</v>
          </cell>
        </row>
        <row r="756">
          <cell r="E756">
            <v>3090.15</v>
          </cell>
        </row>
        <row r="757">
          <cell r="E757">
            <v>2795.86</v>
          </cell>
        </row>
        <row r="758">
          <cell r="E758">
            <v>2851.54</v>
          </cell>
        </row>
        <row r="759">
          <cell r="E759">
            <v>2701.92</v>
          </cell>
        </row>
        <row r="760">
          <cell r="E760">
            <v>2204.1</v>
          </cell>
        </row>
        <row r="761">
          <cell r="E761">
            <v>2840.48</v>
          </cell>
        </row>
        <row r="762">
          <cell r="E762">
            <v>2647.04</v>
          </cell>
        </row>
        <row r="763">
          <cell r="E763">
            <v>3172.05</v>
          </cell>
        </row>
        <row r="764">
          <cell r="E764">
            <v>2585.9299999999998</v>
          </cell>
        </row>
        <row r="765">
          <cell r="E765">
            <v>2148.3000000000002</v>
          </cell>
        </row>
        <row r="766">
          <cell r="E766">
            <v>1667.4</v>
          </cell>
        </row>
        <row r="767">
          <cell r="E767">
            <v>1859.7</v>
          </cell>
        </row>
        <row r="768">
          <cell r="E768">
            <v>1476.6</v>
          </cell>
        </row>
        <row r="769">
          <cell r="E769">
            <v>1732</v>
          </cell>
        </row>
        <row r="770">
          <cell r="E770">
            <v>1674.17</v>
          </cell>
        </row>
        <row r="771">
          <cell r="E771">
            <v>1500.98</v>
          </cell>
        </row>
        <row r="772">
          <cell r="E772">
            <v>2192.6799999999998</v>
          </cell>
        </row>
        <row r="773">
          <cell r="E773">
            <v>1797.58</v>
          </cell>
        </row>
        <row r="774">
          <cell r="E774">
            <v>2142.35</v>
          </cell>
        </row>
        <row r="775">
          <cell r="E775">
            <v>2086.92</v>
          </cell>
        </row>
        <row r="776">
          <cell r="E776">
            <v>6834.5</v>
          </cell>
        </row>
        <row r="777">
          <cell r="E777">
            <v>2541.59</v>
          </cell>
        </row>
        <row r="778">
          <cell r="E778">
            <v>2130.92</v>
          </cell>
        </row>
        <row r="779">
          <cell r="E779">
            <v>1701.7</v>
          </cell>
        </row>
        <row r="780">
          <cell r="E780">
            <v>1694</v>
          </cell>
        </row>
        <row r="781">
          <cell r="E781">
            <v>2913.53</v>
          </cell>
        </row>
        <row r="782">
          <cell r="E782">
            <v>935.18</v>
          </cell>
        </row>
        <row r="783">
          <cell r="E783">
            <v>3073.26</v>
          </cell>
        </row>
        <row r="784">
          <cell r="E784">
            <v>2082.4899999999998</v>
          </cell>
        </row>
        <row r="785">
          <cell r="E785">
            <v>3394.23</v>
          </cell>
        </row>
        <row r="786">
          <cell r="E786">
            <v>2559.6</v>
          </cell>
        </row>
        <row r="787">
          <cell r="E787">
            <v>1490.16</v>
          </cell>
        </row>
        <row r="788">
          <cell r="E788">
            <v>3844</v>
          </cell>
        </row>
        <row r="789">
          <cell r="E789">
            <v>4724.91</v>
          </cell>
        </row>
        <row r="790">
          <cell r="E790">
            <v>1824.72</v>
          </cell>
        </row>
        <row r="791">
          <cell r="E791">
            <v>2668.68</v>
          </cell>
        </row>
        <row r="792">
          <cell r="E792">
            <v>2843.61</v>
          </cell>
        </row>
        <row r="793">
          <cell r="E793">
            <v>3163.65</v>
          </cell>
        </row>
        <row r="794">
          <cell r="E794">
            <v>2226.11</v>
          </cell>
        </row>
        <row r="795">
          <cell r="E795">
            <v>2069.75</v>
          </cell>
        </row>
        <row r="796">
          <cell r="E796">
            <v>2235.33</v>
          </cell>
        </row>
        <row r="797">
          <cell r="E797">
            <v>3116.43</v>
          </cell>
        </row>
        <row r="798">
          <cell r="E798">
            <v>4781.7</v>
          </cell>
        </row>
        <row r="799">
          <cell r="E799">
            <v>2810.7</v>
          </cell>
        </row>
        <row r="800">
          <cell r="E800">
            <v>3515.67</v>
          </cell>
        </row>
        <row r="801">
          <cell r="E801">
            <v>2909.34</v>
          </cell>
        </row>
        <row r="802">
          <cell r="E802">
            <v>1570.17</v>
          </cell>
        </row>
        <row r="803">
          <cell r="E803">
            <v>2613.92</v>
          </cell>
        </row>
        <row r="804">
          <cell r="E804">
            <v>3193.26</v>
          </cell>
        </row>
        <row r="805">
          <cell r="E805">
            <v>1482.6</v>
          </cell>
        </row>
        <row r="806">
          <cell r="E806">
            <v>2055.23</v>
          </cell>
        </row>
        <row r="807">
          <cell r="E807">
            <v>2674.9</v>
          </cell>
        </row>
        <row r="808">
          <cell r="E808">
            <v>1853.4</v>
          </cell>
        </row>
        <row r="809">
          <cell r="E809">
            <v>1490.1</v>
          </cell>
        </row>
        <row r="810">
          <cell r="E810">
            <v>2162.16</v>
          </cell>
        </row>
        <row r="811">
          <cell r="E811">
            <v>2814.28</v>
          </cell>
        </row>
        <row r="812">
          <cell r="E812">
            <v>1605</v>
          </cell>
        </row>
        <row r="813">
          <cell r="E813">
            <v>2093.44</v>
          </cell>
        </row>
        <row r="814">
          <cell r="E814">
            <v>1944.3</v>
          </cell>
        </row>
        <row r="815">
          <cell r="E815">
            <v>1986.8</v>
          </cell>
        </row>
        <row r="816">
          <cell r="E816">
            <v>1695.96</v>
          </cell>
        </row>
        <row r="817">
          <cell r="E817">
            <v>1281.56</v>
          </cell>
        </row>
        <row r="818">
          <cell r="E818">
            <v>1774.22</v>
          </cell>
        </row>
        <row r="819">
          <cell r="E819">
            <v>1997.5</v>
          </cell>
        </row>
        <row r="820">
          <cell r="E820">
            <v>2353.1999999999998</v>
          </cell>
        </row>
        <row r="821">
          <cell r="E821">
            <v>981.2</v>
          </cell>
        </row>
        <row r="822">
          <cell r="E822">
            <v>1550.72</v>
          </cell>
        </row>
        <row r="823">
          <cell r="E823">
            <v>1771.06</v>
          </cell>
        </row>
        <row r="824">
          <cell r="E824">
            <v>2213.4</v>
          </cell>
        </row>
        <row r="825">
          <cell r="E825">
            <v>5266.04</v>
          </cell>
        </row>
        <row r="826">
          <cell r="E826">
            <v>1864.8</v>
          </cell>
        </row>
        <row r="827">
          <cell r="E827">
            <v>1142.4100000000001</v>
          </cell>
        </row>
        <row r="828">
          <cell r="E828">
            <v>1172.5999999999999</v>
          </cell>
        </row>
        <row r="829">
          <cell r="E829">
            <v>6981</v>
          </cell>
        </row>
        <row r="830">
          <cell r="E830">
            <v>3064.6</v>
          </cell>
        </row>
        <row r="831">
          <cell r="E831">
            <v>2202.48</v>
          </cell>
        </row>
        <row r="832">
          <cell r="E832">
            <v>3773.38</v>
          </cell>
        </row>
        <row r="833">
          <cell r="E833">
            <v>5074.3900000000003</v>
          </cell>
        </row>
        <row r="834">
          <cell r="E834">
            <v>6483.46</v>
          </cell>
        </row>
        <row r="835">
          <cell r="E835">
            <v>7956.46</v>
          </cell>
        </row>
        <row r="836">
          <cell r="E836">
            <v>4230.62</v>
          </cell>
        </row>
        <row r="837">
          <cell r="E837">
            <v>7209.12</v>
          </cell>
        </row>
        <row r="838">
          <cell r="E838">
            <v>3452.68</v>
          </cell>
        </row>
        <row r="839">
          <cell r="E839">
            <v>3047.73</v>
          </cell>
        </row>
        <row r="840">
          <cell r="E840">
            <v>3675.32</v>
          </cell>
        </row>
        <row r="841">
          <cell r="E841">
            <v>7492.4</v>
          </cell>
        </row>
        <row r="842">
          <cell r="E842">
            <v>9534.5</v>
          </cell>
        </row>
        <row r="843">
          <cell r="E843">
            <v>5579.02</v>
          </cell>
        </row>
        <row r="844">
          <cell r="E844">
            <v>5950.34</v>
          </cell>
        </row>
        <row r="845">
          <cell r="E845">
            <v>3726</v>
          </cell>
        </row>
        <row r="846">
          <cell r="E846">
            <v>4455</v>
          </cell>
        </row>
        <row r="847">
          <cell r="E847">
            <v>8272.34</v>
          </cell>
        </row>
        <row r="848">
          <cell r="E848">
            <v>3577.6</v>
          </cell>
        </row>
        <row r="849">
          <cell r="E849">
            <v>3881.25</v>
          </cell>
        </row>
        <row r="850">
          <cell r="E850">
            <v>5797.44</v>
          </cell>
        </row>
        <row r="851">
          <cell r="E851">
            <v>1264.08</v>
          </cell>
        </row>
        <row r="852">
          <cell r="E852">
            <v>4815.3</v>
          </cell>
        </row>
        <row r="853">
          <cell r="E853">
            <v>4462.2</v>
          </cell>
        </row>
        <row r="854">
          <cell r="E854">
            <v>3033.28</v>
          </cell>
        </row>
        <row r="855">
          <cell r="E855">
            <v>990.78</v>
          </cell>
        </row>
        <row r="856">
          <cell r="E856">
            <v>2030.86</v>
          </cell>
        </row>
        <row r="857">
          <cell r="E857">
            <v>5433.75</v>
          </cell>
        </row>
        <row r="858">
          <cell r="E858">
            <v>3157.44</v>
          </cell>
        </row>
        <row r="859">
          <cell r="E859">
            <v>5161.2</v>
          </cell>
        </row>
        <row r="860">
          <cell r="E860">
            <v>4346.76</v>
          </cell>
        </row>
        <row r="861">
          <cell r="E861">
            <v>3528.36</v>
          </cell>
        </row>
        <row r="862">
          <cell r="E862">
            <v>3187.8</v>
          </cell>
        </row>
        <row r="863">
          <cell r="E863">
            <v>6023.16</v>
          </cell>
        </row>
        <row r="864">
          <cell r="E864">
            <v>3884.76</v>
          </cell>
        </row>
        <row r="865">
          <cell r="E865">
            <v>4965.84</v>
          </cell>
        </row>
        <row r="866">
          <cell r="E866">
            <v>4169.88</v>
          </cell>
        </row>
        <row r="867">
          <cell r="E867">
            <v>4910.3999999999996</v>
          </cell>
        </row>
        <row r="868">
          <cell r="E868">
            <v>3231.36</v>
          </cell>
        </row>
        <row r="869">
          <cell r="E869">
            <v>6853.44</v>
          </cell>
        </row>
        <row r="870">
          <cell r="E870">
            <v>5177.04</v>
          </cell>
        </row>
        <row r="871">
          <cell r="E871">
            <v>2824.8</v>
          </cell>
        </row>
        <row r="872">
          <cell r="E872">
            <v>4324.32</v>
          </cell>
        </row>
        <row r="873">
          <cell r="E873">
            <v>5052.96</v>
          </cell>
        </row>
        <row r="874">
          <cell r="E874">
            <v>3223.44</v>
          </cell>
        </row>
        <row r="875">
          <cell r="E875">
            <v>5278.68</v>
          </cell>
        </row>
        <row r="876">
          <cell r="E876">
            <v>2851.2</v>
          </cell>
        </row>
        <row r="877">
          <cell r="E877">
            <v>1687.4</v>
          </cell>
        </row>
        <row r="878">
          <cell r="E878">
            <v>1308</v>
          </cell>
        </row>
        <row r="879">
          <cell r="E879">
            <v>6144.6</v>
          </cell>
        </row>
        <row r="880">
          <cell r="E880">
            <v>5127.2</v>
          </cell>
        </row>
        <row r="881">
          <cell r="E881">
            <v>6386.16</v>
          </cell>
        </row>
        <row r="882">
          <cell r="E882">
            <v>7695.6</v>
          </cell>
        </row>
        <row r="883">
          <cell r="E883">
            <v>2242.89</v>
          </cell>
        </row>
        <row r="884">
          <cell r="E884">
            <v>2539.89</v>
          </cell>
        </row>
        <row r="885">
          <cell r="E885">
            <v>2795.27</v>
          </cell>
        </row>
        <row r="886">
          <cell r="E886">
            <v>5545.76</v>
          </cell>
        </row>
        <row r="887">
          <cell r="E887">
            <v>4285.46</v>
          </cell>
        </row>
        <row r="888">
          <cell r="E888">
            <v>3329.09</v>
          </cell>
        </row>
        <row r="889">
          <cell r="E889">
            <v>5592.22</v>
          </cell>
        </row>
        <row r="890">
          <cell r="E890">
            <v>3298.55</v>
          </cell>
        </row>
        <row r="891">
          <cell r="E891">
            <v>2609.88</v>
          </cell>
        </row>
        <row r="892">
          <cell r="E892">
            <v>3336.29</v>
          </cell>
        </row>
        <row r="893">
          <cell r="E893">
            <v>5510.05</v>
          </cell>
        </row>
        <row r="894">
          <cell r="E894">
            <v>2504.4</v>
          </cell>
        </row>
        <row r="895">
          <cell r="E895">
            <v>3525.6</v>
          </cell>
        </row>
        <row r="896">
          <cell r="E896">
            <v>4407</v>
          </cell>
        </row>
        <row r="897">
          <cell r="E897">
            <v>2983.44</v>
          </cell>
        </row>
        <row r="898">
          <cell r="E898">
            <v>5126.24</v>
          </cell>
        </row>
        <row r="899">
          <cell r="E899">
            <v>5713.79</v>
          </cell>
        </row>
        <row r="900">
          <cell r="E900">
            <v>4613.8</v>
          </cell>
        </row>
        <row r="901">
          <cell r="E901">
            <v>3711.1</v>
          </cell>
        </row>
        <row r="902">
          <cell r="E902">
            <v>3524.73</v>
          </cell>
        </row>
        <row r="903">
          <cell r="E903">
            <v>2795.27</v>
          </cell>
        </row>
        <row r="904">
          <cell r="E904">
            <v>4814.3999999999996</v>
          </cell>
        </row>
        <row r="905">
          <cell r="E905">
            <v>3572.33</v>
          </cell>
        </row>
        <row r="906">
          <cell r="E906">
            <v>4581.3599999999997</v>
          </cell>
        </row>
        <row r="907">
          <cell r="E907">
            <v>4319.76</v>
          </cell>
        </row>
        <row r="908">
          <cell r="E908">
            <v>1448</v>
          </cell>
        </row>
        <row r="909">
          <cell r="E909">
            <v>881.4</v>
          </cell>
        </row>
        <row r="910">
          <cell r="E910">
            <v>2011.1</v>
          </cell>
        </row>
        <row r="911">
          <cell r="E911">
            <v>1801.24</v>
          </cell>
        </row>
        <row r="912">
          <cell r="E912">
            <v>3390.2</v>
          </cell>
        </row>
        <row r="913">
          <cell r="E913">
            <v>1424</v>
          </cell>
        </row>
        <row r="914">
          <cell r="E914">
            <v>1499.1</v>
          </cell>
        </row>
        <row r="915">
          <cell r="E915">
            <v>3358.08</v>
          </cell>
        </row>
        <row r="916">
          <cell r="E916">
            <v>1504.16</v>
          </cell>
        </row>
        <row r="917">
          <cell r="E917">
            <v>2655.12</v>
          </cell>
        </row>
        <row r="918">
          <cell r="E918">
            <v>1244.1600000000001</v>
          </cell>
        </row>
        <row r="919">
          <cell r="E919">
            <v>1888.88</v>
          </cell>
        </row>
        <row r="920">
          <cell r="E920">
            <v>1820.01</v>
          </cell>
        </row>
        <row r="921">
          <cell r="E921">
            <v>2866.95</v>
          </cell>
        </row>
        <row r="922">
          <cell r="E922">
            <v>1394.16</v>
          </cell>
        </row>
        <row r="923">
          <cell r="E923">
            <v>2632.28</v>
          </cell>
        </row>
        <row r="924">
          <cell r="E924">
            <v>2018.56</v>
          </cell>
        </row>
        <row r="925">
          <cell r="E925">
            <v>2954.53</v>
          </cell>
        </row>
        <row r="926">
          <cell r="E926">
            <v>1871.83</v>
          </cell>
        </row>
        <row r="927">
          <cell r="E927">
            <v>1559.04</v>
          </cell>
        </row>
        <row r="928">
          <cell r="E928">
            <v>1880.2</v>
          </cell>
        </row>
        <row r="929">
          <cell r="E929">
            <v>1224.67</v>
          </cell>
        </row>
        <row r="930">
          <cell r="E930">
            <v>2979.08</v>
          </cell>
        </row>
        <row r="931">
          <cell r="E931">
            <v>2208.64</v>
          </cell>
        </row>
        <row r="932">
          <cell r="E932">
            <v>3458.42</v>
          </cell>
        </row>
        <row r="933">
          <cell r="E933">
            <v>1237.8800000000001</v>
          </cell>
        </row>
        <row r="934">
          <cell r="E934">
            <v>2723.2</v>
          </cell>
        </row>
        <row r="935">
          <cell r="E935">
            <v>2218.52</v>
          </cell>
        </row>
        <row r="936">
          <cell r="E936">
            <v>1665.32</v>
          </cell>
        </row>
        <row r="937">
          <cell r="E937">
            <v>3421.04</v>
          </cell>
        </row>
        <row r="938">
          <cell r="E938">
            <v>1878.66</v>
          </cell>
        </row>
        <row r="939">
          <cell r="E939">
            <v>3853.6</v>
          </cell>
        </row>
        <row r="940">
          <cell r="E940">
            <v>3442.64</v>
          </cell>
        </row>
        <row r="941">
          <cell r="E941">
            <v>3482.16</v>
          </cell>
        </row>
        <row r="942">
          <cell r="E942">
            <v>3363.52</v>
          </cell>
        </row>
        <row r="943">
          <cell r="E943">
            <v>3350.52</v>
          </cell>
        </row>
        <row r="944">
          <cell r="E944">
            <v>2862.72</v>
          </cell>
        </row>
        <row r="945">
          <cell r="E945">
            <v>4036.04</v>
          </cell>
        </row>
        <row r="946">
          <cell r="E946">
            <v>2817.92</v>
          </cell>
        </row>
        <row r="947">
          <cell r="E947">
            <v>4636.38</v>
          </cell>
        </row>
        <row r="948">
          <cell r="E948">
            <v>1553.58</v>
          </cell>
        </row>
        <row r="949">
          <cell r="E949">
            <v>2697.6</v>
          </cell>
        </row>
        <row r="950">
          <cell r="E950">
            <v>3334.04</v>
          </cell>
        </row>
        <row r="951">
          <cell r="E951">
            <v>2059.2600000000002</v>
          </cell>
        </row>
        <row r="952">
          <cell r="E952">
            <v>2023.14</v>
          </cell>
        </row>
        <row r="953">
          <cell r="E953">
            <v>2586.64</v>
          </cell>
        </row>
        <row r="954">
          <cell r="E954">
            <v>1987.02</v>
          </cell>
        </row>
        <row r="955">
          <cell r="E955">
            <v>1146.5</v>
          </cell>
        </row>
        <row r="956">
          <cell r="E956">
            <v>2312.2399999999998</v>
          </cell>
        </row>
        <row r="957">
          <cell r="E957">
            <v>2793.71</v>
          </cell>
        </row>
        <row r="958">
          <cell r="E958">
            <v>1908.28</v>
          </cell>
        </row>
        <row r="959">
          <cell r="E959">
            <v>3441.37</v>
          </cell>
        </row>
        <row r="960">
          <cell r="E960">
            <v>2023.28</v>
          </cell>
        </row>
        <row r="961">
          <cell r="E961">
            <v>2245.1999999999998</v>
          </cell>
        </row>
        <row r="962">
          <cell r="E962">
            <v>3255.12</v>
          </cell>
        </row>
        <row r="963">
          <cell r="E963">
            <v>2539.5</v>
          </cell>
        </row>
        <row r="964">
          <cell r="E964">
            <v>4818.1499999999996</v>
          </cell>
        </row>
        <row r="965">
          <cell r="E965">
            <v>2921.7</v>
          </cell>
        </row>
        <row r="966">
          <cell r="E966">
            <v>1801.2</v>
          </cell>
        </row>
        <row r="967">
          <cell r="E967">
            <v>2804.36</v>
          </cell>
        </row>
        <row r="968">
          <cell r="E968">
            <v>4900.8</v>
          </cell>
        </row>
        <row r="969">
          <cell r="E969">
            <v>2759.31</v>
          </cell>
        </row>
        <row r="970">
          <cell r="E970">
            <v>2488.1999999999998</v>
          </cell>
        </row>
        <row r="971">
          <cell r="E971">
            <v>2769.89</v>
          </cell>
        </row>
        <row r="972">
          <cell r="E972">
            <v>3581.4</v>
          </cell>
        </row>
        <row r="973">
          <cell r="E973">
            <v>5285.14</v>
          </cell>
        </row>
        <row r="974">
          <cell r="E974">
            <v>3181.53</v>
          </cell>
        </row>
        <row r="975">
          <cell r="E975">
            <v>3340.51</v>
          </cell>
        </row>
        <row r="976">
          <cell r="E976">
            <v>3138.34</v>
          </cell>
        </row>
        <row r="977">
          <cell r="E977">
            <v>4775.08</v>
          </cell>
        </row>
        <row r="978">
          <cell r="E978">
            <v>3006.43</v>
          </cell>
        </row>
        <row r="979">
          <cell r="E979">
            <v>2866.26</v>
          </cell>
        </row>
        <row r="980">
          <cell r="E980">
            <v>2232.62</v>
          </cell>
        </row>
        <row r="981">
          <cell r="E981">
            <v>4457.0200000000004</v>
          </cell>
        </row>
        <row r="982">
          <cell r="E982">
            <v>2257.92</v>
          </cell>
        </row>
        <row r="983">
          <cell r="E983">
            <v>1592</v>
          </cell>
        </row>
        <row r="984">
          <cell r="E984">
            <v>4948.2</v>
          </cell>
        </row>
        <row r="985">
          <cell r="E985">
            <v>5160.76</v>
          </cell>
        </row>
        <row r="986">
          <cell r="E986">
            <v>1978.62</v>
          </cell>
        </row>
        <row r="987">
          <cell r="E987">
            <v>4288.2</v>
          </cell>
        </row>
        <row r="988">
          <cell r="E988">
            <v>2520.6799999999998</v>
          </cell>
        </row>
        <row r="989">
          <cell r="E989">
            <v>1781.22</v>
          </cell>
        </row>
        <row r="990">
          <cell r="E990">
            <v>3065.04</v>
          </cell>
        </row>
        <row r="991">
          <cell r="E991">
            <v>3551.34</v>
          </cell>
        </row>
        <row r="992">
          <cell r="E992">
            <v>5544.02</v>
          </cell>
        </row>
        <row r="993">
          <cell r="E993">
            <v>6034.33</v>
          </cell>
        </row>
        <row r="994">
          <cell r="E994">
            <v>3641.57</v>
          </cell>
        </row>
        <row r="995">
          <cell r="E995">
            <v>6930.74</v>
          </cell>
        </row>
        <row r="996">
          <cell r="E996">
            <v>3675.63</v>
          </cell>
        </row>
        <row r="997">
          <cell r="E997">
            <v>3442.04</v>
          </cell>
        </row>
        <row r="998">
          <cell r="E998">
            <v>6893.81</v>
          </cell>
        </row>
        <row r="999">
          <cell r="E999">
            <v>2622.48</v>
          </cell>
        </row>
        <row r="1000">
          <cell r="E1000">
            <v>4417.38</v>
          </cell>
        </row>
        <row r="1001">
          <cell r="E1001">
            <v>3606.02</v>
          </cell>
        </row>
        <row r="1002">
          <cell r="E1002">
            <v>3802.56</v>
          </cell>
        </row>
        <row r="1003">
          <cell r="E1003">
            <v>5026.3999999999996</v>
          </cell>
        </row>
        <row r="1004">
          <cell r="E1004">
            <v>6695.53</v>
          </cell>
        </row>
        <row r="1005">
          <cell r="E1005">
            <v>2819.28</v>
          </cell>
        </row>
        <row r="1006">
          <cell r="E1006">
            <v>3759.04</v>
          </cell>
        </row>
        <row r="1007">
          <cell r="E1007">
            <v>2731.8</v>
          </cell>
        </row>
        <row r="1008">
          <cell r="E1008">
            <v>1658.88</v>
          </cell>
        </row>
        <row r="1009">
          <cell r="E1009">
            <v>5778.24</v>
          </cell>
        </row>
        <row r="1010">
          <cell r="E1010">
            <v>5191.12</v>
          </cell>
        </row>
        <row r="1011">
          <cell r="E1011">
            <v>3862.88</v>
          </cell>
        </row>
        <row r="1012">
          <cell r="E1012">
            <v>1476.48</v>
          </cell>
        </row>
        <row r="1013">
          <cell r="E1013">
            <v>5273.73</v>
          </cell>
        </row>
        <row r="1014">
          <cell r="E1014">
            <v>4872.03</v>
          </cell>
        </row>
        <row r="1015">
          <cell r="E1015">
            <v>4556.99</v>
          </cell>
        </row>
        <row r="1016">
          <cell r="E1016">
            <v>8257</v>
          </cell>
        </row>
        <row r="1017">
          <cell r="E1017">
            <v>8209.44</v>
          </cell>
        </row>
        <row r="1018">
          <cell r="E1018">
            <v>3598.5</v>
          </cell>
        </row>
        <row r="1019">
          <cell r="E1019">
            <v>3837.24</v>
          </cell>
        </row>
        <row r="1020">
          <cell r="E1020">
            <v>8331.61</v>
          </cell>
        </row>
        <row r="1021">
          <cell r="E1021">
            <v>4836.5</v>
          </cell>
        </row>
        <row r="1022">
          <cell r="E1022">
            <v>5418.88</v>
          </cell>
        </row>
        <row r="1023">
          <cell r="E1023">
            <v>3734.01</v>
          </cell>
        </row>
        <row r="1024">
          <cell r="E1024">
            <v>3996.4</v>
          </cell>
        </row>
        <row r="1025">
          <cell r="E1025">
            <v>8754.69</v>
          </cell>
        </row>
        <row r="1026">
          <cell r="E1026">
            <v>5481.45</v>
          </cell>
        </row>
        <row r="1027">
          <cell r="E1027">
            <v>4419.8900000000003</v>
          </cell>
        </row>
        <row r="1028">
          <cell r="E1028">
            <v>6324.75</v>
          </cell>
        </row>
        <row r="1029">
          <cell r="E1029">
            <v>4409.72</v>
          </cell>
        </row>
        <row r="1030">
          <cell r="E1030">
            <v>3918.46</v>
          </cell>
        </row>
        <row r="1031">
          <cell r="E1031">
            <v>7620.5</v>
          </cell>
        </row>
        <row r="1032">
          <cell r="E1032">
            <v>8291.0400000000009</v>
          </cell>
        </row>
        <row r="1033">
          <cell r="E1033">
            <v>3937.25</v>
          </cell>
        </row>
        <row r="1034">
          <cell r="E1034">
            <v>5554.4</v>
          </cell>
        </row>
        <row r="1035">
          <cell r="E1035">
            <v>6407.86</v>
          </cell>
        </row>
        <row r="1036">
          <cell r="E1036">
            <v>4172.5200000000004</v>
          </cell>
        </row>
        <row r="1037">
          <cell r="E1037">
            <v>7083.37</v>
          </cell>
        </row>
        <row r="1038">
          <cell r="E1038">
            <v>7132.68</v>
          </cell>
        </row>
        <row r="1039">
          <cell r="E1039">
            <v>6773.6</v>
          </cell>
        </row>
        <row r="1040">
          <cell r="E1040">
            <v>3657.69</v>
          </cell>
        </row>
        <row r="1041">
          <cell r="E1041">
            <v>4812.55</v>
          </cell>
        </row>
        <row r="1042">
          <cell r="E1042">
            <v>3928.6</v>
          </cell>
        </row>
        <row r="1043">
          <cell r="E1043">
            <v>6401.22</v>
          </cell>
        </row>
        <row r="1044">
          <cell r="E1044">
            <v>4191.25</v>
          </cell>
        </row>
        <row r="1045">
          <cell r="E1045">
            <v>5852.52</v>
          </cell>
        </row>
        <row r="1046">
          <cell r="E1046">
            <v>2844.87</v>
          </cell>
        </row>
        <row r="1047">
          <cell r="E1047">
            <v>4011.66</v>
          </cell>
        </row>
        <row r="1048">
          <cell r="E1048">
            <v>7455.87</v>
          </cell>
        </row>
        <row r="1049">
          <cell r="E1049">
            <v>8940.9599999999991</v>
          </cell>
        </row>
        <row r="1050">
          <cell r="E1050">
            <v>4572.25</v>
          </cell>
        </row>
        <row r="1051">
          <cell r="E1051">
            <v>5700.09</v>
          </cell>
        </row>
        <row r="1052">
          <cell r="E1052">
            <v>3155.49</v>
          </cell>
        </row>
        <row r="1053">
          <cell r="E1053">
            <v>4170.6899999999996</v>
          </cell>
        </row>
        <row r="1054">
          <cell r="E1054">
            <v>2878.8</v>
          </cell>
        </row>
        <row r="1055">
          <cell r="E1055">
            <v>5029.5</v>
          </cell>
        </row>
        <row r="1056">
          <cell r="E1056">
            <v>7396.8</v>
          </cell>
        </row>
        <row r="1057">
          <cell r="E1057">
            <v>2991.68</v>
          </cell>
        </row>
        <row r="1058">
          <cell r="E1058">
            <v>6275.72</v>
          </cell>
        </row>
        <row r="1059">
          <cell r="E1059">
            <v>1534.95</v>
          </cell>
        </row>
        <row r="1060">
          <cell r="E1060">
            <v>7264.53</v>
          </cell>
        </row>
        <row r="1061">
          <cell r="E1061">
            <v>6869.05</v>
          </cell>
        </row>
        <row r="1062">
          <cell r="E1062">
            <v>3353.02</v>
          </cell>
        </row>
        <row r="1063">
          <cell r="E1063">
            <v>8289.0499999999993</v>
          </cell>
        </row>
        <row r="1064">
          <cell r="E1064">
            <v>11887.8</v>
          </cell>
        </row>
        <row r="1065">
          <cell r="E1065">
            <v>5926.9</v>
          </cell>
        </row>
        <row r="1066">
          <cell r="E1066">
            <v>3793.16</v>
          </cell>
        </row>
        <row r="1067">
          <cell r="E1067">
            <v>4330.1000000000004</v>
          </cell>
        </row>
        <row r="1068">
          <cell r="E1068">
            <v>2011.8</v>
          </cell>
        </row>
        <row r="1069">
          <cell r="E1069">
            <v>4837.18</v>
          </cell>
        </row>
        <row r="1070">
          <cell r="E1070">
            <v>2151.8200000000002</v>
          </cell>
        </row>
        <row r="1071">
          <cell r="E1071">
            <v>2573.46</v>
          </cell>
        </row>
        <row r="1072">
          <cell r="E1072">
            <v>5344.5</v>
          </cell>
        </row>
        <row r="1073">
          <cell r="E1073">
            <v>3070.52</v>
          </cell>
        </row>
        <row r="1074">
          <cell r="E1074">
            <v>3952.83</v>
          </cell>
        </row>
        <row r="1075">
          <cell r="E1075">
            <v>3564.75</v>
          </cell>
        </row>
        <row r="1076">
          <cell r="E1076">
            <v>5614.56</v>
          </cell>
        </row>
        <row r="1077">
          <cell r="E1077">
            <v>1855.41</v>
          </cell>
        </row>
        <row r="1078">
          <cell r="E1078">
            <v>4598.3999999999996</v>
          </cell>
        </row>
        <row r="1079">
          <cell r="E1079">
            <v>5082.42</v>
          </cell>
        </row>
        <row r="1080">
          <cell r="E1080">
            <v>5450.59</v>
          </cell>
        </row>
        <row r="1081">
          <cell r="E1081">
            <v>4174.92</v>
          </cell>
        </row>
        <row r="1082">
          <cell r="E1082">
            <v>2418.2399999999998</v>
          </cell>
        </row>
        <row r="1083">
          <cell r="E1083">
            <v>3670.4</v>
          </cell>
        </row>
        <row r="1084">
          <cell r="E1084">
            <v>2481.6999999999998</v>
          </cell>
        </row>
        <row r="1085">
          <cell r="E1085">
            <v>3807.68</v>
          </cell>
        </row>
        <row r="1086">
          <cell r="E1086">
            <v>2230.41</v>
          </cell>
        </row>
        <row r="1087">
          <cell r="E1087">
            <v>3814.64</v>
          </cell>
        </row>
        <row r="1088">
          <cell r="E1088">
            <v>2117.75</v>
          </cell>
        </row>
        <row r="1089">
          <cell r="E1089">
            <v>3340.48</v>
          </cell>
        </row>
        <row r="1090">
          <cell r="E1090">
            <v>2154</v>
          </cell>
        </row>
        <row r="1091">
          <cell r="E1091">
            <v>5808.48</v>
          </cell>
        </row>
        <row r="1092">
          <cell r="E1092">
            <v>1777.1</v>
          </cell>
        </row>
        <row r="1093">
          <cell r="E1093">
            <v>1536.57</v>
          </cell>
        </row>
        <row r="1094">
          <cell r="E1094">
            <v>3510</v>
          </cell>
        </row>
        <row r="1095">
          <cell r="E1095">
            <v>3097.44</v>
          </cell>
        </row>
        <row r="1096">
          <cell r="E1096">
            <v>1705.41</v>
          </cell>
        </row>
        <row r="1097">
          <cell r="E1097">
            <v>2264.3200000000002</v>
          </cell>
        </row>
        <row r="1098">
          <cell r="E1098">
            <v>2484.6</v>
          </cell>
        </row>
        <row r="1099">
          <cell r="E1099">
            <v>3415.68</v>
          </cell>
        </row>
        <row r="1100">
          <cell r="E1100">
            <v>2839.32</v>
          </cell>
        </row>
        <row r="1101">
          <cell r="E1101">
            <v>2730</v>
          </cell>
        </row>
        <row r="1102">
          <cell r="E1102">
            <v>3540.53</v>
          </cell>
        </row>
        <row r="1103">
          <cell r="E1103">
            <v>2999.97</v>
          </cell>
        </row>
        <row r="1104">
          <cell r="E1104">
            <v>1527.8</v>
          </cell>
        </row>
        <row r="1105">
          <cell r="E1105">
            <v>3907.8</v>
          </cell>
        </row>
        <row r="1106">
          <cell r="E1106">
            <v>2658.48</v>
          </cell>
        </row>
        <row r="1107">
          <cell r="E1107">
            <v>3042.68</v>
          </cell>
        </row>
        <row r="1108">
          <cell r="E1108">
            <v>3861.2</v>
          </cell>
        </row>
        <row r="1109">
          <cell r="E1109">
            <v>2171.0700000000002</v>
          </cell>
        </row>
        <row r="1110">
          <cell r="E1110">
            <v>3403.08</v>
          </cell>
        </row>
        <row r="1111">
          <cell r="E1111">
            <v>2245.8000000000002</v>
          </cell>
        </row>
        <row r="1112">
          <cell r="E1112">
            <v>1668.5</v>
          </cell>
        </row>
        <row r="1113">
          <cell r="E1113">
            <v>2773.8</v>
          </cell>
        </row>
        <row r="1114">
          <cell r="E1114">
            <v>2464</v>
          </cell>
        </row>
        <row r="1115">
          <cell r="E1115">
            <v>5491.6</v>
          </cell>
        </row>
        <row r="1116">
          <cell r="E1116">
            <v>4791.82</v>
          </cell>
        </row>
        <row r="1117">
          <cell r="E1117">
            <v>4178.8500000000004</v>
          </cell>
        </row>
        <row r="1118">
          <cell r="E1118">
            <v>3128.92</v>
          </cell>
        </row>
        <row r="1119">
          <cell r="E1119">
            <v>3095.4</v>
          </cell>
        </row>
        <row r="1120">
          <cell r="E1120">
            <v>3958.5</v>
          </cell>
        </row>
        <row r="1121">
          <cell r="E1121">
            <v>4991.4399999999996</v>
          </cell>
        </row>
        <row r="1122">
          <cell r="E1122">
            <v>2761.96</v>
          </cell>
        </row>
        <row r="1123">
          <cell r="E1123">
            <v>2848.23</v>
          </cell>
        </row>
        <row r="1124">
          <cell r="E1124">
            <v>2539.84</v>
          </cell>
        </row>
        <row r="1125">
          <cell r="E1125">
            <v>2444.4</v>
          </cell>
        </row>
        <row r="1126">
          <cell r="E1126">
            <v>4555.92</v>
          </cell>
        </row>
        <row r="1127">
          <cell r="E1127">
            <v>3666.96</v>
          </cell>
        </row>
        <row r="1128">
          <cell r="E1128">
            <v>3035.88</v>
          </cell>
        </row>
        <row r="1129">
          <cell r="E1129">
            <v>2321.54</v>
          </cell>
        </row>
        <row r="1130">
          <cell r="E1130">
            <v>3474.46</v>
          </cell>
        </row>
        <row r="1131">
          <cell r="E1131">
            <v>2501.98</v>
          </cell>
        </row>
        <row r="1132">
          <cell r="E1132">
            <v>3958.46</v>
          </cell>
        </row>
        <row r="1133">
          <cell r="E1133">
            <v>3535.95</v>
          </cell>
        </row>
        <row r="1134">
          <cell r="E1134">
            <v>3011.91</v>
          </cell>
        </row>
        <row r="1135">
          <cell r="E1135">
            <v>11336.7</v>
          </cell>
        </row>
        <row r="1136">
          <cell r="E1136">
            <v>2656.94</v>
          </cell>
        </row>
        <row r="1137">
          <cell r="E1137">
            <v>2604.25</v>
          </cell>
        </row>
        <row r="1138">
          <cell r="E1138">
            <v>3288.6</v>
          </cell>
        </row>
        <row r="1139">
          <cell r="E1139">
            <v>8935.5</v>
          </cell>
        </row>
        <row r="1140">
          <cell r="E1140">
            <v>4035.96</v>
          </cell>
        </row>
        <row r="1141">
          <cell r="E1141">
            <v>1875.09</v>
          </cell>
        </row>
        <row r="1142">
          <cell r="E1142">
            <v>4049.56</v>
          </cell>
        </row>
        <row r="1143">
          <cell r="E1143">
            <v>2469.39</v>
          </cell>
        </row>
        <row r="1144">
          <cell r="E1144">
            <v>5432.7</v>
          </cell>
        </row>
        <row r="1145">
          <cell r="E1145">
            <v>4405.22</v>
          </cell>
        </row>
        <row r="1146">
          <cell r="E1146">
            <v>3638</v>
          </cell>
        </row>
        <row r="1147">
          <cell r="E1147">
            <v>4444.92</v>
          </cell>
        </row>
        <row r="1148">
          <cell r="E1148">
            <v>3395.48</v>
          </cell>
        </row>
        <row r="1149">
          <cell r="E1149">
            <v>3414.58</v>
          </cell>
        </row>
        <row r="1150">
          <cell r="E1150">
            <v>5127.04</v>
          </cell>
        </row>
        <row r="1151">
          <cell r="E1151">
            <v>3745.28</v>
          </cell>
        </row>
        <row r="1152">
          <cell r="E1152">
            <v>4564.08</v>
          </cell>
        </row>
        <row r="1153">
          <cell r="E1153">
            <v>6554.24</v>
          </cell>
        </row>
        <row r="1154">
          <cell r="E1154">
            <v>6749.83</v>
          </cell>
        </row>
        <row r="1155">
          <cell r="E1155">
            <v>8427.02</v>
          </cell>
        </row>
        <row r="1156">
          <cell r="E1156">
            <v>3924.6</v>
          </cell>
        </row>
        <row r="1157">
          <cell r="E1157">
            <v>6761.6</v>
          </cell>
        </row>
        <row r="1158">
          <cell r="E1158">
            <v>3786.49</v>
          </cell>
        </row>
        <row r="1159">
          <cell r="E1159">
            <v>6266.12</v>
          </cell>
        </row>
        <row r="1160">
          <cell r="E1160">
            <v>3491</v>
          </cell>
        </row>
        <row r="1161">
          <cell r="E1161">
            <v>4405.22</v>
          </cell>
        </row>
        <row r="1162">
          <cell r="E1162">
            <v>6548.3</v>
          </cell>
        </row>
        <row r="1163">
          <cell r="E1163">
            <v>3177.91</v>
          </cell>
        </row>
        <row r="1164">
          <cell r="E1164">
            <v>4142.6400000000003</v>
          </cell>
        </row>
        <row r="1165">
          <cell r="E1165">
            <v>4149.07</v>
          </cell>
        </row>
        <row r="1166">
          <cell r="E1166">
            <v>7397</v>
          </cell>
        </row>
        <row r="1167">
          <cell r="E1167">
            <v>6241.6</v>
          </cell>
        </row>
        <row r="1168">
          <cell r="E1168">
            <v>5331.88</v>
          </cell>
        </row>
        <row r="1169">
          <cell r="E1169">
            <v>5124.3</v>
          </cell>
        </row>
        <row r="1170">
          <cell r="E1170">
            <v>3639.44</v>
          </cell>
        </row>
        <row r="1171">
          <cell r="E1171">
            <v>5544</v>
          </cell>
        </row>
        <row r="1172">
          <cell r="E1172">
            <v>5493.12</v>
          </cell>
        </row>
        <row r="1173">
          <cell r="E1173">
            <v>5785.26</v>
          </cell>
        </row>
        <row r="1174">
          <cell r="E1174">
            <v>5340.6</v>
          </cell>
        </row>
        <row r="1175">
          <cell r="E1175">
            <v>5735.8</v>
          </cell>
        </row>
        <row r="1176">
          <cell r="E1176">
            <v>6357.6</v>
          </cell>
        </row>
        <row r="1177">
          <cell r="E1177">
            <v>7343.9</v>
          </cell>
        </row>
        <row r="1178">
          <cell r="E1178">
            <v>5959.22</v>
          </cell>
        </row>
        <row r="1179">
          <cell r="E1179">
            <v>4029.38</v>
          </cell>
        </row>
        <row r="1180">
          <cell r="E1180">
            <v>5035.1400000000003</v>
          </cell>
        </row>
        <row r="1181">
          <cell r="E1181">
            <v>4116.8</v>
          </cell>
        </row>
        <row r="1182">
          <cell r="E1182">
            <v>4310.55</v>
          </cell>
        </row>
        <row r="1183">
          <cell r="E1183">
            <v>6446.7</v>
          </cell>
        </row>
        <row r="1184">
          <cell r="E1184">
            <v>3616.64</v>
          </cell>
        </row>
        <row r="1185">
          <cell r="E1185">
            <v>4232.76</v>
          </cell>
        </row>
        <row r="1186">
          <cell r="E1186">
            <v>1765.66</v>
          </cell>
        </row>
        <row r="1187">
          <cell r="E1187">
            <v>3734.72</v>
          </cell>
        </row>
        <row r="1188">
          <cell r="E1188">
            <v>4808.38</v>
          </cell>
        </row>
        <row r="1189">
          <cell r="E1189">
            <v>2266.56</v>
          </cell>
        </row>
        <row r="1190">
          <cell r="E1190">
            <v>10468.9</v>
          </cell>
        </row>
        <row r="1191">
          <cell r="E1191">
            <v>5589.14</v>
          </cell>
        </row>
        <row r="1192">
          <cell r="E1192">
            <v>2914.11</v>
          </cell>
        </row>
        <row r="1193">
          <cell r="E1193">
            <v>1740.9</v>
          </cell>
        </row>
        <row r="1194">
          <cell r="E1194">
            <v>2266.1999999999998</v>
          </cell>
        </row>
        <row r="1195">
          <cell r="E1195">
            <v>3155.58</v>
          </cell>
        </row>
        <row r="1196">
          <cell r="E1196">
            <v>1357.86</v>
          </cell>
        </row>
        <row r="1197">
          <cell r="E1197">
            <v>2598.8200000000002</v>
          </cell>
        </row>
        <row r="1198">
          <cell r="E1198">
            <v>1057.56</v>
          </cell>
        </row>
        <row r="1199">
          <cell r="E1199">
            <v>3127.82</v>
          </cell>
        </row>
        <row r="1200">
          <cell r="E1200">
            <v>2488.14</v>
          </cell>
        </row>
        <row r="1201">
          <cell r="E1201">
            <v>2220.7199999999998</v>
          </cell>
        </row>
        <row r="1202">
          <cell r="E1202">
            <v>1357.72</v>
          </cell>
        </row>
        <row r="1203">
          <cell r="E1203">
            <v>1638.04</v>
          </cell>
        </row>
        <row r="1204">
          <cell r="E1204">
            <v>2626.08</v>
          </cell>
        </row>
        <row r="1205">
          <cell r="E1205">
            <v>1661.88</v>
          </cell>
        </row>
        <row r="1206">
          <cell r="E1206">
            <v>2173.6</v>
          </cell>
        </row>
        <row r="1207">
          <cell r="E1207">
            <v>2182.0500000000002</v>
          </cell>
        </row>
        <row r="1208">
          <cell r="E1208">
            <v>2819.88</v>
          </cell>
        </row>
        <row r="1209">
          <cell r="E1209">
            <v>2598.64</v>
          </cell>
        </row>
        <row r="1210">
          <cell r="E1210">
            <v>2019.27</v>
          </cell>
        </row>
        <row r="1211">
          <cell r="E1211">
            <v>1454.7</v>
          </cell>
        </row>
        <row r="1212">
          <cell r="E1212">
            <v>1657.57</v>
          </cell>
        </row>
        <row r="1213">
          <cell r="E1213">
            <v>2851.84</v>
          </cell>
        </row>
        <row r="1214">
          <cell r="E1214">
            <v>4609.6400000000003</v>
          </cell>
        </row>
        <row r="1215">
          <cell r="E1215">
            <v>5079.96</v>
          </cell>
        </row>
        <row r="1216">
          <cell r="E1216">
            <v>1879.92</v>
          </cell>
        </row>
        <row r="1217">
          <cell r="E1217">
            <v>4774.8599999999997</v>
          </cell>
        </row>
        <row r="1218">
          <cell r="E1218">
            <v>2687.04</v>
          </cell>
        </row>
        <row r="1219">
          <cell r="E1219">
            <v>3423.75</v>
          </cell>
        </row>
        <row r="1220">
          <cell r="E1220">
            <v>3455.76</v>
          </cell>
        </row>
        <row r="1221">
          <cell r="E1221">
            <v>3622.97</v>
          </cell>
        </row>
        <row r="1222">
          <cell r="E1222">
            <v>3599.58</v>
          </cell>
        </row>
        <row r="1223">
          <cell r="E1223">
            <v>5386.56</v>
          </cell>
        </row>
        <row r="1224">
          <cell r="E1224">
            <v>4918.78</v>
          </cell>
        </row>
        <row r="1225">
          <cell r="E1225">
            <v>2538.8000000000002</v>
          </cell>
        </row>
        <row r="1226">
          <cell r="E1226">
            <v>2498.6</v>
          </cell>
        </row>
        <row r="1227">
          <cell r="E1227">
            <v>3858.75</v>
          </cell>
        </row>
        <row r="1228">
          <cell r="E1228">
            <v>5600.5</v>
          </cell>
        </row>
        <row r="1229">
          <cell r="E1229">
            <v>4103.46</v>
          </cell>
        </row>
        <row r="1230">
          <cell r="E1230">
            <v>4287.5</v>
          </cell>
        </row>
        <row r="1231">
          <cell r="E1231">
            <v>5795.54</v>
          </cell>
        </row>
        <row r="1232">
          <cell r="E1232">
            <v>1863.4</v>
          </cell>
        </row>
        <row r="1233">
          <cell r="E1233">
            <v>4166.88</v>
          </cell>
        </row>
        <row r="1234">
          <cell r="E1234">
            <v>4080.07</v>
          </cell>
        </row>
        <row r="1235">
          <cell r="E1235">
            <v>3815.48</v>
          </cell>
        </row>
        <row r="1236">
          <cell r="E1236">
            <v>5526.45</v>
          </cell>
        </row>
        <row r="1237">
          <cell r="E1237">
            <v>3374.6</v>
          </cell>
        </row>
        <row r="1238">
          <cell r="E1238">
            <v>3024.5</v>
          </cell>
        </row>
        <row r="1239">
          <cell r="E1239">
            <v>1266.0999999999999</v>
          </cell>
        </row>
        <row r="1240">
          <cell r="E1240">
            <v>4811.8500000000004</v>
          </cell>
        </row>
        <row r="1241">
          <cell r="E1241">
            <v>7307.42</v>
          </cell>
        </row>
        <row r="1242">
          <cell r="E1242">
            <v>6209.25</v>
          </cell>
        </row>
        <row r="1243">
          <cell r="E1243">
            <v>5348.5</v>
          </cell>
        </row>
        <row r="1244">
          <cell r="E1244">
            <v>2780.58</v>
          </cell>
        </row>
        <row r="1245">
          <cell r="E1245">
            <v>3447</v>
          </cell>
        </row>
        <row r="1246">
          <cell r="E1246">
            <v>3791.52</v>
          </cell>
        </row>
        <row r="1247">
          <cell r="E1247">
            <v>4524.1000000000004</v>
          </cell>
        </row>
        <row r="1248">
          <cell r="E1248">
            <v>3337.6</v>
          </cell>
        </row>
        <row r="1249">
          <cell r="E1249">
            <v>5532.12</v>
          </cell>
        </row>
        <row r="1250">
          <cell r="E1250">
            <v>5096.91</v>
          </cell>
        </row>
        <row r="1251">
          <cell r="E1251">
            <v>4537.08</v>
          </cell>
        </row>
        <row r="1252">
          <cell r="E1252">
            <v>6146.8</v>
          </cell>
        </row>
        <row r="1253">
          <cell r="E1253">
            <v>8258</v>
          </cell>
        </row>
        <row r="1254">
          <cell r="E1254">
            <v>7238.28</v>
          </cell>
        </row>
        <row r="1255">
          <cell r="E1255">
            <v>6756</v>
          </cell>
        </row>
        <row r="1256">
          <cell r="E1256">
            <v>3734</v>
          </cell>
        </row>
        <row r="1257">
          <cell r="E1257">
            <v>4674.8</v>
          </cell>
        </row>
        <row r="1258">
          <cell r="E1258">
            <v>7140.76</v>
          </cell>
        </row>
        <row r="1259">
          <cell r="E1259">
            <v>3600.65</v>
          </cell>
        </row>
        <row r="1260">
          <cell r="E1260">
            <v>4206.74</v>
          </cell>
        </row>
        <row r="1261">
          <cell r="E1261">
            <v>5379.71</v>
          </cell>
        </row>
        <row r="1262">
          <cell r="E1262">
            <v>5679.36</v>
          </cell>
        </row>
        <row r="1263">
          <cell r="E1263">
            <v>4394.84</v>
          </cell>
        </row>
        <row r="1264">
          <cell r="E1264">
            <v>2528.25</v>
          </cell>
        </row>
        <row r="1265">
          <cell r="E1265">
            <v>7031.52</v>
          </cell>
        </row>
        <row r="1266">
          <cell r="E1266">
            <v>5340.9</v>
          </cell>
        </row>
        <row r="1267">
          <cell r="E1267">
            <v>6376.58</v>
          </cell>
        </row>
        <row r="1268">
          <cell r="E1268">
            <v>6896.75</v>
          </cell>
        </row>
        <row r="1269">
          <cell r="E1269">
            <v>1903.22</v>
          </cell>
        </row>
        <row r="1270">
          <cell r="E1270">
            <v>2499.56</v>
          </cell>
        </row>
        <row r="1271">
          <cell r="E1271">
            <v>3081.24</v>
          </cell>
        </row>
        <row r="1272">
          <cell r="E1272">
            <v>3598.22</v>
          </cell>
        </row>
        <row r="1273">
          <cell r="E1273">
            <v>3912.09</v>
          </cell>
        </row>
        <row r="1274">
          <cell r="E1274">
            <v>1584.66</v>
          </cell>
        </row>
        <row r="1275">
          <cell r="E1275">
            <v>3942.72</v>
          </cell>
        </row>
        <row r="1276">
          <cell r="E1276">
            <v>2341.1999999999998</v>
          </cell>
        </row>
        <row r="1277">
          <cell r="E1277">
            <v>2482.11</v>
          </cell>
        </row>
        <row r="1278">
          <cell r="E1278">
            <v>3602.02</v>
          </cell>
        </row>
        <row r="1279">
          <cell r="E1279">
            <v>3566.94</v>
          </cell>
        </row>
        <row r="1280">
          <cell r="E1280">
            <v>3787.98</v>
          </cell>
        </row>
        <row r="1281">
          <cell r="E1281">
            <v>3704.05</v>
          </cell>
        </row>
        <row r="1282">
          <cell r="E1282">
            <v>2834.65</v>
          </cell>
        </row>
        <row r="1283">
          <cell r="E1283">
            <v>3392.26</v>
          </cell>
        </row>
        <row r="1284">
          <cell r="E1284">
            <v>3358.31</v>
          </cell>
        </row>
        <row r="1285">
          <cell r="E1285">
            <v>7310</v>
          </cell>
        </row>
        <row r="1286">
          <cell r="E1286">
            <v>2203.11</v>
          </cell>
        </row>
        <row r="1287">
          <cell r="E1287">
            <v>2696.96</v>
          </cell>
        </row>
        <row r="1288">
          <cell r="E1288">
            <v>3376.64</v>
          </cell>
        </row>
        <row r="1289">
          <cell r="E1289">
            <v>541.14</v>
          </cell>
        </row>
        <row r="1290">
          <cell r="E1290">
            <v>6134.7</v>
          </cell>
        </row>
        <row r="1291">
          <cell r="E1291">
            <v>3382.5</v>
          </cell>
        </row>
        <row r="1292">
          <cell r="E1292">
            <v>2240.66</v>
          </cell>
        </row>
        <row r="1293">
          <cell r="E1293">
            <v>3962.88</v>
          </cell>
        </row>
        <row r="1294">
          <cell r="E1294">
            <v>1685.28</v>
          </cell>
        </row>
        <row r="1295">
          <cell r="E1295">
            <v>1834.36</v>
          </cell>
        </row>
        <row r="1296">
          <cell r="E1296">
            <v>1916.98</v>
          </cell>
        </row>
        <row r="1297">
          <cell r="E1297">
            <v>2611</v>
          </cell>
        </row>
        <row r="1298">
          <cell r="E1298">
            <v>3630.28</v>
          </cell>
        </row>
        <row r="1299">
          <cell r="E1299">
            <v>5090.5</v>
          </cell>
        </row>
        <row r="1300">
          <cell r="E1300">
            <v>3949.65</v>
          </cell>
        </row>
        <row r="1301">
          <cell r="E1301">
            <v>3491.67</v>
          </cell>
        </row>
        <row r="1302">
          <cell r="E1302">
            <v>2059.19</v>
          </cell>
        </row>
        <row r="1303">
          <cell r="E1303">
            <v>3170.16</v>
          </cell>
        </row>
        <row r="1304">
          <cell r="E1304">
            <v>1790.6</v>
          </cell>
        </row>
        <row r="1305">
          <cell r="E1305">
            <v>2345.9699999999998</v>
          </cell>
        </row>
        <row r="1306">
          <cell r="E1306">
            <v>3580.88</v>
          </cell>
        </row>
        <row r="1307">
          <cell r="E1307">
            <v>4946.0600000000004</v>
          </cell>
        </row>
        <row r="1308">
          <cell r="E1308">
            <v>3525.6</v>
          </cell>
        </row>
        <row r="1309">
          <cell r="E1309">
            <v>3602.16</v>
          </cell>
        </row>
        <row r="1310">
          <cell r="E1310">
            <v>4300.5</v>
          </cell>
        </row>
        <row r="1311">
          <cell r="E1311">
            <v>4498.1899999999996</v>
          </cell>
        </row>
        <row r="1312">
          <cell r="E1312">
            <v>3023.1</v>
          </cell>
        </row>
        <row r="1313">
          <cell r="E1313">
            <v>3562.49</v>
          </cell>
        </row>
        <row r="1314">
          <cell r="E1314">
            <v>1640.24</v>
          </cell>
        </row>
        <row r="1315">
          <cell r="E1315">
            <v>4739.3999999999996</v>
          </cell>
        </row>
        <row r="1316">
          <cell r="E1316">
            <v>1207.68</v>
          </cell>
        </row>
        <row r="1317">
          <cell r="E1317">
            <v>4228.2</v>
          </cell>
        </row>
        <row r="1318">
          <cell r="E1318">
            <v>4815.45</v>
          </cell>
        </row>
        <row r="1319">
          <cell r="E1319">
            <v>7083</v>
          </cell>
        </row>
        <row r="1320">
          <cell r="E1320">
            <v>4601.2</v>
          </cell>
        </row>
        <row r="1321">
          <cell r="E1321">
            <v>6467.02</v>
          </cell>
        </row>
        <row r="1322">
          <cell r="E1322">
            <v>5012.55</v>
          </cell>
        </row>
        <row r="1323">
          <cell r="E1323">
            <v>5121.59</v>
          </cell>
        </row>
        <row r="1324">
          <cell r="E1324">
            <v>2441.04</v>
          </cell>
        </row>
        <row r="1325">
          <cell r="E1325">
            <v>4262.08</v>
          </cell>
        </row>
        <row r="1326">
          <cell r="E1326">
            <v>6658.02</v>
          </cell>
        </row>
        <row r="1327">
          <cell r="E1327">
            <v>4509.08</v>
          </cell>
        </row>
        <row r="1328">
          <cell r="E1328">
            <v>4716.2299999999996</v>
          </cell>
        </row>
        <row r="1329">
          <cell r="E1329">
            <v>2390.2199999999998</v>
          </cell>
        </row>
        <row r="1330">
          <cell r="E1330">
            <v>4666.62</v>
          </cell>
        </row>
        <row r="1331">
          <cell r="E1331">
            <v>5383.08</v>
          </cell>
        </row>
        <row r="1332">
          <cell r="E1332">
            <v>2482.25</v>
          </cell>
        </row>
        <row r="1333">
          <cell r="E1333">
            <v>5288.64</v>
          </cell>
        </row>
        <row r="1334">
          <cell r="E1334">
            <v>2184.38</v>
          </cell>
        </row>
        <row r="1335">
          <cell r="E1335">
            <v>2881.76</v>
          </cell>
        </row>
        <row r="1336">
          <cell r="E1336">
            <v>6203.06</v>
          </cell>
        </row>
        <row r="1337">
          <cell r="E1337">
            <v>6763.47</v>
          </cell>
        </row>
        <row r="1338">
          <cell r="E1338">
            <v>5884.65</v>
          </cell>
        </row>
        <row r="1339">
          <cell r="E1339">
            <v>3559.64</v>
          </cell>
        </row>
        <row r="1340">
          <cell r="E1340">
            <v>1668.37</v>
          </cell>
        </row>
        <row r="1341">
          <cell r="E1341">
            <v>4890.6000000000004</v>
          </cell>
        </row>
        <row r="1342">
          <cell r="E1342">
            <v>5235.72</v>
          </cell>
        </row>
        <row r="1343">
          <cell r="E1343">
            <v>4325.16</v>
          </cell>
        </row>
        <row r="1344">
          <cell r="E1344">
            <v>1938.89</v>
          </cell>
        </row>
        <row r="1345">
          <cell r="E1345">
            <v>2490.5</v>
          </cell>
        </row>
        <row r="1346">
          <cell r="E1346">
            <v>2314.69</v>
          </cell>
        </row>
        <row r="1347">
          <cell r="E1347">
            <v>1254.83</v>
          </cell>
        </row>
        <row r="1348">
          <cell r="E1348">
            <v>1282.8</v>
          </cell>
        </row>
        <row r="1349">
          <cell r="E1349">
            <v>1345.75</v>
          </cell>
        </row>
        <row r="1350">
          <cell r="E1350">
            <v>2194.2199999999998</v>
          </cell>
        </row>
        <row r="1351">
          <cell r="E1351">
            <v>1972</v>
          </cell>
        </row>
        <row r="1352">
          <cell r="E1352">
            <v>1835.98</v>
          </cell>
        </row>
        <row r="1353">
          <cell r="E1353">
            <v>1119.93</v>
          </cell>
        </row>
        <row r="1354">
          <cell r="E1354">
            <v>2082.88</v>
          </cell>
        </row>
        <row r="1355">
          <cell r="E1355">
            <v>1569.75</v>
          </cell>
        </row>
        <row r="1356">
          <cell r="E1356">
            <v>2694.15</v>
          </cell>
        </row>
        <row r="1357">
          <cell r="E1357">
            <v>1257.27</v>
          </cell>
        </row>
        <row r="1358">
          <cell r="E1358">
            <v>2567.84</v>
          </cell>
        </row>
        <row r="1359">
          <cell r="E1359">
            <v>2634.28</v>
          </cell>
        </row>
        <row r="1360">
          <cell r="E1360">
            <v>1502.78</v>
          </cell>
        </row>
        <row r="1361">
          <cell r="E1361">
            <v>1676.2</v>
          </cell>
        </row>
        <row r="1362">
          <cell r="E1362">
            <v>2217.15</v>
          </cell>
        </row>
        <row r="1363">
          <cell r="E1363">
            <v>6832.02</v>
          </cell>
        </row>
        <row r="1364">
          <cell r="E1364">
            <v>1916.64</v>
          </cell>
        </row>
        <row r="1365">
          <cell r="E1365">
            <v>7110.8</v>
          </cell>
        </row>
        <row r="1366">
          <cell r="E1366">
            <v>5302.8</v>
          </cell>
        </row>
        <row r="1367">
          <cell r="E1367">
            <v>2730</v>
          </cell>
        </row>
        <row r="1368">
          <cell r="E1368">
            <v>7827.3</v>
          </cell>
        </row>
        <row r="1369">
          <cell r="E1369">
            <v>2095.4499999999998</v>
          </cell>
        </row>
        <row r="1370">
          <cell r="E1370">
            <v>1556.62</v>
          </cell>
        </row>
        <row r="1371">
          <cell r="E1371">
            <v>5565.12</v>
          </cell>
        </row>
        <row r="1372">
          <cell r="E1372">
            <v>3583.16</v>
          </cell>
        </row>
        <row r="1373">
          <cell r="E1373">
            <v>4705.18</v>
          </cell>
        </row>
        <row r="1374">
          <cell r="E1374">
            <v>4444.54</v>
          </cell>
        </row>
        <row r="1375">
          <cell r="E1375">
            <v>4618.88</v>
          </cell>
        </row>
        <row r="1376">
          <cell r="E1376">
            <v>4910.3999999999996</v>
          </cell>
        </row>
        <row r="1377">
          <cell r="E1377">
            <v>5565.12</v>
          </cell>
        </row>
        <row r="1378">
          <cell r="E1378">
            <v>4237.76</v>
          </cell>
        </row>
        <row r="1379">
          <cell r="E1379">
            <v>5673.58</v>
          </cell>
        </row>
        <row r="1380">
          <cell r="E1380">
            <v>5260.15</v>
          </cell>
        </row>
        <row r="1381">
          <cell r="E1381">
            <v>6350.96</v>
          </cell>
        </row>
        <row r="1382">
          <cell r="E1382">
            <v>3559.4</v>
          </cell>
        </row>
        <row r="1383">
          <cell r="E1383">
            <v>2410.6</v>
          </cell>
        </row>
        <row r="1384">
          <cell r="E1384">
            <v>5713.92</v>
          </cell>
        </row>
        <row r="1385">
          <cell r="E1385">
            <v>4300.32</v>
          </cell>
        </row>
        <row r="1386">
          <cell r="E1386">
            <v>7947.31</v>
          </cell>
        </row>
        <row r="1387">
          <cell r="E1387">
            <v>5356.8</v>
          </cell>
        </row>
        <row r="1388">
          <cell r="E1388">
            <v>7901.1</v>
          </cell>
        </row>
        <row r="1389">
          <cell r="E1389">
            <v>6101</v>
          </cell>
        </row>
        <row r="1390">
          <cell r="E1390">
            <v>6276.46</v>
          </cell>
        </row>
        <row r="1391">
          <cell r="E1391">
            <v>4203.5</v>
          </cell>
        </row>
        <row r="1392">
          <cell r="E1392">
            <v>1629.04</v>
          </cell>
        </row>
        <row r="1393">
          <cell r="E1393">
            <v>3289.86</v>
          </cell>
        </row>
        <row r="1394">
          <cell r="E1394">
            <v>6862.94</v>
          </cell>
        </row>
        <row r="1395">
          <cell r="E1395">
            <v>2574.1799999999998</v>
          </cell>
        </row>
        <row r="1396">
          <cell r="E1396">
            <v>1327.79</v>
          </cell>
        </row>
        <row r="1397">
          <cell r="E1397">
            <v>2356.25</v>
          </cell>
        </row>
        <row r="1398">
          <cell r="E1398">
            <v>2013.5</v>
          </cell>
        </row>
        <row r="1399">
          <cell r="E1399">
            <v>2807.22</v>
          </cell>
        </row>
        <row r="1400">
          <cell r="E1400">
            <v>3072.96</v>
          </cell>
        </row>
        <row r="1401">
          <cell r="E1401">
            <v>1906.5</v>
          </cell>
        </row>
        <row r="1402">
          <cell r="E1402">
            <v>3431.7</v>
          </cell>
        </row>
        <row r="1403">
          <cell r="E1403">
            <v>2084.75</v>
          </cell>
        </row>
        <row r="1404">
          <cell r="E1404">
            <v>2136.0100000000002</v>
          </cell>
        </row>
        <row r="1405">
          <cell r="E1405">
            <v>2009.7</v>
          </cell>
        </row>
        <row r="1406">
          <cell r="E1406">
            <v>2719.8</v>
          </cell>
        </row>
        <row r="1407">
          <cell r="E1407">
            <v>1575.08</v>
          </cell>
        </row>
        <row r="1408">
          <cell r="E1408">
            <v>1688.43</v>
          </cell>
        </row>
        <row r="1409">
          <cell r="E1409">
            <v>1672.1</v>
          </cell>
        </row>
        <row r="1410">
          <cell r="E1410">
            <v>1674.75</v>
          </cell>
        </row>
        <row r="1411">
          <cell r="E1411">
            <v>3472.98</v>
          </cell>
        </row>
        <row r="1412">
          <cell r="E1412">
            <v>1649.18</v>
          </cell>
        </row>
        <row r="1413">
          <cell r="E1413">
            <v>3751</v>
          </cell>
        </row>
        <row r="1414">
          <cell r="E1414">
            <v>4536</v>
          </cell>
        </row>
        <row r="1415">
          <cell r="E1415">
            <v>4421.34</v>
          </cell>
        </row>
        <row r="1416">
          <cell r="E1416">
            <v>2078.2800000000002</v>
          </cell>
        </row>
        <row r="1417">
          <cell r="E1417">
            <v>3069</v>
          </cell>
        </row>
        <row r="1418">
          <cell r="E1418">
            <v>1713.8</v>
          </cell>
        </row>
        <row r="1419">
          <cell r="E1419">
            <v>1506.5</v>
          </cell>
        </row>
        <row r="1420">
          <cell r="E1420">
            <v>2692.12</v>
          </cell>
        </row>
        <row r="1421">
          <cell r="E1421">
            <v>2422.08</v>
          </cell>
        </row>
        <row r="1422">
          <cell r="E1422">
            <v>3488.34</v>
          </cell>
        </row>
        <row r="1423">
          <cell r="E1423">
            <v>2583.34</v>
          </cell>
        </row>
        <row r="1424">
          <cell r="E1424">
            <v>1249.4000000000001</v>
          </cell>
        </row>
        <row r="1425">
          <cell r="E1425">
            <v>3374.71</v>
          </cell>
        </row>
        <row r="1426">
          <cell r="E1426">
            <v>1265.46</v>
          </cell>
        </row>
        <row r="1427">
          <cell r="E1427">
            <v>1681.46</v>
          </cell>
        </row>
        <row r="1428">
          <cell r="E1428">
            <v>3204</v>
          </cell>
        </row>
        <row r="1429">
          <cell r="E1429">
            <v>2398.7199999999998</v>
          </cell>
        </row>
        <row r="1430">
          <cell r="E1430">
            <v>2381.04</v>
          </cell>
        </row>
        <row r="1431">
          <cell r="E1431">
            <v>1944.54</v>
          </cell>
        </row>
        <row r="1432">
          <cell r="E1432">
            <v>2273.6999999999998</v>
          </cell>
        </row>
        <row r="1433">
          <cell r="E1433">
            <v>2116.5</v>
          </cell>
        </row>
        <row r="1434">
          <cell r="E1434">
            <v>1307.32</v>
          </cell>
        </row>
        <row r="1435">
          <cell r="E1435">
            <v>1726.37</v>
          </cell>
        </row>
        <row r="1436">
          <cell r="E1436">
            <v>1267.77</v>
          </cell>
        </row>
        <row r="1437">
          <cell r="E1437">
            <v>3441.82</v>
          </cell>
        </row>
        <row r="1438">
          <cell r="E1438">
            <v>1987.18</v>
          </cell>
        </row>
        <row r="1439">
          <cell r="E1439">
            <v>3880.2</v>
          </cell>
        </row>
        <row r="1440">
          <cell r="E1440">
            <v>1942.15</v>
          </cell>
        </row>
        <row r="1441">
          <cell r="E1441">
            <v>3259.92</v>
          </cell>
        </row>
        <row r="1442">
          <cell r="E1442">
            <v>1213.8</v>
          </cell>
        </row>
        <row r="1443">
          <cell r="E1443">
            <v>1086.5999999999999</v>
          </cell>
        </row>
        <row r="1444">
          <cell r="E1444">
            <v>1632.75</v>
          </cell>
        </row>
        <row r="1445">
          <cell r="E1445">
            <v>1734</v>
          </cell>
        </row>
        <row r="1446">
          <cell r="E1446">
            <v>1857.06</v>
          </cell>
        </row>
        <row r="1447">
          <cell r="E1447">
            <v>1863.41</v>
          </cell>
        </row>
        <row r="1448">
          <cell r="E1448">
            <v>2924.68</v>
          </cell>
        </row>
        <row r="1449">
          <cell r="E1449">
            <v>2294.1799999999998</v>
          </cell>
        </row>
        <row r="1450">
          <cell r="E1450">
            <v>1457.82</v>
          </cell>
        </row>
        <row r="1451">
          <cell r="E1451">
            <v>1955.88</v>
          </cell>
        </row>
        <row r="1452">
          <cell r="E1452">
            <v>2314.4</v>
          </cell>
        </row>
        <row r="1453">
          <cell r="E1453">
            <v>1310.96</v>
          </cell>
        </row>
        <row r="1454">
          <cell r="E1454">
            <v>2913.3</v>
          </cell>
        </row>
        <row r="1455">
          <cell r="E1455">
            <v>1357.78</v>
          </cell>
        </row>
        <row r="1456">
          <cell r="E1456">
            <v>2150</v>
          </cell>
        </row>
        <row r="1457">
          <cell r="E1457">
            <v>2783.25</v>
          </cell>
        </row>
        <row r="1458">
          <cell r="E1458">
            <v>2339.92</v>
          </cell>
        </row>
        <row r="1459">
          <cell r="E1459">
            <v>1729</v>
          </cell>
        </row>
        <row r="1460">
          <cell r="E1460">
            <v>5972.4</v>
          </cell>
        </row>
        <row r="1461">
          <cell r="E1461">
            <v>2275.1999999999998</v>
          </cell>
        </row>
        <row r="1462">
          <cell r="E1462">
            <v>2673.44</v>
          </cell>
        </row>
        <row r="1463">
          <cell r="E1463">
            <v>2431.75</v>
          </cell>
        </row>
        <row r="1464">
          <cell r="E1464">
            <v>2018.72</v>
          </cell>
        </row>
        <row r="1465">
          <cell r="E1465">
            <v>1558.99</v>
          </cell>
        </row>
        <row r="1466">
          <cell r="E1466">
            <v>1104.5999999999999</v>
          </cell>
        </row>
        <row r="1467">
          <cell r="E1467">
            <v>2575.1</v>
          </cell>
        </row>
        <row r="1468">
          <cell r="E1468">
            <v>2845.75</v>
          </cell>
        </row>
        <row r="1469">
          <cell r="E1469">
            <v>3431.75</v>
          </cell>
        </row>
        <row r="1470">
          <cell r="E1470">
            <v>3273.9</v>
          </cell>
        </row>
        <row r="1471">
          <cell r="E1471">
            <v>4119.3999999999996</v>
          </cell>
        </row>
        <row r="1472">
          <cell r="E1472">
            <v>5355.68</v>
          </cell>
        </row>
        <row r="1473">
          <cell r="E1473">
            <v>5747.5</v>
          </cell>
        </row>
        <row r="1474">
          <cell r="E1474">
            <v>5355.36</v>
          </cell>
        </row>
        <row r="1475">
          <cell r="E1475">
            <v>2535.75</v>
          </cell>
        </row>
        <row r="1476">
          <cell r="E1476">
            <v>4351.2299999999996</v>
          </cell>
        </row>
        <row r="1477">
          <cell r="E1477">
            <v>2254</v>
          </cell>
        </row>
        <row r="1478">
          <cell r="E1478">
            <v>2921.28</v>
          </cell>
        </row>
        <row r="1479">
          <cell r="E1479">
            <v>2299</v>
          </cell>
        </row>
        <row r="1480">
          <cell r="E1480">
            <v>2637.18</v>
          </cell>
        </row>
        <row r="1481">
          <cell r="E1481">
            <v>4307.5200000000004</v>
          </cell>
        </row>
        <row r="1482">
          <cell r="E1482">
            <v>2153.7600000000002</v>
          </cell>
        </row>
        <row r="1483">
          <cell r="E1483">
            <v>3716.88</v>
          </cell>
        </row>
        <row r="1484">
          <cell r="E1484">
            <v>5455.76</v>
          </cell>
        </row>
        <row r="1485">
          <cell r="E1485">
            <v>2650.62</v>
          </cell>
        </row>
        <row r="1486">
          <cell r="E1486">
            <v>6437.28</v>
          </cell>
        </row>
        <row r="1487">
          <cell r="E1487">
            <v>2633.4</v>
          </cell>
        </row>
        <row r="1488">
          <cell r="E1488">
            <v>2278.5300000000002</v>
          </cell>
        </row>
        <row r="1489">
          <cell r="E1489">
            <v>4846</v>
          </cell>
        </row>
        <row r="1490">
          <cell r="E1490">
            <v>4197.1000000000004</v>
          </cell>
        </row>
        <row r="1491">
          <cell r="E1491">
            <v>4597.6499999999996</v>
          </cell>
        </row>
        <row r="1492">
          <cell r="E1492">
            <v>5287.7</v>
          </cell>
        </row>
        <row r="1493">
          <cell r="E1493">
            <v>3550.05</v>
          </cell>
        </row>
        <row r="1494">
          <cell r="E1494">
            <v>1721.73</v>
          </cell>
        </row>
        <row r="1495">
          <cell r="E1495">
            <v>2993.5</v>
          </cell>
        </row>
        <row r="1496">
          <cell r="E1496">
            <v>1295.06</v>
          </cell>
        </row>
        <row r="1497">
          <cell r="E1497">
            <v>2671.95</v>
          </cell>
        </row>
        <row r="1498">
          <cell r="E1498">
            <v>1226.5899999999999</v>
          </cell>
        </row>
        <row r="1499">
          <cell r="E1499">
            <v>1453.84</v>
          </cell>
        </row>
        <row r="1500">
          <cell r="E1500">
            <v>1830.22</v>
          </cell>
        </row>
        <row r="1501">
          <cell r="E1501">
            <v>2530.0100000000002</v>
          </cell>
        </row>
        <row r="1502">
          <cell r="E1502">
            <v>2241.4499999999998</v>
          </cell>
        </row>
        <row r="1503">
          <cell r="E1503">
            <v>2399.85</v>
          </cell>
        </row>
        <row r="1504">
          <cell r="E1504">
            <v>1557.72</v>
          </cell>
        </row>
        <row r="1505">
          <cell r="E1505">
            <v>845.25</v>
          </cell>
        </row>
        <row r="1506">
          <cell r="E1506">
            <v>1352.4</v>
          </cell>
        </row>
        <row r="1507">
          <cell r="E1507">
            <v>1584.8</v>
          </cell>
        </row>
        <row r="1508">
          <cell r="E1508">
            <v>2616</v>
          </cell>
        </row>
        <row r="1509">
          <cell r="E1509">
            <v>1129.04</v>
          </cell>
        </row>
        <row r="1510">
          <cell r="E1510">
            <v>2218.5</v>
          </cell>
        </row>
        <row r="1511">
          <cell r="E1511">
            <v>2028.48</v>
          </cell>
        </row>
        <row r="1512">
          <cell r="E1512">
            <v>1759.2</v>
          </cell>
        </row>
        <row r="1513">
          <cell r="E1513">
            <v>977.67</v>
          </cell>
        </row>
        <row r="1514">
          <cell r="E1514">
            <v>1463</v>
          </cell>
        </row>
        <row r="1515">
          <cell r="E1515">
            <v>3970.56</v>
          </cell>
        </row>
        <row r="1516">
          <cell r="E1516">
            <v>2576</v>
          </cell>
        </row>
        <row r="1517">
          <cell r="E1517">
            <v>2233.69</v>
          </cell>
        </row>
        <row r="1518">
          <cell r="E1518">
            <v>2481.64</v>
          </cell>
        </row>
        <row r="1519">
          <cell r="E1519">
            <v>4651.53</v>
          </cell>
        </row>
        <row r="1520">
          <cell r="E1520">
            <v>3858.1</v>
          </cell>
        </row>
        <row r="1521">
          <cell r="E1521">
            <v>3501.6</v>
          </cell>
        </row>
        <row r="1522">
          <cell r="E1522">
            <v>6433.7</v>
          </cell>
        </row>
        <row r="1523">
          <cell r="E1523">
            <v>2658.96</v>
          </cell>
        </row>
        <row r="1524">
          <cell r="E1524">
            <v>3608.76</v>
          </cell>
        </row>
        <row r="1525">
          <cell r="E1525">
            <v>2214.67</v>
          </cell>
        </row>
        <row r="1526">
          <cell r="E1526">
            <v>2747.53</v>
          </cell>
        </row>
        <row r="1527">
          <cell r="E1527">
            <v>3310.92</v>
          </cell>
        </row>
        <row r="1528">
          <cell r="E1528">
            <v>2380</v>
          </cell>
        </row>
        <row r="1529">
          <cell r="E1529">
            <v>2310.88</v>
          </cell>
        </row>
        <row r="1530">
          <cell r="E1530">
            <v>4061.76</v>
          </cell>
        </row>
        <row r="1531">
          <cell r="E1531">
            <v>3493.7</v>
          </cell>
        </row>
        <row r="1532">
          <cell r="E1532">
            <v>2872.25</v>
          </cell>
        </row>
        <row r="1533">
          <cell r="E1533">
            <v>4114.38</v>
          </cell>
        </row>
        <row r="1534">
          <cell r="E1534">
            <v>1063.6500000000001</v>
          </cell>
        </row>
        <row r="1535">
          <cell r="E1535">
            <v>2008.44</v>
          </cell>
        </row>
        <row r="1536">
          <cell r="E1536">
            <v>4328.6000000000004</v>
          </cell>
        </row>
        <row r="1537">
          <cell r="E1537">
            <v>1376.43</v>
          </cell>
        </row>
        <row r="1538">
          <cell r="E1538">
            <v>5552.16</v>
          </cell>
        </row>
        <row r="1539">
          <cell r="E1539">
            <v>3659.02</v>
          </cell>
        </row>
        <row r="1540">
          <cell r="E1540">
            <v>4165.6099999999997</v>
          </cell>
        </row>
        <row r="1541">
          <cell r="E1541">
            <v>1404</v>
          </cell>
        </row>
        <row r="1542">
          <cell r="E1542">
            <v>710.2</v>
          </cell>
        </row>
        <row r="1543">
          <cell r="E1543">
            <v>1702.8</v>
          </cell>
        </row>
        <row r="1544">
          <cell r="E1544">
            <v>1194.8399999999999</v>
          </cell>
        </row>
        <row r="1545">
          <cell r="E1545">
            <v>1007.14</v>
          </cell>
        </row>
        <row r="1546">
          <cell r="E1546">
            <v>977.43</v>
          </cell>
        </row>
        <row r="1547">
          <cell r="E1547">
            <v>1436.76</v>
          </cell>
        </row>
        <row r="1548">
          <cell r="E1548">
            <v>759.46</v>
          </cell>
        </row>
        <row r="1549">
          <cell r="E1549">
            <v>1189.44</v>
          </cell>
        </row>
        <row r="1550">
          <cell r="E1550">
            <v>683.8</v>
          </cell>
        </row>
        <row r="1551">
          <cell r="E1551">
            <v>1226.82</v>
          </cell>
        </row>
        <row r="1552">
          <cell r="E1552">
            <v>974.82</v>
          </cell>
        </row>
        <row r="1553">
          <cell r="E1553">
            <v>577.6</v>
          </cell>
        </row>
        <row r="1554">
          <cell r="E1554">
            <v>1106.93</v>
          </cell>
        </row>
        <row r="1555">
          <cell r="E1555">
            <v>694.6</v>
          </cell>
        </row>
        <row r="1556">
          <cell r="E1556">
            <v>1152.06</v>
          </cell>
        </row>
        <row r="1557">
          <cell r="E1557">
            <v>2624</v>
          </cell>
        </row>
        <row r="1558">
          <cell r="E1558">
            <v>3685.95</v>
          </cell>
        </row>
        <row r="1559">
          <cell r="E1559">
            <v>703.6</v>
          </cell>
        </row>
        <row r="1560">
          <cell r="E1560">
            <v>9720</v>
          </cell>
        </row>
        <row r="1561">
          <cell r="E1561">
            <v>834.67</v>
          </cell>
        </row>
        <row r="1562">
          <cell r="E1562">
            <v>2257.92</v>
          </cell>
        </row>
        <row r="1563">
          <cell r="E1563">
            <v>8344.7099999999991</v>
          </cell>
        </row>
        <row r="1564">
          <cell r="E1564">
            <v>1801.94</v>
          </cell>
        </row>
        <row r="1565">
          <cell r="E1565">
            <v>1209.5999999999999</v>
          </cell>
        </row>
        <row r="1566">
          <cell r="E1566">
            <v>3155.14</v>
          </cell>
        </row>
        <row r="1567">
          <cell r="E1567">
            <v>2848.86</v>
          </cell>
        </row>
        <row r="1568">
          <cell r="E1568">
            <v>3570.29</v>
          </cell>
        </row>
        <row r="1569">
          <cell r="E1569">
            <v>3902.41</v>
          </cell>
        </row>
        <row r="1570">
          <cell r="E1570">
            <v>1474.66</v>
          </cell>
        </row>
        <row r="1571">
          <cell r="E1571">
            <v>2186.89</v>
          </cell>
        </row>
        <row r="1572">
          <cell r="E1572">
            <v>1919.4</v>
          </cell>
        </row>
        <row r="1573">
          <cell r="E1573">
            <v>3656</v>
          </cell>
        </row>
        <row r="1574">
          <cell r="E1574">
            <v>1847</v>
          </cell>
        </row>
        <row r="1575">
          <cell r="E1575">
            <v>1851</v>
          </cell>
        </row>
        <row r="1576">
          <cell r="E1576">
            <v>2633.78</v>
          </cell>
        </row>
        <row r="1577">
          <cell r="E1577">
            <v>3153.6</v>
          </cell>
        </row>
        <row r="1578">
          <cell r="E1578">
            <v>2803.2</v>
          </cell>
        </row>
        <row r="1579">
          <cell r="E1579">
            <v>2311.02</v>
          </cell>
        </row>
        <row r="1580">
          <cell r="E1580">
            <v>2399.4</v>
          </cell>
        </row>
        <row r="1581">
          <cell r="E1581">
            <v>2733.12</v>
          </cell>
        </row>
        <row r="1582">
          <cell r="E1582">
            <v>2096.3200000000002</v>
          </cell>
        </row>
        <row r="1583">
          <cell r="E1583">
            <v>2971.34</v>
          </cell>
        </row>
        <row r="1584">
          <cell r="E1584">
            <v>2257.58</v>
          </cell>
        </row>
        <row r="1585">
          <cell r="E1585">
            <v>3493.91</v>
          </cell>
        </row>
        <row r="1586">
          <cell r="E1586">
            <v>4398.8999999999996</v>
          </cell>
        </row>
        <row r="1587">
          <cell r="E1587">
            <v>3595.62</v>
          </cell>
        </row>
        <row r="1588">
          <cell r="E1588">
            <v>2443.29</v>
          </cell>
        </row>
        <row r="1589">
          <cell r="E1589">
            <v>3988.6</v>
          </cell>
        </row>
        <row r="1590">
          <cell r="E1590">
            <v>5168.3999999999996</v>
          </cell>
        </row>
        <row r="1591">
          <cell r="E1591">
            <v>2803.2</v>
          </cell>
        </row>
        <row r="1592">
          <cell r="E1592">
            <v>6341.21</v>
          </cell>
        </row>
        <row r="1593">
          <cell r="E1593">
            <v>5189.78</v>
          </cell>
        </row>
        <row r="1594">
          <cell r="E1594">
            <v>6027.75</v>
          </cell>
        </row>
        <row r="1595">
          <cell r="E1595">
            <v>3366</v>
          </cell>
        </row>
        <row r="1596">
          <cell r="E1596">
            <v>5456.4</v>
          </cell>
        </row>
        <row r="1597">
          <cell r="E1597">
            <v>3812.16</v>
          </cell>
        </row>
        <row r="1598">
          <cell r="E1598">
            <v>6083</v>
          </cell>
        </row>
        <row r="1599">
          <cell r="E1599">
            <v>3170.7</v>
          </cell>
        </row>
        <row r="1600">
          <cell r="E1600">
            <v>4534.6000000000004</v>
          </cell>
        </row>
        <row r="1601">
          <cell r="E1601">
            <v>4301.1499999999996</v>
          </cell>
        </row>
        <row r="1602">
          <cell r="E1602">
            <v>6804.63</v>
          </cell>
        </row>
        <row r="1603">
          <cell r="E1603">
            <v>5652.94</v>
          </cell>
        </row>
        <row r="1604">
          <cell r="E1604">
            <v>6960.48</v>
          </cell>
        </row>
        <row r="1605">
          <cell r="E1605">
            <v>4512.6000000000004</v>
          </cell>
        </row>
        <row r="1606">
          <cell r="E1606">
            <v>2784.76</v>
          </cell>
        </row>
        <row r="1607">
          <cell r="E1607">
            <v>5316.36</v>
          </cell>
        </row>
        <row r="1608">
          <cell r="E1608">
            <v>2941.89</v>
          </cell>
        </row>
        <row r="1609">
          <cell r="E1609">
            <v>3207.4</v>
          </cell>
        </row>
        <row r="1610">
          <cell r="E1610">
            <v>4215.05</v>
          </cell>
        </row>
        <row r="1611">
          <cell r="E1611">
            <v>4333.29</v>
          </cell>
        </row>
        <row r="1612">
          <cell r="E1612">
            <v>2087.13</v>
          </cell>
        </row>
        <row r="1613">
          <cell r="E1613">
            <v>1711.22</v>
          </cell>
        </row>
        <row r="1614">
          <cell r="E1614">
            <v>3910.53</v>
          </cell>
        </row>
        <row r="1615">
          <cell r="E1615">
            <v>2255.12</v>
          </cell>
        </row>
        <row r="1616">
          <cell r="E1616">
            <v>5720.75</v>
          </cell>
        </row>
        <row r="1617">
          <cell r="E1617">
            <v>3335.23</v>
          </cell>
        </row>
        <row r="1618">
          <cell r="E1618">
            <v>2472.96</v>
          </cell>
        </row>
        <row r="1619">
          <cell r="E1619">
            <v>1729.65</v>
          </cell>
        </row>
        <row r="1620">
          <cell r="E1620">
            <v>995.5</v>
          </cell>
        </row>
        <row r="1621">
          <cell r="E1621">
            <v>2414.7199999999998</v>
          </cell>
        </row>
        <row r="1622">
          <cell r="E1622">
            <v>1560.47</v>
          </cell>
        </row>
        <row r="1623">
          <cell r="E1623">
            <v>1112.94</v>
          </cell>
        </row>
        <row r="1624">
          <cell r="E1624">
            <v>1138.94</v>
          </cell>
        </row>
        <row r="1625">
          <cell r="E1625">
            <v>1012.4</v>
          </cell>
        </row>
        <row r="1626">
          <cell r="E1626">
            <v>913.92</v>
          </cell>
        </row>
        <row r="1627">
          <cell r="E1627">
            <v>2349.06</v>
          </cell>
        </row>
        <row r="1628">
          <cell r="E1628">
            <v>1161.1199999999999</v>
          </cell>
        </row>
        <row r="1629">
          <cell r="E1629">
            <v>1764.75</v>
          </cell>
        </row>
        <row r="1630">
          <cell r="E1630">
            <v>1690.9</v>
          </cell>
        </row>
        <row r="1631">
          <cell r="E1631">
            <v>2137.0500000000002</v>
          </cell>
        </row>
        <row r="1632">
          <cell r="E1632">
            <v>2177.1</v>
          </cell>
        </row>
        <row r="1633">
          <cell r="E1633">
            <v>1734.48</v>
          </cell>
        </row>
        <row r="1634">
          <cell r="E1634">
            <v>865.49</v>
          </cell>
        </row>
        <row r="1635">
          <cell r="E1635">
            <v>3500.1</v>
          </cell>
        </row>
        <row r="1636">
          <cell r="E1636">
            <v>2223.52</v>
          </cell>
        </row>
        <row r="1637">
          <cell r="E1637">
            <v>2311.6799999999998</v>
          </cell>
        </row>
        <row r="1638">
          <cell r="E1638">
            <v>828.36</v>
          </cell>
        </row>
        <row r="1639">
          <cell r="E1639">
            <v>856.52</v>
          </cell>
        </row>
        <row r="1640">
          <cell r="E1640">
            <v>1845.45</v>
          </cell>
        </row>
        <row r="1641">
          <cell r="E1641">
            <v>4042.08</v>
          </cell>
        </row>
        <row r="1642">
          <cell r="E1642">
            <v>1828</v>
          </cell>
        </row>
        <row r="1643">
          <cell r="E1643">
            <v>3680.28</v>
          </cell>
        </row>
        <row r="1644">
          <cell r="E1644">
            <v>2925.09</v>
          </cell>
        </row>
        <row r="1645">
          <cell r="E1645">
            <v>3415.77</v>
          </cell>
        </row>
        <row r="1646">
          <cell r="E1646">
            <v>5105.1400000000003</v>
          </cell>
        </row>
        <row r="1647">
          <cell r="E1647">
            <v>5098.8</v>
          </cell>
        </row>
        <row r="1648">
          <cell r="E1648">
            <v>4661.76</v>
          </cell>
        </row>
        <row r="1649">
          <cell r="E1649">
            <v>2969.96</v>
          </cell>
        </row>
        <row r="1650">
          <cell r="E1650">
            <v>3496.32</v>
          </cell>
        </row>
        <row r="1651">
          <cell r="E1651">
            <v>5760.93</v>
          </cell>
        </row>
        <row r="1652">
          <cell r="E1652">
            <v>6819.04</v>
          </cell>
        </row>
        <row r="1653">
          <cell r="E1653">
            <v>3148.88</v>
          </cell>
        </row>
        <row r="1654">
          <cell r="E1654">
            <v>5704.32</v>
          </cell>
        </row>
        <row r="1655">
          <cell r="E1655">
            <v>3520.6</v>
          </cell>
        </row>
        <row r="1656">
          <cell r="E1656">
            <v>5285.62</v>
          </cell>
        </row>
        <row r="1657">
          <cell r="E1657">
            <v>5605.05</v>
          </cell>
        </row>
        <row r="1658">
          <cell r="E1658">
            <v>2779.5</v>
          </cell>
        </row>
        <row r="1659">
          <cell r="E1659">
            <v>5398.08</v>
          </cell>
        </row>
        <row r="1660">
          <cell r="E1660">
            <v>3189.6</v>
          </cell>
        </row>
        <row r="1661">
          <cell r="E1661">
            <v>5581.8</v>
          </cell>
        </row>
        <row r="1662">
          <cell r="E1662">
            <v>3820.44</v>
          </cell>
        </row>
        <row r="1663">
          <cell r="E1663">
            <v>5528.04</v>
          </cell>
        </row>
        <row r="1664">
          <cell r="E1664">
            <v>5981.42</v>
          </cell>
        </row>
        <row r="1665">
          <cell r="E1665">
            <v>5684.65</v>
          </cell>
        </row>
        <row r="1666">
          <cell r="E1666">
            <v>3449.4</v>
          </cell>
        </row>
        <row r="1667">
          <cell r="E1667">
            <v>2654.4</v>
          </cell>
        </row>
        <row r="1668">
          <cell r="E1668">
            <v>8498</v>
          </cell>
        </row>
        <row r="1669">
          <cell r="E1669">
            <v>5510.54</v>
          </cell>
        </row>
        <row r="1670">
          <cell r="E1670">
            <v>2060.4499999999998</v>
          </cell>
        </row>
        <row r="1671">
          <cell r="E1671">
            <v>2460.16</v>
          </cell>
        </row>
        <row r="1672">
          <cell r="E1672">
            <v>1787.56</v>
          </cell>
        </row>
        <row r="1673">
          <cell r="E1673">
            <v>1645.65</v>
          </cell>
        </row>
        <row r="1674">
          <cell r="E1674">
            <v>2169.1799999999998</v>
          </cell>
        </row>
        <row r="1675">
          <cell r="E1675">
            <v>2816.18</v>
          </cell>
        </row>
        <row r="1676">
          <cell r="E1676">
            <v>2521.0500000000002</v>
          </cell>
        </row>
        <row r="1677">
          <cell r="E1677">
            <v>3199.98</v>
          </cell>
        </row>
        <row r="1678">
          <cell r="E1678">
            <v>1338.12</v>
          </cell>
        </row>
        <row r="1679">
          <cell r="E1679">
            <v>2972.58</v>
          </cell>
        </row>
        <row r="1680">
          <cell r="E1680">
            <v>2070.9</v>
          </cell>
        </row>
        <row r="1681">
          <cell r="E1681">
            <v>3092.6</v>
          </cell>
        </row>
        <row r="1682">
          <cell r="E1682">
            <v>2408.6999999999998</v>
          </cell>
        </row>
        <row r="1683">
          <cell r="E1683">
            <v>3472.54</v>
          </cell>
        </row>
        <row r="1684">
          <cell r="E1684">
            <v>2263.2800000000002</v>
          </cell>
        </row>
        <row r="1685">
          <cell r="E1685">
            <v>2194.17</v>
          </cell>
        </row>
        <row r="1686">
          <cell r="E1686">
            <v>1346.4</v>
          </cell>
        </row>
        <row r="1687">
          <cell r="E1687">
            <v>2533.63</v>
          </cell>
        </row>
        <row r="1688">
          <cell r="E1688">
            <v>3403.26</v>
          </cell>
        </row>
        <row r="1689">
          <cell r="E1689">
            <v>3307.2</v>
          </cell>
        </row>
        <row r="1690">
          <cell r="E1690">
            <v>2896.65</v>
          </cell>
        </row>
        <row r="1691">
          <cell r="E1691">
            <v>2632.89</v>
          </cell>
        </row>
        <row r="1692">
          <cell r="E1692">
            <v>2046</v>
          </cell>
        </row>
        <row r="1693">
          <cell r="E1693">
            <v>2279.5500000000002</v>
          </cell>
        </row>
        <row r="1694">
          <cell r="E1694">
            <v>2150.5500000000002</v>
          </cell>
        </row>
        <row r="1695">
          <cell r="E1695">
            <v>3360.45</v>
          </cell>
        </row>
        <row r="1696">
          <cell r="E1696">
            <v>2326.4</v>
          </cell>
        </row>
        <row r="1697">
          <cell r="E1697">
            <v>1545.6</v>
          </cell>
        </row>
        <row r="1698">
          <cell r="E1698">
            <v>2144.6</v>
          </cell>
        </row>
        <row r="1699">
          <cell r="E1699">
            <v>1639.22</v>
          </cell>
        </row>
        <row r="1700">
          <cell r="E1700">
            <v>2649.6</v>
          </cell>
        </row>
        <row r="1701">
          <cell r="E1701">
            <v>3845.6</v>
          </cell>
        </row>
        <row r="1702">
          <cell r="E1702">
            <v>4527.04</v>
          </cell>
        </row>
        <row r="1703">
          <cell r="E1703">
            <v>3966.3</v>
          </cell>
        </row>
        <row r="1704">
          <cell r="E1704">
            <v>4142.58</v>
          </cell>
        </row>
        <row r="1705">
          <cell r="E1705">
            <v>4441.5</v>
          </cell>
        </row>
        <row r="1706">
          <cell r="E1706">
            <v>3315.12</v>
          </cell>
        </row>
        <row r="1707">
          <cell r="E1707">
            <v>3918.53</v>
          </cell>
        </row>
        <row r="1708">
          <cell r="E1708">
            <v>2830.45</v>
          </cell>
        </row>
        <row r="1709">
          <cell r="E1709">
            <v>5298.86</v>
          </cell>
        </row>
        <row r="1710">
          <cell r="E1710">
            <v>2620.8000000000002</v>
          </cell>
        </row>
        <row r="1711">
          <cell r="E1711">
            <v>2181</v>
          </cell>
        </row>
        <row r="1712">
          <cell r="E1712">
            <v>3382.08</v>
          </cell>
        </row>
        <row r="1713">
          <cell r="E1713">
            <v>2876.75</v>
          </cell>
        </row>
        <row r="1714">
          <cell r="E1714">
            <v>4107.2</v>
          </cell>
        </row>
        <row r="1715">
          <cell r="E1715">
            <v>1350</v>
          </cell>
        </row>
        <row r="1716">
          <cell r="E1716">
            <v>7182</v>
          </cell>
        </row>
        <row r="1717">
          <cell r="E1717">
            <v>3933.93</v>
          </cell>
        </row>
        <row r="1718">
          <cell r="E1718">
            <v>1742.4</v>
          </cell>
        </row>
        <row r="1719">
          <cell r="E1719">
            <v>721.44</v>
          </cell>
        </row>
        <row r="1720">
          <cell r="E1720">
            <v>1489.41</v>
          </cell>
        </row>
        <row r="1721">
          <cell r="E1721">
            <v>891.03</v>
          </cell>
        </row>
        <row r="1722">
          <cell r="E1722">
            <v>1209.3</v>
          </cell>
        </row>
        <row r="1723">
          <cell r="E1723">
            <v>859.14</v>
          </cell>
        </row>
        <row r="1724">
          <cell r="E1724">
            <v>1151.44</v>
          </cell>
        </row>
        <row r="1725">
          <cell r="E1725">
            <v>1336.44</v>
          </cell>
        </row>
        <row r="1726">
          <cell r="E1726">
            <v>905.28</v>
          </cell>
        </row>
        <row r="1727">
          <cell r="E1727">
            <v>1247.4000000000001</v>
          </cell>
        </row>
        <row r="1728">
          <cell r="E1728">
            <v>846.51</v>
          </cell>
        </row>
        <row r="1729">
          <cell r="E1729">
            <v>1085.04</v>
          </cell>
        </row>
        <row r="1730">
          <cell r="E1730">
            <v>1767.43</v>
          </cell>
        </row>
        <row r="1731">
          <cell r="E1731">
            <v>1030.44</v>
          </cell>
        </row>
        <row r="1732">
          <cell r="E1732">
            <v>1585.36</v>
          </cell>
        </row>
        <row r="1733">
          <cell r="E1733">
            <v>813.2</v>
          </cell>
        </row>
        <row r="1734">
          <cell r="E1734">
            <v>1172.3399999999999</v>
          </cell>
        </row>
        <row r="1735">
          <cell r="E1735">
            <v>1510.56</v>
          </cell>
        </row>
        <row r="1736">
          <cell r="E1736">
            <v>1448.07</v>
          </cell>
        </row>
        <row r="1737">
          <cell r="E1737">
            <v>3338.1</v>
          </cell>
        </row>
        <row r="1738">
          <cell r="E1738">
            <v>1225.29</v>
          </cell>
        </row>
        <row r="1739">
          <cell r="E1739">
            <v>1336.68</v>
          </cell>
        </row>
        <row r="1740">
          <cell r="E1740">
            <v>2985.84</v>
          </cell>
        </row>
        <row r="1741">
          <cell r="E1741">
            <v>5545.8</v>
          </cell>
        </row>
        <row r="1742">
          <cell r="E1742">
            <v>6089.6</v>
          </cell>
        </row>
        <row r="1743">
          <cell r="E1743">
            <v>1789.4</v>
          </cell>
        </row>
        <row r="1744">
          <cell r="E1744">
            <v>1082.0999999999999</v>
          </cell>
        </row>
        <row r="1745">
          <cell r="E1745">
            <v>1030.44</v>
          </cell>
        </row>
        <row r="1746">
          <cell r="E1746">
            <v>3659.32</v>
          </cell>
        </row>
        <row r="1747">
          <cell r="E1747">
            <v>2443.6</v>
          </cell>
        </row>
        <row r="1748">
          <cell r="E1748">
            <v>2349.9</v>
          </cell>
        </row>
        <row r="1749">
          <cell r="E1749">
            <v>1646.19</v>
          </cell>
        </row>
        <row r="1750">
          <cell r="E1750">
            <v>1670.26</v>
          </cell>
        </row>
        <row r="1751">
          <cell r="E1751">
            <v>1467.48</v>
          </cell>
        </row>
        <row r="1752">
          <cell r="E1752">
            <v>2748.56</v>
          </cell>
        </row>
        <row r="1753">
          <cell r="E1753">
            <v>1522.4</v>
          </cell>
        </row>
        <row r="1754">
          <cell r="E1754">
            <v>3255.36</v>
          </cell>
        </row>
        <row r="1755">
          <cell r="E1755">
            <v>3535.03</v>
          </cell>
        </row>
        <row r="1756">
          <cell r="E1756">
            <v>2608.96</v>
          </cell>
        </row>
        <row r="1757">
          <cell r="E1757">
            <v>1356.4</v>
          </cell>
        </row>
        <row r="1758">
          <cell r="E1758">
            <v>1611.36</v>
          </cell>
        </row>
        <row r="1759">
          <cell r="E1759">
            <v>2603.1999999999998</v>
          </cell>
        </row>
        <row r="1760">
          <cell r="E1760">
            <v>2219.6999999999998</v>
          </cell>
        </row>
        <row r="1761">
          <cell r="E1761">
            <v>1496.25</v>
          </cell>
        </row>
        <row r="1762">
          <cell r="E1762">
            <v>1884</v>
          </cell>
        </row>
        <row r="1763">
          <cell r="E1763">
            <v>2166.14</v>
          </cell>
        </row>
        <row r="1764">
          <cell r="E1764">
            <v>2828.16</v>
          </cell>
        </row>
        <row r="1765">
          <cell r="E1765">
            <v>6214.45</v>
          </cell>
        </row>
        <row r="1766">
          <cell r="E1766">
            <v>1867</v>
          </cell>
        </row>
        <row r="1767">
          <cell r="E1767">
            <v>2676.72</v>
          </cell>
        </row>
        <row r="1768">
          <cell r="E1768">
            <v>2182.44</v>
          </cell>
        </row>
        <row r="1769">
          <cell r="E1769">
            <v>1611.4</v>
          </cell>
        </row>
        <row r="1770">
          <cell r="E1770">
            <v>1479.84</v>
          </cell>
        </row>
        <row r="1771">
          <cell r="E1771">
            <v>1424.22</v>
          </cell>
        </row>
        <row r="1772">
          <cell r="E1772">
            <v>5942.28</v>
          </cell>
        </row>
        <row r="1773">
          <cell r="E1773">
            <v>2348.75</v>
          </cell>
        </row>
        <row r="1774">
          <cell r="E1774">
            <v>4392.12</v>
          </cell>
        </row>
        <row r="1775">
          <cell r="E1775">
            <v>2759.75</v>
          </cell>
        </row>
        <row r="1776">
          <cell r="E1776">
            <v>2728.03</v>
          </cell>
        </row>
        <row r="1777">
          <cell r="E1777">
            <v>2395.8000000000002</v>
          </cell>
        </row>
        <row r="1778">
          <cell r="E1778">
            <v>3052.33</v>
          </cell>
        </row>
        <row r="1779">
          <cell r="E1779">
            <v>4242</v>
          </cell>
        </row>
        <row r="1780">
          <cell r="E1780">
            <v>2790.45</v>
          </cell>
        </row>
        <row r="1781">
          <cell r="E1781">
            <v>4340.49</v>
          </cell>
        </row>
        <row r="1782">
          <cell r="E1782">
            <v>2762.2</v>
          </cell>
        </row>
        <row r="1783">
          <cell r="E1783">
            <v>4645.72</v>
          </cell>
        </row>
        <row r="1784">
          <cell r="E1784">
            <v>5580.96</v>
          </cell>
        </row>
        <row r="1785">
          <cell r="E1785">
            <v>6539.04</v>
          </cell>
        </row>
        <row r="1786">
          <cell r="E1786">
            <v>5548.95</v>
          </cell>
        </row>
        <row r="1787">
          <cell r="E1787">
            <v>4595.41</v>
          </cell>
        </row>
        <row r="1788">
          <cell r="E1788">
            <v>1859.44</v>
          </cell>
        </row>
        <row r="1789">
          <cell r="E1789">
            <v>2093.7600000000002</v>
          </cell>
        </row>
        <row r="1790">
          <cell r="E1790">
            <v>4223.13</v>
          </cell>
        </row>
        <row r="1791">
          <cell r="E1791">
            <v>1596.76</v>
          </cell>
        </row>
        <row r="1792">
          <cell r="E1792">
            <v>5820.35</v>
          </cell>
        </row>
        <row r="1793">
          <cell r="E1793">
            <v>5296.5</v>
          </cell>
        </row>
        <row r="1794">
          <cell r="E1794">
            <v>930.9</v>
          </cell>
        </row>
        <row r="1795">
          <cell r="E1795">
            <v>1207.44</v>
          </cell>
        </row>
        <row r="1796">
          <cell r="E1796">
            <v>717.4</v>
          </cell>
        </row>
        <row r="1797">
          <cell r="E1797">
            <v>1066.75</v>
          </cell>
        </row>
        <row r="1798">
          <cell r="E1798">
            <v>1554</v>
          </cell>
        </row>
        <row r="1799">
          <cell r="E1799">
            <v>1277.6400000000001</v>
          </cell>
        </row>
        <row r="1800">
          <cell r="E1800">
            <v>1578.79</v>
          </cell>
        </row>
        <row r="1801">
          <cell r="E1801">
            <v>917.7</v>
          </cell>
        </row>
        <row r="1802">
          <cell r="E1802">
            <v>777</v>
          </cell>
        </row>
        <row r="1803">
          <cell r="E1803">
            <v>1476.28</v>
          </cell>
        </row>
        <row r="1804">
          <cell r="E1804">
            <v>1538.46</v>
          </cell>
        </row>
        <row r="1805">
          <cell r="E1805">
            <v>891.2</v>
          </cell>
        </row>
        <row r="1806">
          <cell r="E1806">
            <v>1706.8</v>
          </cell>
        </row>
        <row r="1807">
          <cell r="E1807">
            <v>1373.6</v>
          </cell>
        </row>
        <row r="1808">
          <cell r="E1808">
            <v>1205.5899999999999</v>
          </cell>
        </row>
        <row r="1809">
          <cell r="E1809">
            <v>1427.4</v>
          </cell>
        </row>
        <row r="1810">
          <cell r="E1810">
            <v>1649.28</v>
          </cell>
        </row>
        <row r="1811">
          <cell r="E1811">
            <v>1383.03</v>
          </cell>
        </row>
        <row r="1812">
          <cell r="E1812">
            <v>1229.51</v>
          </cell>
        </row>
        <row r="1813">
          <cell r="E1813">
            <v>1140.48</v>
          </cell>
        </row>
        <row r="1814">
          <cell r="E1814">
            <v>1575.6</v>
          </cell>
        </row>
        <row r="1815">
          <cell r="E1815">
            <v>1386.72</v>
          </cell>
        </row>
        <row r="1816">
          <cell r="E1816">
            <v>5018.3999999999996</v>
          </cell>
        </row>
        <row r="1817">
          <cell r="E1817">
            <v>5856.85</v>
          </cell>
        </row>
        <row r="1818">
          <cell r="E1818">
            <v>4894.7299999999996</v>
          </cell>
        </row>
        <row r="1819">
          <cell r="E1819">
            <v>2094.3200000000002</v>
          </cell>
        </row>
        <row r="1820">
          <cell r="E1820">
            <v>640.04999999999995</v>
          </cell>
        </row>
        <row r="1821">
          <cell r="E1821">
            <v>3193.52</v>
          </cell>
        </row>
        <row r="1822">
          <cell r="E1822">
            <v>3066.7</v>
          </cell>
        </row>
        <row r="1823">
          <cell r="E1823">
            <v>3883.11</v>
          </cell>
        </row>
        <row r="1824">
          <cell r="E1824">
            <v>4814.25</v>
          </cell>
        </row>
        <row r="1825">
          <cell r="E1825">
            <v>2826.27</v>
          </cell>
        </row>
        <row r="1826">
          <cell r="E1826">
            <v>1593.2</v>
          </cell>
        </row>
        <row r="1827">
          <cell r="E1827">
            <v>3266.1</v>
          </cell>
        </row>
        <row r="1828">
          <cell r="E1828">
            <v>2453.5500000000002</v>
          </cell>
        </row>
        <row r="1829">
          <cell r="E1829">
            <v>3910.4</v>
          </cell>
        </row>
        <row r="1830">
          <cell r="E1830">
            <v>1788</v>
          </cell>
        </row>
        <row r="1831">
          <cell r="E1831">
            <v>3328.07</v>
          </cell>
        </row>
        <row r="1832">
          <cell r="E1832">
            <v>3788.4</v>
          </cell>
        </row>
        <row r="1833">
          <cell r="E1833">
            <v>3053.7</v>
          </cell>
        </row>
        <row r="1834">
          <cell r="E1834">
            <v>2005.74</v>
          </cell>
        </row>
        <row r="1835">
          <cell r="E1835">
            <v>2796.12</v>
          </cell>
        </row>
        <row r="1836">
          <cell r="E1836">
            <v>3159.96</v>
          </cell>
        </row>
        <row r="1837">
          <cell r="E1837">
            <v>3908.62</v>
          </cell>
        </row>
        <row r="1838">
          <cell r="E1838">
            <v>2606.48</v>
          </cell>
        </row>
        <row r="1839">
          <cell r="E1839">
            <v>2081.7600000000002</v>
          </cell>
        </row>
        <row r="1840">
          <cell r="E1840">
            <v>3519.85</v>
          </cell>
        </row>
        <row r="1841">
          <cell r="E1841">
            <v>10758</v>
          </cell>
        </row>
        <row r="1842">
          <cell r="E1842">
            <v>3021</v>
          </cell>
        </row>
        <row r="1843">
          <cell r="E1843">
            <v>1891.56</v>
          </cell>
        </row>
        <row r="1844">
          <cell r="E1844">
            <v>4208.41</v>
          </cell>
        </row>
        <row r="1845">
          <cell r="E1845">
            <v>2246.4</v>
          </cell>
        </row>
        <row r="1846">
          <cell r="E1846">
            <v>6107.4</v>
          </cell>
        </row>
        <row r="1847">
          <cell r="E1847">
            <v>1987.74</v>
          </cell>
        </row>
        <row r="1848">
          <cell r="E1848">
            <v>4068.96</v>
          </cell>
        </row>
        <row r="1849">
          <cell r="E1849">
            <v>2282.2199999999998</v>
          </cell>
        </row>
        <row r="1850">
          <cell r="E1850">
            <v>1541</v>
          </cell>
        </row>
        <row r="1851">
          <cell r="E1851">
            <v>1951.92</v>
          </cell>
        </row>
        <row r="1852">
          <cell r="E1852">
            <v>3107.61</v>
          </cell>
        </row>
        <row r="1853">
          <cell r="E1853">
            <v>2328.64</v>
          </cell>
        </row>
        <row r="1854">
          <cell r="E1854">
            <v>3184.8</v>
          </cell>
        </row>
        <row r="1855">
          <cell r="E1855">
            <v>2149.7399999999998</v>
          </cell>
        </row>
        <row r="1856">
          <cell r="E1856">
            <v>3184.8</v>
          </cell>
        </row>
        <row r="1857">
          <cell r="E1857">
            <v>2114.58</v>
          </cell>
        </row>
        <row r="1858">
          <cell r="E1858">
            <v>4256.5600000000004</v>
          </cell>
        </row>
        <row r="1859">
          <cell r="E1859">
            <v>2344.98</v>
          </cell>
        </row>
        <row r="1860">
          <cell r="E1860">
            <v>2328.66</v>
          </cell>
        </row>
        <row r="1861">
          <cell r="E1861">
            <v>3575.04</v>
          </cell>
        </row>
        <row r="1862">
          <cell r="E1862">
            <v>2076</v>
          </cell>
        </row>
        <row r="1863">
          <cell r="E1863">
            <v>3305.25</v>
          </cell>
        </row>
        <row r="1864">
          <cell r="E1864">
            <v>1538.55</v>
          </cell>
        </row>
        <row r="1865">
          <cell r="E1865">
            <v>3325.92</v>
          </cell>
        </row>
        <row r="1866">
          <cell r="E1866">
            <v>3662.52</v>
          </cell>
        </row>
        <row r="1867">
          <cell r="E1867">
            <v>3478.64</v>
          </cell>
        </row>
        <row r="1868">
          <cell r="E1868">
            <v>1057.29</v>
          </cell>
        </row>
        <row r="1869">
          <cell r="E1869">
            <v>3385.9</v>
          </cell>
        </row>
        <row r="1870">
          <cell r="E1870">
            <v>1892.1</v>
          </cell>
        </row>
        <row r="1871">
          <cell r="E1871">
            <v>1707.14</v>
          </cell>
        </row>
        <row r="1872">
          <cell r="E1872">
            <v>1785.51</v>
          </cell>
        </row>
        <row r="1873">
          <cell r="E1873">
            <v>2057.4</v>
          </cell>
        </row>
        <row r="1874">
          <cell r="E1874">
            <v>3490</v>
          </cell>
        </row>
        <row r="1875">
          <cell r="E1875">
            <v>1707.14</v>
          </cell>
        </row>
        <row r="1876">
          <cell r="E1876">
            <v>1506.96</v>
          </cell>
        </row>
        <row r="1877">
          <cell r="E1877">
            <v>2880.48</v>
          </cell>
        </row>
        <row r="1878">
          <cell r="E1878">
            <v>2206.6</v>
          </cell>
        </row>
        <row r="1879">
          <cell r="E1879">
            <v>2351.04</v>
          </cell>
        </row>
        <row r="1880">
          <cell r="E1880">
            <v>1205.04</v>
          </cell>
        </row>
        <row r="1881">
          <cell r="E1881">
            <v>2935.15</v>
          </cell>
        </row>
        <row r="1882">
          <cell r="E1882">
            <v>1263.8399999999999</v>
          </cell>
        </row>
        <row r="1883">
          <cell r="E1883">
            <v>2935.15</v>
          </cell>
        </row>
        <row r="1884">
          <cell r="E1884">
            <v>1224.5999999999999</v>
          </cell>
        </row>
        <row r="1885">
          <cell r="E1885">
            <v>1359.4</v>
          </cell>
        </row>
        <row r="1886">
          <cell r="E1886">
            <v>1822.18</v>
          </cell>
        </row>
        <row r="1887">
          <cell r="E1887">
            <v>2163.7199999999998</v>
          </cell>
        </row>
        <row r="1888">
          <cell r="E1888">
            <v>1591.98</v>
          </cell>
        </row>
        <row r="1889">
          <cell r="E1889">
            <v>3078.5</v>
          </cell>
        </row>
        <row r="1890">
          <cell r="E1890">
            <v>2997.6</v>
          </cell>
        </row>
        <row r="1891">
          <cell r="E1891">
            <v>2747.8</v>
          </cell>
        </row>
        <row r="1892">
          <cell r="E1892">
            <v>2447.7600000000002</v>
          </cell>
        </row>
        <row r="1893">
          <cell r="E1893">
            <v>1910.84</v>
          </cell>
        </row>
        <row r="1894">
          <cell r="E1894">
            <v>2430.64</v>
          </cell>
        </row>
        <row r="1895">
          <cell r="E1895">
            <v>2896.3</v>
          </cell>
        </row>
        <row r="1896">
          <cell r="E1896">
            <v>1630.6</v>
          </cell>
        </row>
        <row r="1897">
          <cell r="E1897">
            <v>1459.6</v>
          </cell>
        </row>
        <row r="1898">
          <cell r="E1898">
            <v>1716.22</v>
          </cell>
        </row>
        <row r="1899">
          <cell r="E1899">
            <v>2560.4699999999998</v>
          </cell>
        </row>
        <row r="1900">
          <cell r="E1900">
            <v>1900.26</v>
          </cell>
        </row>
        <row r="1901">
          <cell r="E1901">
            <v>2019.84</v>
          </cell>
        </row>
        <row r="1902">
          <cell r="E1902">
            <v>1988.28</v>
          </cell>
        </row>
        <row r="1903">
          <cell r="E1903">
            <v>1449.84</v>
          </cell>
        </row>
        <row r="1904">
          <cell r="E1904">
            <v>1935.09</v>
          </cell>
        </row>
        <row r="1905">
          <cell r="E1905">
            <v>2793.24</v>
          </cell>
        </row>
        <row r="1906">
          <cell r="E1906">
            <v>3025.05</v>
          </cell>
        </row>
        <row r="1907">
          <cell r="E1907">
            <v>1742.5</v>
          </cell>
        </row>
        <row r="1908">
          <cell r="E1908">
            <v>3236.1</v>
          </cell>
        </row>
        <row r="1909">
          <cell r="E1909">
            <v>1735.92</v>
          </cell>
        </row>
        <row r="1910">
          <cell r="E1910">
            <v>2795.13</v>
          </cell>
        </row>
        <row r="1911">
          <cell r="E1911">
            <v>1671.52</v>
          </cell>
        </row>
        <row r="1912">
          <cell r="E1912">
            <v>1576.74</v>
          </cell>
        </row>
        <row r="1913">
          <cell r="E1913">
            <v>3615.71</v>
          </cell>
        </row>
        <row r="1914">
          <cell r="E1914">
            <v>1459.6</v>
          </cell>
        </row>
        <row r="1915">
          <cell r="E1915">
            <v>2891.01</v>
          </cell>
        </row>
        <row r="1916">
          <cell r="E1916">
            <v>2598.44</v>
          </cell>
        </row>
        <row r="1917">
          <cell r="E1917">
            <v>3871.92</v>
          </cell>
        </row>
        <row r="1918">
          <cell r="E1918">
            <v>3036</v>
          </cell>
        </row>
        <row r="1919">
          <cell r="E1919">
            <v>2231.6</v>
          </cell>
        </row>
        <row r="1920">
          <cell r="E1920">
            <v>2436.7800000000002</v>
          </cell>
        </row>
        <row r="1921">
          <cell r="E1921">
            <v>2173.6</v>
          </cell>
        </row>
        <row r="1922">
          <cell r="E1922">
            <v>1254.5999999999999</v>
          </cell>
        </row>
        <row r="1923">
          <cell r="E1923">
            <v>3724.42</v>
          </cell>
        </row>
        <row r="1924">
          <cell r="E1924">
            <v>5203</v>
          </cell>
        </row>
        <row r="1925">
          <cell r="E1925">
            <v>3469.5</v>
          </cell>
        </row>
        <row r="1926">
          <cell r="E1926">
            <v>3148.2</v>
          </cell>
        </row>
        <row r="1927">
          <cell r="E1927">
            <v>2167.2199999999998</v>
          </cell>
        </row>
        <row r="1928">
          <cell r="E1928">
            <v>6244.07</v>
          </cell>
        </row>
        <row r="1929">
          <cell r="E1929">
            <v>5566</v>
          </cell>
        </row>
        <row r="1930">
          <cell r="E1930">
            <v>4368.96</v>
          </cell>
        </row>
        <row r="1931">
          <cell r="E1931">
            <v>4039.26</v>
          </cell>
        </row>
        <row r="1932">
          <cell r="E1932">
            <v>4420.32</v>
          </cell>
        </row>
        <row r="1933">
          <cell r="E1933">
            <v>2341.71</v>
          </cell>
        </row>
        <row r="1934">
          <cell r="E1934">
            <v>5110.9799999999996</v>
          </cell>
        </row>
        <row r="1935">
          <cell r="E1935">
            <v>6168</v>
          </cell>
        </row>
        <row r="1936">
          <cell r="E1936">
            <v>4873.26</v>
          </cell>
        </row>
        <row r="1937">
          <cell r="E1937">
            <v>2120.14</v>
          </cell>
        </row>
        <row r="1938">
          <cell r="E1938">
            <v>4236.1400000000003</v>
          </cell>
        </row>
        <row r="1939">
          <cell r="E1939">
            <v>1888.95</v>
          </cell>
        </row>
        <row r="1940">
          <cell r="E1940">
            <v>1152.58</v>
          </cell>
        </row>
        <row r="1941">
          <cell r="E1941">
            <v>2492.88</v>
          </cell>
        </row>
        <row r="1942">
          <cell r="E1942">
            <v>1991.6</v>
          </cell>
        </row>
        <row r="1943">
          <cell r="E1943">
            <v>3953.18</v>
          </cell>
        </row>
        <row r="1944">
          <cell r="E1944">
            <v>3729.39</v>
          </cell>
        </row>
        <row r="1945">
          <cell r="E1945">
            <v>2617.16</v>
          </cell>
        </row>
        <row r="1946">
          <cell r="E1946">
            <v>3983.5</v>
          </cell>
        </row>
        <row r="1947">
          <cell r="E1947">
            <v>3169.95</v>
          </cell>
        </row>
        <row r="1948">
          <cell r="E1948">
            <v>3899.5</v>
          </cell>
        </row>
        <row r="1949">
          <cell r="E1949">
            <v>1851.73</v>
          </cell>
        </row>
        <row r="1950">
          <cell r="E1950">
            <v>2513.41</v>
          </cell>
        </row>
        <row r="1951">
          <cell r="E1951">
            <v>2431.94</v>
          </cell>
        </row>
        <row r="1952">
          <cell r="E1952">
            <v>1514.52</v>
          </cell>
        </row>
        <row r="1953">
          <cell r="E1953">
            <v>3079.44</v>
          </cell>
        </row>
        <row r="1954">
          <cell r="E1954">
            <v>1900.36</v>
          </cell>
        </row>
        <row r="1955">
          <cell r="E1955">
            <v>1974.06</v>
          </cell>
        </row>
        <row r="1956">
          <cell r="E1956">
            <v>3703.46</v>
          </cell>
        </row>
        <row r="1957">
          <cell r="E1957">
            <v>1755.13</v>
          </cell>
        </row>
        <row r="1958">
          <cell r="E1958">
            <v>4273.29</v>
          </cell>
        </row>
        <row r="1959">
          <cell r="E1959">
            <v>3984.96</v>
          </cell>
        </row>
        <row r="1960">
          <cell r="E1960">
            <v>2407.6799999999998</v>
          </cell>
        </row>
        <row r="1961">
          <cell r="E1961">
            <v>1697.3</v>
          </cell>
        </row>
        <row r="1962">
          <cell r="E1962">
            <v>2011.02</v>
          </cell>
        </row>
        <row r="1963">
          <cell r="E1963">
            <v>2306.25</v>
          </cell>
        </row>
        <row r="1964">
          <cell r="E1964">
            <v>1845</v>
          </cell>
        </row>
        <row r="1965">
          <cell r="E1965">
            <v>2493.12</v>
          </cell>
        </row>
        <row r="1966">
          <cell r="E1966">
            <v>1508.5</v>
          </cell>
        </row>
        <row r="1967">
          <cell r="E1967">
            <v>2394.3000000000002</v>
          </cell>
        </row>
        <row r="1968">
          <cell r="E1968">
            <v>3164.98</v>
          </cell>
        </row>
        <row r="1969">
          <cell r="E1969">
            <v>3351.09</v>
          </cell>
        </row>
        <row r="1970">
          <cell r="E1970">
            <v>3064.32</v>
          </cell>
        </row>
        <row r="1971">
          <cell r="E1971">
            <v>3891.81</v>
          </cell>
        </row>
        <row r="1972">
          <cell r="E1972">
            <v>5448.8</v>
          </cell>
        </row>
        <row r="1973">
          <cell r="E1973">
            <v>5494.97</v>
          </cell>
        </row>
        <row r="1974">
          <cell r="E1974">
            <v>6336.07</v>
          </cell>
        </row>
        <row r="1975">
          <cell r="E1975">
            <v>2906.97</v>
          </cell>
        </row>
        <row r="1976">
          <cell r="E1976">
            <v>4767.7</v>
          </cell>
        </row>
        <row r="1977">
          <cell r="E1977">
            <v>3819.56</v>
          </cell>
        </row>
        <row r="1978">
          <cell r="E1978">
            <v>3861.75</v>
          </cell>
        </row>
        <row r="1979">
          <cell r="E1979">
            <v>6319.35</v>
          </cell>
        </row>
        <row r="1980">
          <cell r="E1980">
            <v>6996.42</v>
          </cell>
        </row>
        <row r="1981">
          <cell r="E1981">
            <v>6949.67</v>
          </cell>
        </row>
        <row r="1982">
          <cell r="E1982">
            <v>4550</v>
          </cell>
        </row>
        <row r="1983">
          <cell r="E1983">
            <v>4479.63</v>
          </cell>
        </row>
        <row r="1984">
          <cell r="E1984">
            <v>5148</v>
          </cell>
        </row>
        <row r="1985">
          <cell r="E1985">
            <v>2932.08</v>
          </cell>
        </row>
        <row r="1986">
          <cell r="E1986">
            <v>3159.75</v>
          </cell>
        </row>
        <row r="1987">
          <cell r="E1987">
            <v>4297.32</v>
          </cell>
        </row>
        <row r="1988">
          <cell r="E1988">
            <v>7723.5</v>
          </cell>
        </row>
        <row r="1989">
          <cell r="E1989">
            <v>5497.65</v>
          </cell>
        </row>
        <row r="1990">
          <cell r="E1990">
            <v>4052.88</v>
          </cell>
        </row>
        <row r="1991">
          <cell r="E1991">
            <v>3135.93</v>
          </cell>
        </row>
        <row r="1992">
          <cell r="E1992">
            <v>5013.54</v>
          </cell>
        </row>
        <row r="1993">
          <cell r="E1993">
            <v>5302.72</v>
          </cell>
        </row>
        <row r="1994">
          <cell r="E1994">
            <v>2931.98</v>
          </cell>
        </row>
        <row r="1995">
          <cell r="E1995">
            <v>1757.91</v>
          </cell>
        </row>
        <row r="1996">
          <cell r="E1996">
            <v>6763.05</v>
          </cell>
        </row>
        <row r="1997">
          <cell r="E1997">
            <v>11739.7</v>
          </cell>
        </row>
        <row r="1998">
          <cell r="E1998">
            <v>9240</v>
          </cell>
        </row>
        <row r="1999">
          <cell r="E1999">
            <v>3241.5</v>
          </cell>
        </row>
        <row r="2000">
          <cell r="E2000">
            <v>1968.12</v>
          </cell>
        </row>
        <row r="2001">
          <cell r="E2001">
            <v>4094.5</v>
          </cell>
        </row>
        <row r="2002">
          <cell r="E2002">
            <v>1853.32</v>
          </cell>
        </row>
        <row r="2003">
          <cell r="E2003">
            <v>3392.84</v>
          </cell>
        </row>
        <row r="2004">
          <cell r="E2004">
            <v>1971.54</v>
          </cell>
        </row>
        <row r="2005">
          <cell r="E2005">
            <v>2169.9</v>
          </cell>
        </row>
        <row r="2006">
          <cell r="E2006">
            <v>2846.17</v>
          </cell>
        </row>
        <row r="2007">
          <cell r="E2007">
            <v>2018.4</v>
          </cell>
        </row>
        <row r="2008">
          <cell r="E2008">
            <v>2718.72</v>
          </cell>
        </row>
        <row r="2009">
          <cell r="E2009">
            <v>1981.65</v>
          </cell>
        </row>
        <row r="2010">
          <cell r="E2010">
            <v>3002.4</v>
          </cell>
        </row>
        <row r="2011">
          <cell r="E2011">
            <v>2948.16</v>
          </cell>
        </row>
        <row r="2012">
          <cell r="E2012">
            <v>3357.49</v>
          </cell>
        </row>
        <row r="2013">
          <cell r="E2013">
            <v>1175.1600000000001</v>
          </cell>
        </row>
        <row r="2014">
          <cell r="E2014">
            <v>2292.8000000000002</v>
          </cell>
        </row>
        <row r="2015">
          <cell r="E2015">
            <v>3286.49</v>
          </cell>
        </row>
        <row r="2016">
          <cell r="E2016">
            <v>2333.6999999999998</v>
          </cell>
        </row>
        <row r="2017">
          <cell r="E2017">
            <v>2675.05</v>
          </cell>
        </row>
        <row r="2018">
          <cell r="E2018">
            <v>4361.3999999999996</v>
          </cell>
        </row>
        <row r="2019">
          <cell r="E2019">
            <v>2018.58</v>
          </cell>
        </row>
        <row r="2020">
          <cell r="E2020">
            <v>3710.98</v>
          </cell>
        </row>
        <row r="2021">
          <cell r="E2021">
            <v>2847</v>
          </cell>
        </row>
        <row r="2022">
          <cell r="E2022">
            <v>3006.12</v>
          </cell>
        </row>
        <row r="2023">
          <cell r="E2023">
            <v>2797.84</v>
          </cell>
        </row>
        <row r="2024">
          <cell r="E2024">
            <v>3843.2</v>
          </cell>
        </row>
        <row r="2025">
          <cell r="E2025">
            <v>1351.08</v>
          </cell>
        </row>
        <row r="2026">
          <cell r="E2026">
            <v>1689.03</v>
          </cell>
        </row>
        <row r="2027">
          <cell r="E2027">
            <v>1654.56</v>
          </cell>
        </row>
        <row r="2028">
          <cell r="E2028">
            <v>1528.58</v>
          </cell>
        </row>
        <row r="2029">
          <cell r="E2029">
            <v>1013.48</v>
          </cell>
        </row>
        <row r="2030">
          <cell r="E2030">
            <v>1442.26</v>
          </cell>
        </row>
        <row r="2031">
          <cell r="E2031">
            <v>1163.05</v>
          </cell>
        </row>
        <row r="2032">
          <cell r="E2032">
            <v>971.98</v>
          </cell>
        </row>
        <row r="2033">
          <cell r="E2033">
            <v>902.66</v>
          </cell>
        </row>
        <row r="2034">
          <cell r="E2034">
            <v>1295.97</v>
          </cell>
        </row>
        <row r="2035">
          <cell r="E2035">
            <v>1534.72</v>
          </cell>
        </row>
        <row r="2036">
          <cell r="E2036">
            <v>1185.3</v>
          </cell>
        </row>
        <row r="2037">
          <cell r="E2037">
            <v>1698.78</v>
          </cell>
        </row>
        <row r="2038">
          <cell r="E2038">
            <v>1381.05</v>
          </cell>
        </row>
        <row r="2039">
          <cell r="E2039">
            <v>1340.46</v>
          </cell>
        </row>
        <row r="2040">
          <cell r="E2040">
            <v>965.04</v>
          </cell>
        </row>
        <row r="2041">
          <cell r="E2041">
            <v>1093.99</v>
          </cell>
        </row>
        <row r="2042">
          <cell r="E2042">
            <v>3166.84</v>
          </cell>
        </row>
        <row r="2043">
          <cell r="E2043">
            <v>2143.6799999999998</v>
          </cell>
        </row>
        <row r="2044">
          <cell r="E2044">
            <v>1717.64</v>
          </cell>
        </row>
        <row r="2045">
          <cell r="E2045">
            <v>4086.29</v>
          </cell>
        </row>
        <row r="2046">
          <cell r="E2046">
            <v>553.95000000000005</v>
          </cell>
        </row>
        <row r="2047">
          <cell r="E2047">
            <v>652.35</v>
          </cell>
        </row>
        <row r="2048">
          <cell r="E2048">
            <v>2921.62</v>
          </cell>
        </row>
        <row r="2049">
          <cell r="E2049">
            <v>5568.64</v>
          </cell>
        </row>
        <row r="2050">
          <cell r="E2050">
            <v>1939.8</v>
          </cell>
        </row>
        <row r="2051">
          <cell r="E2051">
            <v>3784.8</v>
          </cell>
        </row>
        <row r="2052">
          <cell r="E2052">
            <v>2802.09</v>
          </cell>
        </row>
        <row r="2053">
          <cell r="E2053">
            <v>2384.64</v>
          </cell>
        </row>
        <row r="2054">
          <cell r="E2054">
            <v>2915.66</v>
          </cell>
        </row>
        <row r="2055">
          <cell r="E2055">
            <v>5795.72</v>
          </cell>
        </row>
        <row r="2056">
          <cell r="E2056">
            <v>3699.88</v>
          </cell>
        </row>
        <row r="2057">
          <cell r="E2057">
            <v>2980.6</v>
          </cell>
        </row>
        <row r="2058">
          <cell r="E2058">
            <v>5032.74</v>
          </cell>
        </row>
        <row r="2059">
          <cell r="E2059">
            <v>4737.1499999999996</v>
          </cell>
        </row>
        <row r="2060">
          <cell r="E2060">
            <v>6311.2</v>
          </cell>
        </row>
        <row r="2061">
          <cell r="E2061">
            <v>3070.54</v>
          </cell>
        </row>
        <row r="2062">
          <cell r="E2062">
            <v>4797.3900000000003</v>
          </cell>
        </row>
        <row r="2063">
          <cell r="E2063">
            <v>3832.38</v>
          </cell>
        </row>
        <row r="2064">
          <cell r="E2064">
            <v>4641.4799999999996</v>
          </cell>
        </row>
        <row r="2065">
          <cell r="E2065">
            <v>4000.26</v>
          </cell>
        </row>
        <row r="2066">
          <cell r="E2066">
            <v>5325.76</v>
          </cell>
        </row>
        <row r="2067">
          <cell r="E2067">
            <v>4618.6899999999996</v>
          </cell>
        </row>
        <row r="2068">
          <cell r="E2068">
            <v>3182.97</v>
          </cell>
        </row>
        <row r="2069">
          <cell r="E2069">
            <v>2603.04</v>
          </cell>
        </row>
        <row r="2070">
          <cell r="E2070">
            <v>1408.96</v>
          </cell>
        </row>
        <row r="2071">
          <cell r="E2071">
            <v>1972.11</v>
          </cell>
        </row>
        <row r="2072">
          <cell r="E2072">
            <v>5207.75</v>
          </cell>
        </row>
        <row r="2073">
          <cell r="E2073">
            <v>4253.2</v>
          </cell>
        </row>
        <row r="2074">
          <cell r="E2074">
            <v>2873</v>
          </cell>
        </row>
        <row r="2075">
          <cell r="E2075">
            <v>2253.6799999999998</v>
          </cell>
        </row>
        <row r="2076">
          <cell r="E2076">
            <v>3576.12</v>
          </cell>
        </row>
        <row r="2077">
          <cell r="E2077">
            <v>3276.13</v>
          </cell>
        </row>
        <row r="2078">
          <cell r="E2078">
            <v>1811.4</v>
          </cell>
        </row>
        <row r="2079">
          <cell r="E2079">
            <v>3845.1</v>
          </cell>
        </row>
        <row r="2080">
          <cell r="E2080">
            <v>2571.14</v>
          </cell>
        </row>
        <row r="2081">
          <cell r="E2081">
            <v>5035.1099999999997</v>
          </cell>
        </row>
        <row r="2082">
          <cell r="E2082">
            <v>2279</v>
          </cell>
        </row>
        <row r="2083">
          <cell r="E2083">
            <v>3213.87</v>
          </cell>
        </row>
        <row r="2084">
          <cell r="E2084">
            <v>3532.23</v>
          </cell>
        </row>
        <row r="2085">
          <cell r="E2085">
            <v>3406.59</v>
          </cell>
        </row>
        <row r="2086">
          <cell r="E2086">
            <v>3467.2</v>
          </cell>
        </row>
        <row r="2087">
          <cell r="E2087">
            <v>3628.94</v>
          </cell>
        </row>
        <row r="2088">
          <cell r="E2088">
            <v>4674.72</v>
          </cell>
        </row>
        <row r="2089">
          <cell r="E2089">
            <v>1656.69</v>
          </cell>
        </row>
        <row r="2090">
          <cell r="E2090">
            <v>5171.3999999999996</v>
          </cell>
        </row>
        <row r="2091">
          <cell r="E2091">
            <v>3342.57</v>
          </cell>
        </row>
        <row r="2092">
          <cell r="E2092">
            <v>4884.88</v>
          </cell>
        </row>
        <row r="2093">
          <cell r="E2093">
            <v>6267.69</v>
          </cell>
        </row>
        <row r="2094">
          <cell r="E2094">
            <v>4424.16</v>
          </cell>
        </row>
        <row r="2095">
          <cell r="E2095">
            <v>1962.09</v>
          </cell>
        </row>
        <row r="2096">
          <cell r="E2096">
            <v>6847</v>
          </cell>
        </row>
        <row r="2097">
          <cell r="E2097">
            <v>3476.8</v>
          </cell>
        </row>
        <row r="2098">
          <cell r="E2098">
            <v>4592.6099999999997</v>
          </cell>
        </row>
        <row r="2099">
          <cell r="E2099">
            <v>2208.92</v>
          </cell>
        </row>
        <row r="2100">
          <cell r="E2100">
            <v>1657.76</v>
          </cell>
        </row>
        <row r="2101">
          <cell r="E2101">
            <v>2479.21</v>
          </cell>
        </row>
        <row r="2102">
          <cell r="E2102">
            <v>3565.92</v>
          </cell>
        </row>
        <row r="2103">
          <cell r="E2103">
            <v>2797.41</v>
          </cell>
        </row>
        <row r="2104">
          <cell r="E2104">
            <v>3756</v>
          </cell>
        </row>
        <row r="2105">
          <cell r="E2105">
            <v>2840</v>
          </cell>
        </row>
        <row r="2106">
          <cell r="E2106">
            <v>1716.26</v>
          </cell>
        </row>
        <row r="2107">
          <cell r="E2107">
            <v>3245.6</v>
          </cell>
        </row>
        <row r="2108">
          <cell r="E2108">
            <v>2760.94</v>
          </cell>
        </row>
        <row r="2109">
          <cell r="E2109">
            <v>1808.4</v>
          </cell>
        </row>
        <row r="2110">
          <cell r="E2110">
            <v>1682.37</v>
          </cell>
        </row>
        <row r="2111">
          <cell r="E2111">
            <v>1491</v>
          </cell>
        </row>
        <row r="2112">
          <cell r="E2112">
            <v>1666.35</v>
          </cell>
        </row>
        <row r="2113">
          <cell r="E2113">
            <v>3666.08</v>
          </cell>
        </row>
        <row r="2114">
          <cell r="E2114">
            <v>2916.2</v>
          </cell>
        </row>
        <row r="2115">
          <cell r="E2115">
            <v>2616.98</v>
          </cell>
        </row>
        <row r="2116">
          <cell r="E2116">
            <v>3390.8</v>
          </cell>
        </row>
        <row r="2117">
          <cell r="E2117">
            <v>3146.5</v>
          </cell>
        </row>
        <row r="2118">
          <cell r="E2118">
            <v>1561.5</v>
          </cell>
        </row>
        <row r="2119">
          <cell r="E2119">
            <v>10039.6</v>
          </cell>
        </row>
        <row r="2120">
          <cell r="E2120">
            <v>3167</v>
          </cell>
        </row>
        <row r="2121">
          <cell r="E2121">
            <v>3521.25</v>
          </cell>
        </row>
        <row r="2122">
          <cell r="E2122">
            <v>4219.28</v>
          </cell>
        </row>
        <row r="2123">
          <cell r="E2123">
            <v>3581.76</v>
          </cell>
        </row>
        <row r="2124">
          <cell r="E2124">
            <v>2130.0100000000002</v>
          </cell>
        </row>
        <row r="2125">
          <cell r="E2125">
            <v>2063.06</v>
          </cell>
        </row>
        <row r="2126">
          <cell r="E2126">
            <v>2008.13</v>
          </cell>
        </row>
        <row r="2127">
          <cell r="E2127">
            <v>2004.77</v>
          </cell>
        </row>
        <row r="2128">
          <cell r="E2128">
            <v>1543.3</v>
          </cell>
        </row>
        <row r="2129">
          <cell r="E2129">
            <v>2269.92</v>
          </cell>
        </row>
        <row r="2130">
          <cell r="E2130">
            <v>1991.92</v>
          </cell>
        </row>
        <row r="2131">
          <cell r="E2131">
            <v>2916.76</v>
          </cell>
        </row>
        <row r="2132">
          <cell r="E2132">
            <v>2027.52</v>
          </cell>
        </row>
        <row r="2133">
          <cell r="E2133">
            <v>3235.18</v>
          </cell>
        </row>
        <row r="2134">
          <cell r="E2134">
            <v>2062.94</v>
          </cell>
        </row>
        <row r="2135">
          <cell r="E2135">
            <v>3317.78</v>
          </cell>
        </row>
        <row r="2136">
          <cell r="E2136">
            <v>3913.69</v>
          </cell>
        </row>
        <row r="2137">
          <cell r="E2137">
            <v>3608.64</v>
          </cell>
        </row>
        <row r="2138">
          <cell r="E2138">
            <v>3524.8</v>
          </cell>
        </row>
        <row r="2139">
          <cell r="E2139">
            <v>2586.88</v>
          </cell>
        </row>
        <row r="2140">
          <cell r="E2140">
            <v>4753.49</v>
          </cell>
        </row>
        <row r="2141">
          <cell r="E2141">
            <v>3684.67</v>
          </cell>
        </row>
        <row r="2142">
          <cell r="E2142">
            <v>5715.4</v>
          </cell>
        </row>
        <row r="2143">
          <cell r="E2143">
            <v>3098.7</v>
          </cell>
        </row>
        <row r="2144">
          <cell r="E2144">
            <v>2670.92</v>
          </cell>
        </row>
        <row r="2145">
          <cell r="E2145">
            <v>5154.41</v>
          </cell>
        </row>
        <row r="2146">
          <cell r="E2146">
            <v>4894.17</v>
          </cell>
        </row>
        <row r="2147">
          <cell r="E2147">
            <v>2472.6</v>
          </cell>
        </row>
        <row r="2148">
          <cell r="E2148">
            <v>3224.31</v>
          </cell>
        </row>
        <row r="2149">
          <cell r="E2149">
            <v>3667.52</v>
          </cell>
        </row>
        <row r="2150">
          <cell r="E2150">
            <v>4141.33</v>
          </cell>
        </row>
        <row r="2151">
          <cell r="E2151">
            <v>2829.58</v>
          </cell>
        </row>
        <row r="2152">
          <cell r="E2152">
            <v>3068.55</v>
          </cell>
        </row>
        <row r="2153">
          <cell r="E2153">
            <v>2634.96</v>
          </cell>
        </row>
        <row r="2154">
          <cell r="E2154">
            <v>2436.7199999999998</v>
          </cell>
        </row>
        <row r="2155">
          <cell r="E2155">
            <v>4607.3599999999997</v>
          </cell>
        </row>
        <row r="2156">
          <cell r="E2156">
            <v>3598.99</v>
          </cell>
        </row>
        <row r="2157">
          <cell r="E2157">
            <v>3964.1</v>
          </cell>
        </row>
        <row r="2158">
          <cell r="E2158">
            <v>2244.9</v>
          </cell>
        </row>
        <row r="2159">
          <cell r="E2159">
            <v>2793</v>
          </cell>
        </row>
        <row r="2160">
          <cell r="E2160">
            <v>4133.6400000000003</v>
          </cell>
        </row>
        <row r="2161">
          <cell r="E2161">
            <v>3900.6</v>
          </cell>
        </row>
        <row r="2162">
          <cell r="E2162">
            <v>2743.04</v>
          </cell>
        </row>
        <row r="2163">
          <cell r="E2163">
            <v>2402.0700000000002</v>
          </cell>
        </row>
        <row r="2164">
          <cell r="E2164">
            <v>2178.54</v>
          </cell>
        </row>
        <row r="2165">
          <cell r="E2165">
            <v>3155.04</v>
          </cell>
        </row>
        <row r="2166">
          <cell r="E2166">
            <v>2366.2800000000002</v>
          </cell>
        </row>
        <row r="2167">
          <cell r="E2167">
            <v>1963.6</v>
          </cell>
        </row>
        <row r="2168">
          <cell r="E2168">
            <v>4746.28</v>
          </cell>
        </row>
        <row r="2169">
          <cell r="E2169">
            <v>6386.94</v>
          </cell>
        </row>
        <row r="2170">
          <cell r="E2170">
            <v>4428</v>
          </cell>
        </row>
        <row r="2171">
          <cell r="E2171">
            <v>4044.04</v>
          </cell>
        </row>
        <row r="2172">
          <cell r="E2172">
            <v>2708.42</v>
          </cell>
        </row>
        <row r="2173">
          <cell r="E2173">
            <v>2904.72</v>
          </cell>
        </row>
        <row r="2174">
          <cell r="E2174">
            <v>3553.88</v>
          </cell>
        </row>
        <row r="2175">
          <cell r="E2175">
            <v>1858</v>
          </cell>
        </row>
        <row r="2176">
          <cell r="E2176">
            <v>2461.36</v>
          </cell>
        </row>
        <row r="2177">
          <cell r="E2177">
            <v>2642.01</v>
          </cell>
        </row>
        <row r="2178">
          <cell r="E2178">
            <v>3098.7</v>
          </cell>
        </row>
        <row r="2179">
          <cell r="E2179">
            <v>3244.36</v>
          </cell>
        </row>
        <row r="2180">
          <cell r="E2180">
            <v>4351.16</v>
          </cell>
        </row>
        <row r="2181">
          <cell r="E2181">
            <v>3675.86</v>
          </cell>
        </row>
        <row r="2182">
          <cell r="E2182">
            <v>2475.27</v>
          </cell>
        </row>
        <row r="2183">
          <cell r="E2183">
            <v>4177.49</v>
          </cell>
        </row>
        <row r="2184">
          <cell r="E2184">
            <v>3282.28</v>
          </cell>
        </row>
        <row r="2185">
          <cell r="E2185">
            <v>2477.21</v>
          </cell>
        </row>
        <row r="2186">
          <cell r="E2186">
            <v>1883.93</v>
          </cell>
        </row>
        <row r="2187">
          <cell r="E2187">
            <v>3658.93</v>
          </cell>
        </row>
        <row r="2188">
          <cell r="E2188">
            <v>2856.88</v>
          </cell>
        </row>
        <row r="2189">
          <cell r="E2189">
            <v>1917.84</v>
          </cell>
        </row>
        <row r="2190">
          <cell r="E2190">
            <v>5305.36</v>
          </cell>
        </row>
        <row r="2191">
          <cell r="E2191">
            <v>2875.95</v>
          </cell>
        </row>
        <row r="2192">
          <cell r="E2192">
            <v>6482.85</v>
          </cell>
        </row>
        <row r="2193">
          <cell r="E2193">
            <v>3733.82</v>
          </cell>
        </row>
        <row r="2194">
          <cell r="E2194">
            <v>6576.5</v>
          </cell>
        </row>
        <row r="2195">
          <cell r="E2195">
            <v>6353.27</v>
          </cell>
        </row>
        <row r="2196">
          <cell r="E2196">
            <v>4175.6000000000004</v>
          </cell>
        </row>
        <row r="2197">
          <cell r="E2197">
            <v>4992.6099999999997</v>
          </cell>
        </row>
        <row r="2198">
          <cell r="E2198">
            <v>4764.6000000000004</v>
          </cell>
        </row>
        <row r="2199">
          <cell r="E2199">
            <v>1173.1500000000001</v>
          </cell>
        </row>
        <row r="2200">
          <cell r="E2200">
            <v>1384.46</v>
          </cell>
        </row>
        <row r="2201">
          <cell r="E2201">
            <v>1327.59</v>
          </cell>
        </row>
        <row r="2202">
          <cell r="E2202">
            <v>1109.8</v>
          </cell>
        </row>
        <row r="2203">
          <cell r="E2203">
            <v>1239</v>
          </cell>
        </row>
        <row r="2204">
          <cell r="E2204">
            <v>1035.58</v>
          </cell>
        </row>
        <row r="2205">
          <cell r="E2205">
            <v>1545.64</v>
          </cell>
        </row>
        <row r="2206">
          <cell r="E2206">
            <v>1517.54</v>
          </cell>
        </row>
        <row r="2207">
          <cell r="E2207">
            <v>1731.84</v>
          </cell>
        </row>
        <row r="2208">
          <cell r="E2208">
            <v>1695.49</v>
          </cell>
        </row>
        <row r="2209">
          <cell r="E2209">
            <v>1045.98</v>
          </cell>
        </row>
        <row r="2210">
          <cell r="E2210">
            <v>1738.08</v>
          </cell>
        </row>
        <row r="2211">
          <cell r="E2211">
            <v>651.79999999999995</v>
          </cell>
        </row>
        <row r="2212">
          <cell r="E2212">
            <v>988.47</v>
          </cell>
        </row>
        <row r="2213">
          <cell r="E2213">
            <v>1518.11</v>
          </cell>
        </row>
        <row r="2214">
          <cell r="E2214">
            <v>1013.76</v>
          </cell>
        </row>
        <row r="2215">
          <cell r="E2215">
            <v>1549.8</v>
          </cell>
        </row>
        <row r="2216">
          <cell r="E2216">
            <v>1108.3800000000001</v>
          </cell>
        </row>
        <row r="2217">
          <cell r="E2217">
            <v>4102.5600000000004</v>
          </cell>
        </row>
        <row r="2218">
          <cell r="E2218">
            <v>3713.16</v>
          </cell>
        </row>
        <row r="2219">
          <cell r="E2219">
            <v>1513.54</v>
          </cell>
        </row>
        <row r="2220">
          <cell r="E2220">
            <v>2317.44</v>
          </cell>
        </row>
        <row r="2221">
          <cell r="E2221">
            <v>3298.4</v>
          </cell>
        </row>
        <row r="2222">
          <cell r="E2222">
            <v>1826.96</v>
          </cell>
        </row>
        <row r="2223">
          <cell r="E2223">
            <v>1206.9000000000001</v>
          </cell>
        </row>
        <row r="2224">
          <cell r="E2224">
            <v>1666.7</v>
          </cell>
        </row>
        <row r="2225">
          <cell r="E2225">
            <v>1560.44</v>
          </cell>
        </row>
        <row r="2226">
          <cell r="E2226">
            <v>2337.75</v>
          </cell>
        </row>
        <row r="2227">
          <cell r="E2227">
            <v>1103.76</v>
          </cell>
        </row>
        <row r="2228">
          <cell r="E2228">
            <v>2617.85</v>
          </cell>
        </row>
        <row r="2229">
          <cell r="E2229">
            <v>2207.52</v>
          </cell>
        </row>
        <row r="2230">
          <cell r="E2230">
            <v>3165.5</v>
          </cell>
        </row>
        <row r="2231">
          <cell r="E2231">
            <v>2071.41</v>
          </cell>
        </row>
        <row r="2232">
          <cell r="E2232">
            <v>1385.28</v>
          </cell>
        </row>
        <row r="2233">
          <cell r="E2233">
            <v>1621.62</v>
          </cell>
        </row>
        <row r="2234">
          <cell r="E2234">
            <v>1931.65</v>
          </cell>
        </row>
        <row r="2235">
          <cell r="E2235">
            <v>1244.53</v>
          </cell>
        </row>
        <row r="2236">
          <cell r="E2236">
            <v>1704.5</v>
          </cell>
        </row>
        <row r="2237">
          <cell r="E2237">
            <v>1753.2</v>
          </cell>
        </row>
        <row r="2238">
          <cell r="E2238">
            <v>1666.7</v>
          </cell>
        </row>
        <row r="2239">
          <cell r="E2239">
            <v>1710.89</v>
          </cell>
        </row>
        <row r="2240">
          <cell r="E2240">
            <v>2326.5</v>
          </cell>
        </row>
        <row r="2241">
          <cell r="E2241">
            <v>2316</v>
          </cell>
        </row>
        <row r="2242">
          <cell r="E2242">
            <v>1727.1</v>
          </cell>
        </row>
        <row r="2243">
          <cell r="E2243">
            <v>8844.1200000000008</v>
          </cell>
        </row>
        <row r="2244">
          <cell r="E2244">
            <v>2424</v>
          </cell>
        </row>
        <row r="2245">
          <cell r="E2245">
            <v>1535.49</v>
          </cell>
        </row>
        <row r="2246">
          <cell r="E2246">
            <v>6358.68</v>
          </cell>
        </row>
        <row r="2247">
          <cell r="E2247">
            <v>1329.4</v>
          </cell>
        </row>
        <row r="2248">
          <cell r="E2248">
            <v>1701.76</v>
          </cell>
        </row>
        <row r="2249">
          <cell r="E2249">
            <v>2259.7199999999998</v>
          </cell>
        </row>
        <row r="2250">
          <cell r="E2250">
            <v>925.3</v>
          </cell>
        </row>
        <row r="2251">
          <cell r="E2251">
            <v>482.13</v>
          </cell>
        </row>
        <row r="2252">
          <cell r="E2252">
            <v>3227.63</v>
          </cell>
        </row>
        <row r="2253">
          <cell r="E2253">
            <v>1711.26</v>
          </cell>
        </row>
        <row r="2254">
          <cell r="E2254">
            <v>2054.36</v>
          </cell>
        </row>
        <row r="2255">
          <cell r="E2255">
            <v>3131.94</v>
          </cell>
        </row>
        <row r="2256">
          <cell r="E2256">
            <v>1681.35</v>
          </cell>
        </row>
        <row r="2257">
          <cell r="E2257">
            <v>2351.36</v>
          </cell>
        </row>
        <row r="2258">
          <cell r="E2258">
            <v>1408</v>
          </cell>
        </row>
        <row r="2259">
          <cell r="E2259">
            <v>2445.6</v>
          </cell>
        </row>
        <row r="2260">
          <cell r="E2260">
            <v>1804.44</v>
          </cell>
        </row>
        <row r="2261">
          <cell r="E2261">
            <v>2544.75</v>
          </cell>
        </row>
        <row r="2262">
          <cell r="E2262">
            <v>1056.4000000000001</v>
          </cell>
        </row>
        <row r="2263">
          <cell r="E2263">
            <v>2801.4</v>
          </cell>
        </row>
        <row r="2264">
          <cell r="E2264">
            <v>1988.4</v>
          </cell>
        </row>
        <row r="2265">
          <cell r="E2265">
            <v>2908.35</v>
          </cell>
        </row>
        <row r="2266">
          <cell r="E2266">
            <v>2147.4</v>
          </cell>
        </row>
        <row r="2267">
          <cell r="E2267">
            <v>2099.63</v>
          </cell>
        </row>
        <row r="2268">
          <cell r="E2268">
            <v>2315.1799999999998</v>
          </cell>
        </row>
        <row r="2269">
          <cell r="E2269">
            <v>2327.15</v>
          </cell>
        </row>
        <row r="2270">
          <cell r="E2270">
            <v>5377.4</v>
          </cell>
        </row>
        <row r="2271">
          <cell r="E2271">
            <v>2626.01</v>
          </cell>
        </row>
        <row r="2272">
          <cell r="E2272">
            <v>4406.3999999999996</v>
          </cell>
        </row>
        <row r="2273">
          <cell r="E2273">
            <v>4301.22</v>
          </cell>
        </row>
        <row r="2274">
          <cell r="E2274">
            <v>2986.5</v>
          </cell>
        </row>
        <row r="2275">
          <cell r="E2275">
            <v>1587.08</v>
          </cell>
        </row>
        <row r="2276">
          <cell r="E2276">
            <v>1808.4</v>
          </cell>
        </row>
        <row r="2277">
          <cell r="E2277">
            <v>1193.04</v>
          </cell>
        </row>
        <row r="2278">
          <cell r="E2278">
            <v>3403.35</v>
          </cell>
        </row>
        <row r="2279">
          <cell r="E2279">
            <v>1575.96</v>
          </cell>
        </row>
        <row r="2280">
          <cell r="E2280">
            <v>1630.2</v>
          </cell>
        </row>
        <row r="2281">
          <cell r="E2281">
            <v>1701.28</v>
          </cell>
        </row>
        <row r="2282">
          <cell r="E2282">
            <v>2850.82</v>
          </cell>
        </row>
        <row r="2283">
          <cell r="E2283">
            <v>2692.06</v>
          </cell>
        </row>
        <row r="2284">
          <cell r="E2284">
            <v>2174.42</v>
          </cell>
        </row>
        <row r="2285">
          <cell r="E2285">
            <v>3167.36</v>
          </cell>
        </row>
        <row r="2286">
          <cell r="E2286">
            <v>2142.66</v>
          </cell>
        </row>
        <row r="2287">
          <cell r="E2287">
            <v>2117.52</v>
          </cell>
        </row>
        <row r="2288">
          <cell r="E2288">
            <v>2419.9499999999998</v>
          </cell>
        </row>
        <row r="2289">
          <cell r="E2289">
            <v>2191.1999999999998</v>
          </cell>
        </row>
        <row r="2290">
          <cell r="E2290">
            <v>3043.04</v>
          </cell>
        </row>
        <row r="2291">
          <cell r="E2291">
            <v>1228.2</v>
          </cell>
        </row>
        <row r="2292">
          <cell r="E2292">
            <v>1330.35</v>
          </cell>
        </row>
        <row r="2293">
          <cell r="E2293">
            <v>2792.52</v>
          </cell>
        </row>
        <row r="2294">
          <cell r="E2294">
            <v>2296</v>
          </cell>
        </row>
        <row r="2295">
          <cell r="E2295">
            <v>2629.44</v>
          </cell>
        </row>
        <row r="2296">
          <cell r="E2296">
            <v>1912.16</v>
          </cell>
        </row>
        <row r="2297">
          <cell r="E2297">
            <v>8209.44</v>
          </cell>
        </row>
        <row r="2298">
          <cell r="E2298">
            <v>2431.77</v>
          </cell>
        </row>
        <row r="2299">
          <cell r="E2299">
            <v>3139.99</v>
          </cell>
        </row>
        <row r="2300">
          <cell r="E2300">
            <v>5669.64</v>
          </cell>
        </row>
        <row r="2301">
          <cell r="E2301">
            <v>3160.25</v>
          </cell>
        </row>
        <row r="2302">
          <cell r="E2302">
            <v>6799.68</v>
          </cell>
        </row>
        <row r="2303">
          <cell r="E2303">
            <v>1867.32</v>
          </cell>
        </row>
        <row r="2304">
          <cell r="E2304">
            <v>2702.04</v>
          </cell>
        </row>
        <row r="2305">
          <cell r="E2305">
            <v>2406.36</v>
          </cell>
        </row>
        <row r="2306">
          <cell r="E2306">
            <v>2094.67</v>
          </cell>
        </row>
        <row r="2307">
          <cell r="E2307">
            <v>2797.9</v>
          </cell>
        </row>
        <row r="2308">
          <cell r="E2308">
            <v>1637.2</v>
          </cell>
        </row>
        <row r="2309">
          <cell r="E2309">
            <v>2281.91</v>
          </cell>
        </row>
        <row r="2310">
          <cell r="E2310">
            <v>2307.2399999999998</v>
          </cell>
        </row>
        <row r="2311">
          <cell r="E2311">
            <v>1320.8</v>
          </cell>
        </row>
        <row r="2312">
          <cell r="E2312">
            <v>2642.82</v>
          </cell>
        </row>
        <row r="2313">
          <cell r="E2313">
            <v>3061</v>
          </cell>
        </row>
        <row r="2314">
          <cell r="E2314">
            <v>3164.4</v>
          </cell>
        </row>
        <row r="2315">
          <cell r="E2315">
            <v>1791.16</v>
          </cell>
        </row>
        <row r="2316">
          <cell r="E2316">
            <v>4093</v>
          </cell>
        </row>
        <row r="2317">
          <cell r="E2317">
            <v>2234.4</v>
          </cell>
        </row>
        <row r="2318">
          <cell r="E2318">
            <v>3037.84</v>
          </cell>
        </row>
        <row r="2319">
          <cell r="E2319">
            <v>1419.84</v>
          </cell>
        </row>
        <row r="2320">
          <cell r="E2320">
            <v>1948.08</v>
          </cell>
        </row>
        <row r="2321">
          <cell r="E2321">
            <v>2307.2399999999998</v>
          </cell>
        </row>
        <row r="2322">
          <cell r="E2322">
            <v>1780.4</v>
          </cell>
        </row>
        <row r="2323">
          <cell r="E2323">
            <v>3544.17</v>
          </cell>
        </row>
        <row r="2324">
          <cell r="E2324">
            <v>3619.44</v>
          </cell>
        </row>
        <row r="2325">
          <cell r="E2325">
            <v>3918.95</v>
          </cell>
        </row>
        <row r="2326">
          <cell r="E2326">
            <v>1483.02</v>
          </cell>
        </row>
        <row r="2327">
          <cell r="E2327">
            <v>4819.26</v>
          </cell>
        </row>
        <row r="2328">
          <cell r="E2328">
            <v>1591.72</v>
          </cell>
        </row>
        <row r="2329">
          <cell r="E2329">
            <v>3669.78</v>
          </cell>
        </row>
        <row r="2330">
          <cell r="E2330">
            <v>2168.5</v>
          </cell>
        </row>
        <row r="2331">
          <cell r="E2331">
            <v>2694</v>
          </cell>
        </row>
        <row r="2332">
          <cell r="E2332">
            <v>3251.34</v>
          </cell>
        </row>
        <row r="2333">
          <cell r="E2333">
            <v>2347.15</v>
          </cell>
        </row>
        <row r="2334">
          <cell r="E2334">
            <v>3920.88</v>
          </cell>
        </row>
        <row r="2335">
          <cell r="E2335">
            <v>2514.6</v>
          </cell>
        </row>
        <row r="2336">
          <cell r="E2336">
            <v>3600.24</v>
          </cell>
        </row>
        <row r="2337">
          <cell r="E2337">
            <v>4040.03</v>
          </cell>
        </row>
        <row r="2338">
          <cell r="E2338">
            <v>3336.9</v>
          </cell>
        </row>
        <row r="2339">
          <cell r="E2339">
            <v>3113.64</v>
          </cell>
        </row>
        <row r="2340">
          <cell r="E2340">
            <v>2832</v>
          </cell>
        </row>
        <row r="2341">
          <cell r="E2341">
            <v>3330.98</v>
          </cell>
        </row>
        <row r="2342">
          <cell r="E2342">
            <v>4304.6400000000003</v>
          </cell>
        </row>
        <row r="2343">
          <cell r="E2343">
            <v>2600.2600000000002</v>
          </cell>
        </row>
        <row r="2344">
          <cell r="E2344">
            <v>4382.16</v>
          </cell>
        </row>
        <row r="2345">
          <cell r="E2345">
            <v>4235</v>
          </cell>
        </row>
        <row r="2346">
          <cell r="E2346">
            <v>2626.8</v>
          </cell>
        </row>
        <row r="2347">
          <cell r="E2347">
            <v>5026.5600000000004</v>
          </cell>
        </row>
        <row r="2348">
          <cell r="E2348">
            <v>2201.62</v>
          </cell>
        </row>
        <row r="2349">
          <cell r="E2349">
            <v>4326.8</v>
          </cell>
        </row>
        <row r="2350">
          <cell r="E2350">
            <v>3425.18</v>
          </cell>
        </row>
        <row r="2351">
          <cell r="E2351">
            <v>4701.88</v>
          </cell>
        </row>
        <row r="2352">
          <cell r="E2352">
            <v>2204.1</v>
          </cell>
        </row>
        <row r="2353">
          <cell r="E2353">
            <v>5189.3999999999996</v>
          </cell>
        </row>
        <row r="2354">
          <cell r="E2354">
            <v>1565.85</v>
          </cell>
        </row>
        <row r="2355">
          <cell r="E2355">
            <v>2480.38</v>
          </cell>
        </row>
        <row r="2356">
          <cell r="E2356">
            <v>1355.13</v>
          </cell>
        </row>
        <row r="2357">
          <cell r="E2357">
            <v>1246.44</v>
          </cell>
        </row>
        <row r="2358">
          <cell r="E2358">
            <v>820.4</v>
          </cell>
        </row>
        <row r="2359">
          <cell r="E2359">
            <v>2492.64</v>
          </cell>
        </row>
        <row r="2360">
          <cell r="E2360">
            <v>1113.5999999999999</v>
          </cell>
        </row>
        <row r="2361">
          <cell r="E2361">
            <v>1763.86</v>
          </cell>
        </row>
        <row r="2362">
          <cell r="E2362">
            <v>1896.66</v>
          </cell>
        </row>
        <row r="2363">
          <cell r="E2363">
            <v>1449.35</v>
          </cell>
        </row>
        <row r="2364">
          <cell r="E2364">
            <v>1869.48</v>
          </cell>
        </row>
        <row r="2365">
          <cell r="E2365">
            <v>1860.53</v>
          </cell>
        </row>
        <row r="2366">
          <cell r="E2366">
            <v>1724.82</v>
          </cell>
        </row>
        <row r="2367">
          <cell r="E2367">
            <v>1713.69</v>
          </cell>
        </row>
        <row r="2368">
          <cell r="E2368">
            <v>1259.44</v>
          </cell>
        </row>
        <row r="2369">
          <cell r="E2369">
            <v>2051.08</v>
          </cell>
        </row>
        <row r="2370">
          <cell r="E2370">
            <v>1617.38</v>
          </cell>
        </row>
        <row r="2371">
          <cell r="E2371">
            <v>1765.62</v>
          </cell>
        </row>
        <row r="2372">
          <cell r="E2372">
            <v>2024.8</v>
          </cell>
        </row>
        <row r="2373">
          <cell r="E2373">
            <v>3288.4</v>
          </cell>
        </row>
        <row r="2374">
          <cell r="E2374">
            <v>2725.47</v>
          </cell>
        </row>
        <row r="2375">
          <cell r="E2375">
            <v>3224.2</v>
          </cell>
        </row>
        <row r="2376">
          <cell r="E2376">
            <v>3211.38</v>
          </cell>
        </row>
        <row r="2377">
          <cell r="E2377">
            <v>1796.34</v>
          </cell>
        </row>
        <row r="2378">
          <cell r="E2378">
            <v>1979.6</v>
          </cell>
        </row>
        <row r="2379">
          <cell r="E2379">
            <v>1921.41</v>
          </cell>
        </row>
        <row r="2380">
          <cell r="E2380">
            <v>3705.24</v>
          </cell>
        </row>
        <row r="2381">
          <cell r="E2381">
            <v>2843.91</v>
          </cell>
        </row>
        <row r="2382">
          <cell r="E2382">
            <v>6176.42</v>
          </cell>
        </row>
        <row r="2383">
          <cell r="E2383">
            <v>5500.44</v>
          </cell>
        </row>
        <row r="2384">
          <cell r="E2384">
            <v>3220.1</v>
          </cell>
        </row>
        <row r="2385">
          <cell r="E2385">
            <v>4556.16</v>
          </cell>
        </row>
        <row r="2386">
          <cell r="E2386">
            <v>3114.89</v>
          </cell>
        </row>
        <row r="2387">
          <cell r="E2387">
            <v>4948.2</v>
          </cell>
        </row>
        <row r="2388">
          <cell r="E2388">
            <v>5161.17</v>
          </cell>
        </row>
        <row r="2389">
          <cell r="E2389">
            <v>2657.76</v>
          </cell>
        </row>
        <row r="2390">
          <cell r="E2390">
            <v>3983.05</v>
          </cell>
        </row>
        <row r="2391">
          <cell r="E2391">
            <v>3974.94</v>
          </cell>
        </row>
        <row r="2392">
          <cell r="E2392">
            <v>2928.42</v>
          </cell>
        </row>
        <row r="2393">
          <cell r="E2393">
            <v>3054.57</v>
          </cell>
        </row>
        <row r="2394">
          <cell r="E2394">
            <v>3345.26</v>
          </cell>
        </row>
        <row r="2395">
          <cell r="E2395">
            <v>4310.72</v>
          </cell>
        </row>
        <row r="2396">
          <cell r="E2396">
            <v>4983.1400000000003</v>
          </cell>
        </row>
        <row r="2397">
          <cell r="E2397">
            <v>4618.32</v>
          </cell>
        </row>
        <row r="2398">
          <cell r="E2398">
            <v>3403.12</v>
          </cell>
        </row>
        <row r="2399">
          <cell r="E2399">
            <v>5190.42</v>
          </cell>
        </row>
        <row r="2400">
          <cell r="E2400">
            <v>3141.57</v>
          </cell>
        </row>
        <row r="2401">
          <cell r="E2401">
            <v>2213.4</v>
          </cell>
        </row>
        <row r="2402">
          <cell r="E2402">
            <v>4896.7</v>
          </cell>
        </row>
        <row r="2403">
          <cell r="E2403">
            <v>2714.4</v>
          </cell>
        </row>
        <row r="2404">
          <cell r="E2404">
            <v>3087.05</v>
          </cell>
        </row>
        <row r="2405">
          <cell r="E2405">
            <v>5692.96</v>
          </cell>
        </row>
        <row r="2406">
          <cell r="E2406">
            <v>3460.86</v>
          </cell>
        </row>
        <row r="2407">
          <cell r="E2407">
            <v>1895.94</v>
          </cell>
        </row>
        <row r="2408">
          <cell r="E2408">
            <v>1705.92</v>
          </cell>
        </row>
        <row r="2409">
          <cell r="E2409">
            <v>1033.4100000000001</v>
          </cell>
        </row>
        <row r="2410">
          <cell r="E2410">
            <v>3179.52</v>
          </cell>
        </row>
        <row r="2411">
          <cell r="E2411">
            <v>2091.1799999999998</v>
          </cell>
        </row>
        <row r="2412">
          <cell r="E2412">
            <v>1779.71</v>
          </cell>
        </row>
        <row r="2413">
          <cell r="E2413">
            <v>2537.64</v>
          </cell>
        </row>
        <row r="2414">
          <cell r="E2414">
            <v>2448.7199999999998</v>
          </cell>
        </row>
        <row r="2415">
          <cell r="E2415">
            <v>972.4</v>
          </cell>
        </row>
        <row r="2416">
          <cell r="E2416">
            <v>2856.14</v>
          </cell>
        </row>
        <row r="2417">
          <cell r="E2417">
            <v>1968.3</v>
          </cell>
        </row>
        <row r="2418">
          <cell r="E2418">
            <v>2056.1999999999998</v>
          </cell>
        </row>
        <row r="2419">
          <cell r="E2419">
            <v>2242.02</v>
          </cell>
        </row>
        <row r="2420">
          <cell r="E2420">
            <v>3128.65</v>
          </cell>
        </row>
        <row r="2421">
          <cell r="E2421">
            <v>2443.2600000000002</v>
          </cell>
        </row>
        <row r="2422">
          <cell r="E2422">
            <v>2470.86</v>
          </cell>
        </row>
        <row r="2423">
          <cell r="E2423">
            <v>1927.45</v>
          </cell>
        </row>
        <row r="2424">
          <cell r="E2424">
            <v>2051.56</v>
          </cell>
        </row>
        <row r="2425">
          <cell r="E2425">
            <v>2337.38</v>
          </cell>
        </row>
        <row r="2426">
          <cell r="E2426">
            <v>5932.96</v>
          </cell>
        </row>
        <row r="2427">
          <cell r="E2427">
            <v>2296.77</v>
          </cell>
        </row>
        <row r="2428">
          <cell r="E2428">
            <v>6490.88</v>
          </cell>
        </row>
        <row r="2429">
          <cell r="E2429">
            <v>1623.25</v>
          </cell>
        </row>
        <row r="2430">
          <cell r="E2430">
            <v>1405.92</v>
          </cell>
        </row>
        <row r="2431">
          <cell r="E2431">
            <v>2282.2800000000002</v>
          </cell>
        </row>
        <row r="2432">
          <cell r="E2432">
            <v>8977.0499999999993</v>
          </cell>
        </row>
        <row r="2433">
          <cell r="E2433">
            <v>3256.35</v>
          </cell>
        </row>
        <row r="2434">
          <cell r="E2434">
            <v>2821.66</v>
          </cell>
        </row>
        <row r="2435">
          <cell r="E2435">
            <v>3293.4</v>
          </cell>
        </row>
        <row r="2436">
          <cell r="E2436">
            <v>4224</v>
          </cell>
        </row>
        <row r="2437">
          <cell r="E2437">
            <v>3091.68</v>
          </cell>
        </row>
        <row r="2438">
          <cell r="E2438">
            <v>2219.6</v>
          </cell>
        </row>
        <row r="2439">
          <cell r="E2439">
            <v>3866.4</v>
          </cell>
        </row>
        <row r="2440">
          <cell r="E2440">
            <v>1964.76</v>
          </cell>
        </row>
        <row r="2441">
          <cell r="E2441">
            <v>2668.8</v>
          </cell>
        </row>
        <row r="2442">
          <cell r="E2442">
            <v>3222</v>
          </cell>
        </row>
        <row r="2443">
          <cell r="E2443">
            <v>3864.5</v>
          </cell>
        </row>
        <row r="2444">
          <cell r="E2444">
            <v>1366.8</v>
          </cell>
        </row>
        <row r="2445">
          <cell r="E2445">
            <v>3475.68</v>
          </cell>
        </row>
        <row r="2446">
          <cell r="E2446">
            <v>4206.5</v>
          </cell>
        </row>
        <row r="2447">
          <cell r="E2447">
            <v>1486.38</v>
          </cell>
        </row>
        <row r="2448">
          <cell r="E2448">
            <v>3077.88</v>
          </cell>
        </row>
        <row r="2449">
          <cell r="E2449">
            <v>3544.2</v>
          </cell>
        </row>
        <row r="2450">
          <cell r="E2450">
            <v>2483.04</v>
          </cell>
        </row>
        <row r="2451">
          <cell r="E2451">
            <v>3478.05</v>
          </cell>
        </row>
        <row r="2452">
          <cell r="E2452">
            <v>3657.8</v>
          </cell>
        </row>
        <row r="2453">
          <cell r="E2453">
            <v>4682.3599999999997</v>
          </cell>
        </row>
        <row r="2454">
          <cell r="E2454">
            <v>3937.7</v>
          </cell>
        </row>
        <row r="2455">
          <cell r="E2455">
            <v>4984.32</v>
          </cell>
        </row>
        <row r="2456">
          <cell r="E2456">
            <v>5406.66</v>
          </cell>
        </row>
        <row r="2457">
          <cell r="E2457">
            <v>3491.18</v>
          </cell>
        </row>
        <row r="2458">
          <cell r="E2458">
            <v>2118.54</v>
          </cell>
        </row>
        <row r="2459">
          <cell r="E2459">
            <v>2897.47</v>
          </cell>
        </row>
        <row r="2460">
          <cell r="E2460">
            <v>1916.75</v>
          </cell>
        </row>
        <row r="2461">
          <cell r="E2461">
            <v>1860</v>
          </cell>
        </row>
        <row r="2462">
          <cell r="E2462">
            <v>2624</v>
          </cell>
        </row>
        <row r="2463">
          <cell r="E2463">
            <v>2780.81</v>
          </cell>
        </row>
        <row r="2464">
          <cell r="E2464">
            <v>3239.62</v>
          </cell>
        </row>
        <row r="2465">
          <cell r="E2465">
            <v>1824</v>
          </cell>
        </row>
        <row r="2466">
          <cell r="E2466">
            <v>1134</v>
          </cell>
        </row>
        <row r="2467">
          <cell r="E2467">
            <v>1487.41</v>
          </cell>
        </row>
        <row r="2468">
          <cell r="E2468">
            <v>2837.46</v>
          </cell>
        </row>
        <row r="2469">
          <cell r="E2469">
            <v>1942.77</v>
          </cell>
        </row>
        <row r="2470">
          <cell r="E2470">
            <v>2544.12</v>
          </cell>
        </row>
        <row r="2471">
          <cell r="E2471">
            <v>2568.2399999999998</v>
          </cell>
        </row>
        <row r="2472">
          <cell r="E2472">
            <v>2108</v>
          </cell>
        </row>
        <row r="2473">
          <cell r="E2473">
            <v>1372.14</v>
          </cell>
        </row>
        <row r="2474">
          <cell r="E2474">
            <v>3540.15</v>
          </cell>
        </row>
        <row r="2475">
          <cell r="E2475">
            <v>1958.84</v>
          </cell>
        </row>
        <row r="2476">
          <cell r="E2476">
            <v>2700</v>
          </cell>
        </row>
        <row r="2477">
          <cell r="E2477">
            <v>2542</v>
          </cell>
        </row>
        <row r="2478">
          <cell r="E2478">
            <v>2340</v>
          </cell>
        </row>
        <row r="2479">
          <cell r="E2479">
            <v>2816.44</v>
          </cell>
        </row>
        <row r="2480">
          <cell r="E2480">
            <v>3526.82</v>
          </cell>
        </row>
        <row r="2481">
          <cell r="E2481">
            <v>4627.92</v>
          </cell>
        </row>
        <row r="2482">
          <cell r="E2482">
            <v>1933.5</v>
          </cell>
        </row>
        <row r="2483">
          <cell r="E2483">
            <v>2600.13</v>
          </cell>
        </row>
        <row r="2484">
          <cell r="E2484">
            <v>2639.58</v>
          </cell>
        </row>
        <row r="2485">
          <cell r="E2485">
            <v>3312.97</v>
          </cell>
        </row>
        <row r="2486">
          <cell r="E2486">
            <v>3863.87</v>
          </cell>
        </row>
        <row r="2487">
          <cell r="E2487">
            <v>1863.36</v>
          </cell>
        </row>
        <row r="2488">
          <cell r="E2488">
            <v>3945.96</v>
          </cell>
        </row>
        <row r="2489">
          <cell r="E2489">
            <v>4954.08</v>
          </cell>
        </row>
        <row r="2490">
          <cell r="E2490">
            <v>2762.2</v>
          </cell>
        </row>
        <row r="2491">
          <cell r="E2491">
            <v>3989.76</v>
          </cell>
        </row>
        <row r="2492">
          <cell r="E2492">
            <v>1649.55</v>
          </cell>
        </row>
        <row r="2493">
          <cell r="E2493">
            <v>2534.75</v>
          </cell>
        </row>
        <row r="2494">
          <cell r="E2494">
            <v>2580.25</v>
          </cell>
        </row>
        <row r="2495">
          <cell r="E2495">
            <v>2831.54</v>
          </cell>
        </row>
        <row r="2496">
          <cell r="E2496">
            <v>3361.2</v>
          </cell>
        </row>
        <row r="2497">
          <cell r="E2497">
            <v>2864.32</v>
          </cell>
        </row>
        <row r="2498">
          <cell r="E2498">
            <v>1994.88</v>
          </cell>
        </row>
        <row r="2499">
          <cell r="E2499">
            <v>4296.6000000000004</v>
          </cell>
        </row>
        <row r="2500">
          <cell r="E2500">
            <v>2224.9499999999998</v>
          </cell>
        </row>
        <row r="2501">
          <cell r="E2501">
            <v>2795.14</v>
          </cell>
        </row>
        <row r="2502">
          <cell r="E2502">
            <v>2762.1</v>
          </cell>
        </row>
        <row r="2503">
          <cell r="E2503">
            <v>2658</v>
          </cell>
        </row>
        <row r="2504">
          <cell r="E2504">
            <v>5043.87</v>
          </cell>
        </row>
        <row r="2505">
          <cell r="E2505">
            <v>1210.8</v>
          </cell>
        </row>
        <row r="2506">
          <cell r="E2506">
            <v>3029.19</v>
          </cell>
        </row>
        <row r="2507">
          <cell r="E2507">
            <v>10066.6</v>
          </cell>
        </row>
        <row r="2508">
          <cell r="E2508">
            <v>4121.43</v>
          </cell>
        </row>
        <row r="2509">
          <cell r="E2509">
            <v>1135.31</v>
          </cell>
        </row>
        <row r="2510">
          <cell r="E2510">
            <v>2100.8200000000002</v>
          </cell>
        </row>
        <row r="2511">
          <cell r="E2511">
            <v>2034.35</v>
          </cell>
        </row>
        <row r="2512">
          <cell r="E2512">
            <v>3027.84</v>
          </cell>
        </row>
        <row r="2513">
          <cell r="E2513">
            <v>3104</v>
          </cell>
        </row>
        <row r="2514">
          <cell r="E2514">
            <v>3612.43</v>
          </cell>
        </row>
        <row r="2515">
          <cell r="E2515">
            <v>2711.88</v>
          </cell>
        </row>
        <row r="2516">
          <cell r="E2516">
            <v>3013.97</v>
          </cell>
        </row>
        <row r="2517">
          <cell r="E2517">
            <v>2738.54</v>
          </cell>
        </row>
        <row r="2518">
          <cell r="E2518">
            <v>2832</v>
          </cell>
        </row>
        <row r="2519">
          <cell r="E2519">
            <v>4720</v>
          </cell>
        </row>
        <row r="2520">
          <cell r="E2520">
            <v>3222</v>
          </cell>
        </row>
        <row r="2521">
          <cell r="E2521">
            <v>2231</v>
          </cell>
        </row>
        <row r="2522">
          <cell r="E2522">
            <v>2296.84</v>
          </cell>
        </row>
        <row r="2523">
          <cell r="E2523">
            <v>4157.2</v>
          </cell>
        </row>
        <row r="2524">
          <cell r="E2524">
            <v>2146.1999999999998</v>
          </cell>
        </row>
        <row r="2525">
          <cell r="E2525">
            <v>3724.23</v>
          </cell>
        </row>
        <row r="2526">
          <cell r="E2526">
            <v>2084.81</v>
          </cell>
        </row>
        <row r="2527">
          <cell r="E2527">
            <v>3488.78</v>
          </cell>
        </row>
        <row r="2528">
          <cell r="E2528">
            <v>1753.06</v>
          </cell>
        </row>
        <row r="2529">
          <cell r="E2529">
            <v>3469.2</v>
          </cell>
        </row>
        <row r="2530">
          <cell r="E2530">
            <v>2530.8000000000002</v>
          </cell>
        </row>
        <row r="2531">
          <cell r="E2531">
            <v>2924.32</v>
          </cell>
        </row>
        <row r="2532">
          <cell r="E2532">
            <v>4496.8</v>
          </cell>
        </row>
        <row r="2533">
          <cell r="E2533">
            <v>6397.44</v>
          </cell>
        </row>
        <row r="2534">
          <cell r="E2534">
            <v>2577.6</v>
          </cell>
        </row>
        <row r="2535">
          <cell r="E2535">
            <v>3533.62</v>
          </cell>
        </row>
        <row r="2536">
          <cell r="E2536">
            <v>3177.3</v>
          </cell>
        </row>
        <row r="2537">
          <cell r="E2537">
            <v>2730.06</v>
          </cell>
        </row>
        <row r="2538">
          <cell r="E2538">
            <v>1891.78</v>
          </cell>
        </row>
        <row r="2539">
          <cell r="E2539">
            <v>2612.48</v>
          </cell>
        </row>
        <row r="2540">
          <cell r="E2540">
            <v>2925.76</v>
          </cell>
        </row>
        <row r="2541">
          <cell r="E2541">
            <v>2940.02</v>
          </cell>
        </row>
        <row r="2542">
          <cell r="E2542">
            <v>3293.24</v>
          </cell>
        </row>
        <row r="2543">
          <cell r="E2543">
            <v>2389.6799999999998</v>
          </cell>
        </row>
        <row r="2544">
          <cell r="E2544">
            <v>2172.48</v>
          </cell>
        </row>
        <row r="2545">
          <cell r="E2545">
            <v>2927.43</v>
          </cell>
        </row>
        <row r="2546">
          <cell r="E2546">
            <v>2659.54</v>
          </cell>
        </row>
        <row r="2547">
          <cell r="E2547">
            <v>3838</v>
          </cell>
        </row>
        <row r="2548">
          <cell r="E2548">
            <v>4142.16</v>
          </cell>
        </row>
        <row r="2549">
          <cell r="E2549">
            <v>2172.48</v>
          </cell>
        </row>
        <row r="2550">
          <cell r="E2550">
            <v>1882.8</v>
          </cell>
        </row>
        <row r="2551">
          <cell r="E2551">
            <v>3477.86</v>
          </cell>
        </row>
        <row r="2552">
          <cell r="E2552">
            <v>3323.84</v>
          </cell>
        </row>
        <row r="2553">
          <cell r="E2553">
            <v>4195.8</v>
          </cell>
        </row>
        <row r="2554">
          <cell r="E2554">
            <v>4156.58</v>
          </cell>
        </row>
        <row r="2555">
          <cell r="E2555">
            <v>3918.75</v>
          </cell>
        </row>
        <row r="2556">
          <cell r="E2556">
            <v>2352.67</v>
          </cell>
        </row>
        <row r="2557">
          <cell r="E2557">
            <v>1089.3599999999999</v>
          </cell>
        </row>
        <row r="2558">
          <cell r="E2558">
            <v>2701.12</v>
          </cell>
        </row>
        <row r="2559">
          <cell r="E2559">
            <v>2487.04</v>
          </cell>
        </row>
        <row r="2560">
          <cell r="E2560">
            <v>3910.32</v>
          </cell>
        </row>
        <row r="2561">
          <cell r="E2561">
            <v>4038.8</v>
          </cell>
        </row>
        <row r="2562">
          <cell r="E2562">
            <v>3070.4</v>
          </cell>
        </row>
        <row r="2563">
          <cell r="E2563">
            <v>3763.46</v>
          </cell>
        </row>
        <row r="2564">
          <cell r="E2564">
            <v>2584.8000000000002</v>
          </cell>
        </row>
        <row r="2565">
          <cell r="E2565">
            <v>4427.6000000000004</v>
          </cell>
        </row>
        <row r="2566">
          <cell r="E2566">
            <v>2152.02</v>
          </cell>
        </row>
        <row r="2567">
          <cell r="E2567">
            <v>2353.4</v>
          </cell>
        </row>
        <row r="2568">
          <cell r="E2568">
            <v>3431.39</v>
          </cell>
        </row>
        <row r="2569">
          <cell r="E2569">
            <v>1930.5</v>
          </cell>
        </row>
        <row r="2570">
          <cell r="E2570">
            <v>4774.5600000000004</v>
          </cell>
        </row>
        <row r="2571">
          <cell r="E2571">
            <v>2592.7199999999998</v>
          </cell>
        </row>
        <row r="2572">
          <cell r="E2572">
            <v>3246.75</v>
          </cell>
        </row>
        <row r="2573">
          <cell r="E2573">
            <v>3372.5</v>
          </cell>
        </row>
        <row r="2574">
          <cell r="E2574">
            <v>3909.15</v>
          </cell>
        </row>
        <row r="2575">
          <cell r="E2575">
            <v>2994.75</v>
          </cell>
        </row>
        <row r="2576">
          <cell r="E2576">
            <v>4472.5200000000004</v>
          </cell>
        </row>
        <row r="2577">
          <cell r="E2577">
            <v>4576.95</v>
          </cell>
        </row>
        <row r="2578">
          <cell r="E2578">
            <v>2441.04</v>
          </cell>
        </row>
        <row r="2579">
          <cell r="E2579">
            <v>3106.25</v>
          </cell>
        </row>
        <row r="2580">
          <cell r="E2580">
            <v>2706.41</v>
          </cell>
        </row>
        <row r="2581">
          <cell r="E2581">
            <v>4021.53</v>
          </cell>
        </row>
        <row r="2582">
          <cell r="E2582">
            <v>4826.25</v>
          </cell>
        </row>
        <row r="2583">
          <cell r="E2583">
            <v>4935.28</v>
          </cell>
        </row>
        <row r="2584">
          <cell r="E2584">
            <v>2754.7</v>
          </cell>
        </row>
        <row r="2585">
          <cell r="E2585">
            <v>3856.71</v>
          </cell>
        </row>
        <row r="2586">
          <cell r="E2586">
            <v>3102.08</v>
          </cell>
        </row>
        <row r="2587">
          <cell r="E2587">
            <v>1908.72</v>
          </cell>
        </row>
        <row r="2588">
          <cell r="E2588">
            <v>7543.75</v>
          </cell>
        </row>
        <row r="2589">
          <cell r="E2589">
            <v>2457.1799999999998</v>
          </cell>
        </row>
        <row r="2590">
          <cell r="E2590">
            <v>2038.87</v>
          </cell>
        </row>
        <row r="2591">
          <cell r="E2591">
            <v>2499.2600000000002</v>
          </cell>
        </row>
        <row r="2592">
          <cell r="E2592">
            <v>3838.05</v>
          </cell>
        </row>
        <row r="2593">
          <cell r="E2593">
            <v>2643.99</v>
          </cell>
        </row>
        <row r="2594">
          <cell r="E2594">
            <v>2315.88</v>
          </cell>
        </row>
        <row r="2595">
          <cell r="E2595">
            <v>3225.06</v>
          </cell>
        </row>
        <row r="2596">
          <cell r="E2596">
            <v>2451.84</v>
          </cell>
        </row>
        <row r="2597">
          <cell r="E2597">
            <v>2254.98</v>
          </cell>
        </row>
        <row r="2598">
          <cell r="E2598">
            <v>3939.5</v>
          </cell>
        </row>
        <row r="2599">
          <cell r="E2599">
            <v>3424.7</v>
          </cell>
        </row>
        <row r="2600">
          <cell r="E2600">
            <v>2914.2</v>
          </cell>
        </row>
        <row r="2601">
          <cell r="E2601">
            <v>2389.6</v>
          </cell>
        </row>
        <row r="2602">
          <cell r="E2602">
            <v>2428.48</v>
          </cell>
        </row>
        <row r="2603">
          <cell r="E2603">
            <v>3021.48</v>
          </cell>
        </row>
        <row r="2604">
          <cell r="E2604">
            <v>2610.7199999999998</v>
          </cell>
        </row>
        <row r="2605">
          <cell r="E2605">
            <v>3091.19</v>
          </cell>
        </row>
        <row r="2606">
          <cell r="E2606">
            <v>2576.1999999999998</v>
          </cell>
        </row>
        <row r="2607">
          <cell r="E2607">
            <v>3232.31</v>
          </cell>
        </row>
        <row r="2608">
          <cell r="E2608">
            <v>3573.6</v>
          </cell>
        </row>
        <row r="2609">
          <cell r="E2609">
            <v>2022.51</v>
          </cell>
        </row>
        <row r="2610">
          <cell r="E2610">
            <v>3717.5</v>
          </cell>
        </row>
        <row r="2611">
          <cell r="E2611">
            <v>2185.15</v>
          </cell>
        </row>
        <row r="2612">
          <cell r="E2612">
            <v>2883.53</v>
          </cell>
        </row>
        <row r="2613">
          <cell r="E2613">
            <v>5017.57</v>
          </cell>
        </row>
        <row r="2614">
          <cell r="E2614">
            <v>1463</v>
          </cell>
        </row>
        <row r="2615">
          <cell r="E2615">
            <v>2352.59</v>
          </cell>
        </row>
        <row r="2616">
          <cell r="E2616">
            <v>4460.82</v>
          </cell>
        </row>
        <row r="2617">
          <cell r="E2617">
            <v>4758.18</v>
          </cell>
        </row>
        <row r="2618">
          <cell r="E2618">
            <v>4597.2</v>
          </cell>
        </row>
        <row r="2619">
          <cell r="E2619">
            <v>4114.8</v>
          </cell>
        </row>
        <row r="2620">
          <cell r="E2620">
            <v>2104</v>
          </cell>
        </row>
        <row r="2621">
          <cell r="E2621">
            <v>3195.27</v>
          </cell>
        </row>
        <row r="2622">
          <cell r="E2622">
            <v>3611.16</v>
          </cell>
        </row>
        <row r="2623">
          <cell r="E2623">
            <v>2000.77</v>
          </cell>
        </row>
        <row r="2624">
          <cell r="E2624">
            <v>2314.2600000000002</v>
          </cell>
        </row>
        <row r="2625">
          <cell r="E2625">
            <v>3871.89</v>
          </cell>
        </row>
        <row r="2626">
          <cell r="E2626">
            <v>2728</v>
          </cell>
        </row>
        <row r="2627">
          <cell r="E2627">
            <v>5614</v>
          </cell>
        </row>
        <row r="2628">
          <cell r="E2628">
            <v>4628.8</v>
          </cell>
        </row>
        <row r="2629">
          <cell r="E2629">
            <v>3641.4</v>
          </cell>
        </row>
        <row r="2630">
          <cell r="E2630">
            <v>4048</v>
          </cell>
        </row>
        <row r="2631">
          <cell r="E2631">
            <v>2321.46</v>
          </cell>
        </row>
        <row r="2632">
          <cell r="E2632">
            <v>3256.96</v>
          </cell>
        </row>
        <row r="2633">
          <cell r="E2633">
            <v>4208</v>
          </cell>
        </row>
        <row r="2634">
          <cell r="E2634">
            <v>2973.9</v>
          </cell>
        </row>
        <row r="2635">
          <cell r="E2635">
            <v>4248.3</v>
          </cell>
        </row>
        <row r="2636">
          <cell r="E2636">
            <v>9558.7999999999993</v>
          </cell>
        </row>
        <row r="2637">
          <cell r="E2637">
            <v>2650.56</v>
          </cell>
        </row>
        <row r="2638">
          <cell r="E2638">
            <v>3761.37</v>
          </cell>
        </row>
        <row r="2639">
          <cell r="E2639">
            <v>4301.34</v>
          </cell>
        </row>
        <row r="2640">
          <cell r="E2640">
            <v>1864.56</v>
          </cell>
        </row>
        <row r="2641">
          <cell r="E2641">
            <v>3576.8</v>
          </cell>
        </row>
        <row r="2642">
          <cell r="E2642">
            <v>3722.32</v>
          </cell>
        </row>
        <row r="2643">
          <cell r="E2643">
            <v>3986.56</v>
          </cell>
        </row>
        <row r="2644">
          <cell r="E2644">
            <v>3417.12</v>
          </cell>
        </row>
        <row r="2645">
          <cell r="E2645">
            <v>2691.09</v>
          </cell>
        </row>
        <row r="2646">
          <cell r="E2646">
            <v>2752.6</v>
          </cell>
        </row>
        <row r="2647">
          <cell r="E2647">
            <v>4527.72</v>
          </cell>
        </row>
        <row r="2648">
          <cell r="E2648">
            <v>3957.05</v>
          </cell>
        </row>
        <row r="2649">
          <cell r="E2649">
            <v>2818</v>
          </cell>
        </row>
        <row r="2650">
          <cell r="E2650">
            <v>3199.86</v>
          </cell>
        </row>
        <row r="2651">
          <cell r="E2651">
            <v>2402.75</v>
          </cell>
        </row>
        <row r="2652">
          <cell r="E2652">
            <v>6055.72</v>
          </cell>
        </row>
        <row r="2653">
          <cell r="E2653">
            <v>5465.16</v>
          </cell>
        </row>
        <row r="2654">
          <cell r="E2654">
            <v>6378.72</v>
          </cell>
        </row>
        <row r="2655">
          <cell r="E2655">
            <v>5392.8</v>
          </cell>
        </row>
        <row r="2656">
          <cell r="E2656">
            <v>3986.5</v>
          </cell>
        </row>
        <row r="2657">
          <cell r="E2657">
            <v>4009.23</v>
          </cell>
        </row>
        <row r="2658">
          <cell r="E2658">
            <v>7119</v>
          </cell>
        </row>
        <row r="2659">
          <cell r="E2659">
            <v>4072.2</v>
          </cell>
        </row>
        <row r="2660">
          <cell r="E2660">
            <v>4094.51</v>
          </cell>
        </row>
        <row r="2661">
          <cell r="E2661">
            <v>3302.4</v>
          </cell>
        </row>
        <row r="2662">
          <cell r="E2662">
            <v>3186.48</v>
          </cell>
        </row>
        <row r="2663">
          <cell r="E2663">
            <v>1668.25</v>
          </cell>
        </row>
        <row r="2664">
          <cell r="E2664">
            <v>7154.5</v>
          </cell>
        </row>
        <row r="2665">
          <cell r="E2665">
            <v>2810.83</v>
          </cell>
        </row>
        <row r="2666">
          <cell r="E2666">
            <v>2018.31</v>
          </cell>
        </row>
        <row r="2667">
          <cell r="E2667">
            <v>5642.83</v>
          </cell>
        </row>
        <row r="2668">
          <cell r="E2668">
            <v>3273.6</v>
          </cell>
        </row>
        <row r="2669">
          <cell r="E2669">
            <v>3268</v>
          </cell>
        </row>
        <row r="2670">
          <cell r="E2670">
            <v>2688</v>
          </cell>
        </row>
        <row r="2671">
          <cell r="E2671">
            <v>3715.2</v>
          </cell>
        </row>
        <row r="2672">
          <cell r="E2672">
            <v>4608</v>
          </cell>
        </row>
        <row r="2673">
          <cell r="E2673">
            <v>3131.2</v>
          </cell>
        </row>
        <row r="2674">
          <cell r="E2674">
            <v>2678.4</v>
          </cell>
        </row>
        <row r="2675">
          <cell r="E2675">
            <v>1747.2</v>
          </cell>
        </row>
        <row r="2676">
          <cell r="E2676">
            <v>2944</v>
          </cell>
        </row>
        <row r="2677">
          <cell r="E2677">
            <v>2956.8</v>
          </cell>
        </row>
        <row r="2678">
          <cell r="E2678">
            <v>2052</v>
          </cell>
        </row>
        <row r="2679">
          <cell r="E2679">
            <v>3164.8</v>
          </cell>
        </row>
        <row r="2680">
          <cell r="E2680">
            <v>1740</v>
          </cell>
        </row>
        <row r="2681">
          <cell r="E2681">
            <v>1777.6</v>
          </cell>
        </row>
        <row r="2682">
          <cell r="E2682">
            <v>1831.2</v>
          </cell>
        </row>
        <row r="2683">
          <cell r="E2683">
            <v>3609.6</v>
          </cell>
        </row>
        <row r="2684">
          <cell r="E2684">
            <v>2112</v>
          </cell>
        </row>
        <row r="2685">
          <cell r="E2685">
            <v>3644.12</v>
          </cell>
        </row>
        <row r="2686">
          <cell r="E2686">
            <v>3523.85</v>
          </cell>
        </row>
        <row r="2687">
          <cell r="E2687">
            <v>5001.92</v>
          </cell>
        </row>
        <row r="2688">
          <cell r="E2688">
            <v>5208.72</v>
          </cell>
        </row>
        <row r="2689">
          <cell r="E2689">
            <v>3018.88</v>
          </cell>
        </row>
        <row r="2690">
          <cell r="E2690">
            <v>1902.4</v>
          </cell>
        </row>
        <row r="2691">
          <cell r="E2691">
            <v>7084</v>
          </cell>
        </row>
        <row r="2692">
          <cell r="E2692">
            <v>2620.8000000000002</v>
          </cell>
        </row>
        <row r="2693">
          <cell r="E2693">
            <v>3164.46</v>
          </cell>
        </row>
        <row r="2694">
          <cell r="E2694">
            <v>4219.2</v>
          </cell>
        </row>
        <row r="2695">
          <cell r="E2695">
            <v>3828.3</v>
          </cell>
        </row>
        <row r="2696">
          <cell r="E2696">
            <v>2334.9899999999998</v>
          </cell>
        </row>
        <row r="2697">
          <cell r="E2697">
            <v>4407.5</v>
          </cell>
        </row>
        <row r="2698">
          <cell r="E2698">
            <v>2812.8</v>
          </cell>
        </row>
        <row r="2699">
          <cell r="E2699">
            <v>4055.04</v>
          </cell>
        </row>
        <row r="2700">
          <cell r="E2700">
            <v>3891.66</v>
          </cell>
        </row>
        <row r="2701">
          <cell r="E2701">
            <v>2488.3200000000002</v>
          </cell>
        </row>
        <row r="2702">
          <cell r="E2702">
            <v>4447.3999999999996</v>
          </cell>
        </row>
        <row r="2703">
          <cell r="E2703">
            <v>4187.22</v>
          </cell>
        </row>
        <row r="2704">
          <cell r="E2704">
            <v>4615.68</v>
          </cell>
        </row>
        <row r="2705">
          <cell r="E2705">
            <v>3245.4</v>
          </cell>
        </row>
        <row r="2706">
          <cell r="E2706">
            <v>2203.75</v>
          </cell>
        </row>
        <row r="2707">
          <cell r="E2707">
            <v>3446</v>
          </cell>
        </row>
        <row r="2708">
          <cell r="E2708">
            <v>1939.3</v>
          </cell>
        </row>
        <row r="2709">
          <cell r="E2709">
            <v>3473.78</v>
          </cell>
        </row>
        <row r="2710">
          <cell r="E2710">
            <v>2884.8</v>
          </cell>
        </row>
        <row r="2711">
          <cell r="E2711">
            <v>2670.65</v>
          </cell>
        </row>
        <row r="2712">
          <cell r="E2712">
            <v>3440</v>
          </cell>
        </row>
        <row r="2713">
          <cell r="E2713">
            <v>2770.78</v>
          </cell>
        </row>
        <row r="2714">
          <cell r="E2714">
            <v>2397.54</v>
          </cell>
        </row>
        <row r="2715">
          <cell r="E2715">
            <v>3275.56</v>
          </cell>
        </row>
        <row r="2716">
          <cell r="E2716">
            <v>4143.6000000000004</v>
          </cell>
        </row>
        <row r="2717">
          <cell r="E2717">
            <v>5192.6400000000003</v>
          </cell>
        </row>
        <row r="2718">
          <cell r="E2718">
            <v>3029.04</v>
          </cell>
        </row>
        <row r="2719">
          <cell r="E2719">
            <v>2556.1799999999998</v>
          </cell>
        </row>
        <row r="2720">
          <cell r="E2720">
            <v>3753.9</v>
          </cell>
        </row>
        <row r="2721">
          <cell r="E2721">
            <v>2562.3000000000002</v>
          </cell>
        </row>
        <row r="2722">
          <cell r="E2722">
            <v>3245.58</v>
          </cell>
        </row>
        <row r="2723">
          <cell r="E2723">
            <v>2204.6</v>
          </cell>
        </row>
        <row r="2724">
          <cell r="E2724">
            <v>3003</v>
          </cell>
        </row>
        <row r="2725">
          <cell r="E2725">
            <v>2526.48</v>
          </cell>
        </row>
        <row r="2726">
          <cell r="E2726">
            <v>1747.9</v>
          </cell>
        </row>
        <row r="2727">
          <cell r="E2727">
            <v>3267.25</v>
          </cell>
        </row>
        <row r="2728">
          <cell r="E2728">
            <v>2818.53</v>
          </cell>
        </row>
        <row r="2729">
          <cell r="E2729">
            <v>2955.54</v>
          </cell>
        </row>
        <row r="2730">
          <cell r="E2730">
            <v>2885.05</v>
          </cell>
        </row>
        <row r="2731">
          <cell r="E2731">
            <v>3162.95</v>
          </cell>
        </row>
        <row r="2732">
          <cell r="E2732">
            <v>4071.5</v>
          </cell>
        </row>
        <row r="2733">
          <cell r="E2733">
            <v>2969.46</v>
          </cell>
        </row>
        <row r="2734">
          <cell r="E2734">
            <v>3396.44</v>
          </cell>
        </row>
        <row r="2735">
          <cell r="E2735">
            <v>4692.6000000000004</v>
          </cell>
        </row>
        <row r="2736">
          <cell r="E2736">
            <v>3515.7</v>
          </cell>
        </row>
        <row r="2737">
          <cell r="E2737">
            <v>3380.69</v>
          </cell>
        </row>
        <row r="2738">
          <cell r="E2738">
            <v>3204.57</v>
          </cell>
        </row>
        <row r="2739">
          <cell r="E2739">
            <v>2588.04</v>
          </cell>
        </row>
        <row r="2740">
          <cell r="E2740">
            <v>2854.75</v>
          </cell>
        </row>
        <row r="2741">
          <cell r="E2741">
            <v>4025.6</v>
          </cell>
        </row>
        <row r="2742">
          <cell r="E2742">
            <v>2864.4</v>
          </cell>
        </row>
        <row r="2743">
          <cell r="E2743">
            <v>3789.72</v>
          </cell>
        </row>
        <row r="2744">
          <cell r="E2744">
            <v>2439.9899999999998</v>
          </cell>
        </row>
        <row r="2745">
          <cell r="E2745">
            <v>2949.12</v>
          </cell>
        </row>
        <row r="2746">
          <cell r="E2746">
            <v>1539.72</v>
          </cell>
        </row>
        <row r="2747">
          <cell r="E2747">
            <v>2213.38</v>
          </cell>
        </row>
        <row r="2748">
          <cell r="E2748">
            <v>2919.58</v>
          </cell>
        </row>
        <row r="2749">
          <cell r="E2749">
            <v>3778.28</v>
          </cell>
        </row>
        <row r="2750">
          <cell r="E2750">
            <v>3233.49</v>
          </cell>
        </row>
        <row r="2751">
          <cell r="E2751">
            <v>3431.25</v>
          </cell>
        </row>
        <row r="2752">
          <cell r="E2752">
            <v>2546.8000000000002</v>
          </cell>
        </row>
        <row r="2753">
          <cell r="E2753">
            <v>2953.86</v>
          </cell>
        </row>
        <row r="2754">
          <cell r="E2754">
            <v>3183.29</v>
          </cell>
        </row>
        <row r="2755">
          <cell r="E2755">
            <v>2466.6999999999998</v>
          </cell>
        </row>
        <row r="2756">
          <cell r="E2756">
            <v>2363.2199999999998</v>
          </cell>
        </row>
        <row r="2757">
          <cell r="E2757">
            <v>2487.4499999999998</v>
          </cell>
        </row>
        <row r="2758">
          <cell r="E2758">
            <v>2249.0500000000002</v>
          </cell>
        </row>
        <row r="2759">
          <cell r="E2759">
            <v>2061.12</v>
          </cell>
        </row>
        <row r="2760">
          <cell r="E2760">
            <v>4071.14</v>
          </cell>
        </row>
        <row r="2761">
          <cell r="E2761">
            <v>2656.29</v>
          </cell>
        </row>
        <row r="2762">
          <cell r="E2762">
            <v>2736.36</v>
          </cell>
        </row>
        <row r="2763">
          <cell r="E2763">
            <v>3348.93</v>
          </cell>
        </row>
        <row r="2764">
          <cell r="E2764">
            <v>2893</v>
          </cell>
        </row>
        <row r="2765">
          <cell r="E2765">
            <v>1661.22</v>
          </cell>
        </row>
        <row r="2766">
          <cell r="E2766">
            <v>4277.3500000000004</v>
          </cell>
        </row>
        <row r="2767">
          <cell r="E2767">
            <v>2502.9</v>
          </cell>
        </row>
        <row r="2768">
          <cell r="E2768">
            <v>3801.6</v>
          </cell>
        </row>
        <row r="2769">
          <cell r="E2769">
            <v>3144.96</v>
          </cell>
        </row>
        <row r="2770">
          <cell r="E2770">
            <v>2031.4</v>
          </cell>
        </row>
        <row r="2771">
          <cell r="E2771">
            <v>2674.17</v>
          </cell>
        </row>
        <row r="2772">
          <cell r="E2772">
            <v>2526.7199999999998</v>
          </cell>
        </row>
        <row r="2773">
          <cell r="E2773">
            <v>1348.76</v>
          </cell>
        </row>
        <row r="2774">
          <cell r="E2774">
            <v>875.91</v>
          </cell>
        </row>
        <row r="2775">
          <cell r="E2775">
            <v>1874.05</v>
          </cell>
        </row>
        <row r="2776">
          <cell r="E2776">
            <v>1671.44</v>
          </cell>
        </row>
        <row r="2777">
          <cell r="E2777">
            <v>1668.4</v>
          </cell>
        </row>
        <row r="2778">
          <cell r="E2778">
            <v>2301.75</v>
          </cell>
        </row>
        <row r="2779">
          <cell r="E2779">
            <v>1459.92</v>
          </cell>
        </row>
        <row r="2780">
          <cell r="E2780">
            <v>1209.5899999999999</v>
          </cell>
        </row>
        <row r="2781">
          <cell r="E2781">
            <v>2145.12</v>
          </cell>
        </row>
        <row r="2782">
          <cell r="E2782">
            <v>1416.39</v>
          </cell>
        </row>
        <row r="2783">
          <cell r="E2783">
            <v>1843.52</v>
          </cell>
        </row>
        <row r="2784">
          <cell r="E2784">
            <v>1199.31</v>
          </cell>
        </row>
        <row r="2785">
          <cell r="E2785">
            <v>1875.2</v>
          </cell>
        </row>
        <row r="2786">
          <cell r="E2786">
            <v>2477.23</v>
          </cell>
        </row>
        <row r="2787">
          <cell r="E2787">
            <v>948.99</v>
          </cell>
        </row>
        <row r="2788">
          <cell r="E2788">
            <v>1823.42</v>
          </cell>
        </row>
        <row r="2789">
          <cell r="E2789">
            <v>1485.8</v>
          </cell>
        </row>
        <row r="2790">
          <cell r="E2790">
            <v>3789.72</v>
          </cell>
        </row>
        <row r="2791">
          <cell r="E2791">
            <v>2060.37</v>
          </cell>
        </row>
        <row r="2792">
          <cell r="E2792">
            <v>2579.36</v>
          </cell>
        </row>
        <row r="2793">
          <cell r="E2793">
            <v>2189.6</v>
          </cell>
        </row>
        <row r="2794">
          <cell r="E2794">
            <v>1624.25</v>
          </cell>
        </row>
        <row r="2795">
          <cell r="E2795">
            <v>4357.5</v>
          </cell>
        </row>
        <row r="2796">
          <cell r="E2796">
            <v>1367.48</v>
          </cell>
        </row>
        <row r="2797">
          <cell r="E2797">
            <v>1122.4000000000001</v>
          </cell>
        </row>
        <row r="2798">
          <cell r="E2798">
            <v>2419.62</v>
          </cell>
        </row>
        <row r="2799">
          <cell r="E2799">
            <v>1419.5</v>
          </cell>
        </row>
        <row r="2800">
          <cell r="E2800">
            <v>2184</v>
          </cell>
        </row>
        <row r="2801">
          <cell r="E2801">
            <v>2079.04</v>
          </cell>
        </row>
        <row r="2802">
          <cell r="E2802">
            <v>1724.97</v>
          </cell>
        </row>
        <row r="2803">
          <cell r="E2803">
            <v>3003</v>
          </cell>
        </row>
        <row r="2804">
          <cell r="E2804">
            <v>1846.42</v>
          </cell>
        </row>
        <row r="2805">
          <cell r="E2805">
            <v>2009.2</v>
          </cell>
        </row>
        <row r="2806">
          <cell r="E2806">
            <v>1804.04</v>
          </cell>
        </row>
        <row r="2807">
          <cell r="E2807">
            <v>2109.66</v>
          </cell>
        </row>
        <row r="2808">
          <cell r="E2808">
            <v>2682.96</v>
          </cell>
        </row>
        <row r="2809">
          <cell r="E2809">
            <v>2280.2399999999998</v>
          </cell>
        </row>
        <row r="2810">
          <cell r="E2810">
            <v>1192.56</v>
          </cell>
        </row>
        <row r="2811">
          <cell r="E2811">
            <v>1506.96</v>
          </cell>
        </row>
        <row r="2812">
          <cell r="E2812">
            <v>1472.62</v>
          </cell>
        </row>
        <row r="2813">
          <cell r="E2813">
            <v>1696.82</v>
          </cell>
        </row>
        <row r="2814">
          <cell r="E2814">
            <v>1693.56</v>
          </cell>
        </row>
        <row r="2815">
          <cell r="E2815">
            <v>1921.92</v>
          </cell>
        </row>
        <row r="2816">
          <cell r="E2816">
            <v>2082.85</v>
          </cell>
        </row>
        <row r="2817">
          <cell r="E2817">
            <v>2227.6</v>
          </cell>
        </row>
        <row r="2818">
          <cell r="E2818">
            <v>3209.38</v>
          </cell>
        </row>
        <row r="2819">
          <cell r="E2819">
            <v>4080.72</v>
          </cell>
        </row>
        <row r="2820">
          <cell r="E2820">
            <v>2244.4</v>
          </cell>
        </row>
        <row r="2821">
          <cell r="E2821">
            <v>3978.51</v>
          </cell>
        </row>
        <row r="2822">
          <cell r="E2822">
            <v>5417.57</v>
          </cell>
        </row>
        <row r="2823">
          <cell r="E2823">
            <v>2116.16</v>
          </cell>
        </row>
        <row r="2824">
          <cell r="E2824">
            <v>3079.44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
    </sheetNames>
    <sheetDataSet>
      <sheetData sheetId="0">
        <row r="1">
          <cell r="A1" t="str">
            <v>Order Date</v>
          </cell>
          <cell r="E1" t="str">
            <v>Sales</v>
          </cell>
        </row>
        <row r="2">
          <cell r="A2" t="str">
            <v>2/24/2003 0:00</v>
          </cell>
          <cell r="E2">
            <v>2871</v>
          </cell>
        </row>
        <row r="3">
          <cell r="A3" t="str">
            <v>5/7/2003 0:00</v>
          </cell>
          <cell r="E3">
            <v>2765.9</v>
          </cell>
        </row>
        <row r="4">
          <cell r="A4" t="str">
            <v>7/1/2003 0:00</v>
          </cell>
          <cell r="E4">
            <v>3884.34</v>
          </cell>
        </row>
        <row r="5">
          <cell r="A5" t="str">
            <v>8/25/2003 0:00</v>
          </cell>
          <cell r="E5">
            <v>3746.7</v>
          </cell>
        </row>
        <row r="6">
          <cell r="A6" t="str">
            <v>10/10/2003 0:00</v>
          </cell>
          <cell r="E6">
            <v>5205.2700000000004</v>
          </cell>
        </row>
        <row r="7">
          <cell r="A7" t="str">
            <v>10/28/2003 0:00</v>
          </cell>
          <cell r="E7">
            <v>3479.76</v>
          </cell>
        </row>
        <row r="8">
          <cell r="A8" t="str">
            <v>11/11/2003 0:00</v>
          </cell>
          <cell r="E8">
            <v>2497.77</v>
          </cell>
        </row>
        <row r="9">
          <cell r="A9" t="str">
            <v>11/18/2003 0:00</v>
          </cell>
          <cell r="E9">
            <v>5512.32</v>
          </cell>
        </row>
        <row r="10">
          <cell r="A10" t="str">
            <v>12/1/2003 0:00</v>
          </cell>
          <cell r="E10">
            <v>2168.54</v>
          </cell>
        </row>
        <row r="11">
          <cell r="A11" t="str">
            <v>1/15/2004 0:00</v>
          </cell>
          <cell r="E11">
            <v>4708.4399999999996</v>
          </cell>
        </row>
        <row r="12">
          <cell r="A12" t="str">
            <v>2/20/2004 0:00</v>
          </cell>
          <cell r="E12">
            <v>3965.66</v>
          </cell>
        </row>
        <row r="13">
          <cell r="A13" t="str">
            <v>4/5/2004 0:00</v>
          </cell>
          <cell r="E13">
            <v>2333.12</v>
          </cell>
        </row>
        <row r="14">
          <cell r="A14" t="str">
            <v>5/18/2004 0:00</v>
          </cell>
          <cell r="E14">
            <v>3188.64</v>
          </cell>
        </row>
        <row r="15">
          <cell r="A15" t="str">
            <v>6/28/2004 0:00</v>
          </cell>
          <cell r="E15">
            <v>3676.76</v>
          </cell>
        </row>
        <row r="16">
          <cell r="A16" t="str">
            <v>7/23/2004 0:00</v>
          </cell>
          <cell r="E16">
            <v>4177.3500000000004</v>
          </cell>
        </row>
        <row r="17">
          <cell r="A17" t="str">
            <v>8/27/2004 0:00</v>
          </cell>
          <cell r="E17">
            <v>4099.68</v>
          </cell>
        </row>
        <row r="18">
          <cell r="A18" t="str">
            <v>9/30/2004 0:00</v>
          </cell>
          <cell r="E18">
            <v>2597.39</v>
          </cell>
        </row>
        <row r="19">
          <cell r="A19" t="str">
            <v>10/15/2004 0:00</v>
          </cell>
          <cell r="E19">
            <v>4394.38</v>
          </cell>
        </row>
        <row r="20">
          <cell r="A20" t="str">
            <v>11/2/2004 0:00</v>
          </cell>
          <cell r="E20">
            <v>4358.04</v>
          </cell>
        </row>
        <row r="21">
          <cell r="A21" t="str">
            <v>11/15/2004 0:00</v>
          </cell>
          <cell r="E21">
            <v>4396.1400000000003</v>
          </cell>
        </row>
        <row r="22">
          <cell r="A22" t="str">
            <v>11/24/2004 0:00</v>
          </cell>
          <cell r="E22">
            <v>7737.93</v>
          </cell>
        </row>
        <row r="23">
          <cell r="A23" t="str">
            <v>12/17/2004 0:00</v>
          </cell>
          <cell r="E23">
            <v>1451</v>
          </cell>
        </row>
        <row r="24">
          <cell r="A24" t="str">
            <v>2/3/2005 0:00</v>
          </cell>
          <cell r="E24">
            <v>733.11</v>
          </cell>
        </row>
        <row r="25">
          <cell r="A25" t="str">
            <v>3/3/2005 0:00</v>
          </cell>
          <cell r="E25">
            <v>3207.12</v>
          </cell>
        </row>
        <row r="26">
          <cell r="A26" t="str">
            <v>4/8/2005 0:00</v>
          </cell>
          <cell r="E26">
            <v>2434.56</v>
          </cell>
        </row>
        <row r="27">
          <cell r="A27" t="str">
            <v>5/13/2005 0:00</v>
          </cell>
          <cell r="E27">
            <v>7516.08</v>
          </cell>
        </row>
        <row r="28">
          <cell r="A28" t="str">
            <v>1/29/2003 0:00</v>
          </cell>
          <cell r="E28">
            <v>5404.62</v>
          </cell>
        </row>
        <row r="29">
          <cell r="A29" t="str">
            <v>3/24/2003 0:00</v>
          </cell>
          <cell r="E29">
            <v>7209.11</v>
          </cell>
        </row>
        <row r="30">
          <cell r="A30" t="str">
            <v>5/28/2003 0:00</v>
          </cell>
          <cell r="E30">
            <v>7329.06</v>
          </cell>
        </row>
        <row r="31">
          <cell r="A31" t="str">
            <v>7/24/2003 0:00</v>
          </cell>
          <cell r="E31">
            <v>7374.1</v>
          </cell>
        </row>
        <row r="32">
          <cell r="A32" t="str">
            <v>9/19/2003 0:00</v>
          </cell>
          <cell r="E32">
            <v>10993.5</v>
          </cell>
        </row>
        <row r="33">
          <cell r="A33" t="str">
            <v>10/20/2003 0:00</v>
          </cell>
          <cell r="E33">
            <v>4860.24</v>
          </cell>
        </row>
        <row r="34">
          <cell r="A34" t="str">
            <v>11/6/2003 0:00</v>
          </cell>
          <cell r="E34">
            <v>8014.82</v>
          </cell>
        </row>
        <row r="35">
          <cell r="A35" t="str">
            <v>11/13/2003 0:00</v>
          </cell>
          <cell r="E35">
            <v>5372.57</v>
          </cell>
        </row>
        <row r="36">
          <cell r="A36" t="str">
            <v>11/25/2003 0:00</v>
          </cell>
          <cell r="E36">
            <v>7290.36</v>
          </cell>
        </row>
        <row r="37">
          <cell r="A37" t="str">
            <v>12/5/2003 0:00</v>
          </cell>
          <cell r="E37">
            <v>9064.89</v>
          </cell>
        </row>
        <row r="38">
          <cell r="A38" t="str">
            <v>1/29/2004 0:00</v>
          </cell>
          <cell r="E38">
            <v>6075.3</v>
          </cell>
        </row>
        <row r="39">
          <cell r="A39" t="str">
            <v>3/10/2004 0:00</v>
          </cell>
          <cell r="E39">
            <v>6463.23</v>
          </cell>
        </row>
        <row r="40">
          <cell r="A40" t="str">
            <v>5/4/2004 0:00</v>
          </cell>
          <cell r="E40">
            <v>6120.34</v>
          </cell>
        </row>
        <row r="41">
          <cell r="A41" t="str">
            <v>6/15/2004 0:00</v>
          </cell>
          <cell r="E41">
            <v>7680.64</v>
          </cell>
        </row>
        <row r="42">
          <cell r="A42" t="str">
            <v>7/19/2004 0:00</v>
          </cell>
          <cell r="E42">
            <v>4905.3900000000003</v>
          </cell>
        </row>
        <row r="43">
          <cell r="A43" t="str">
            <v>8/17/2004 0:00</v>
          </cell>
          <cell r="E43">
            <v>8014.82</v>
          </cell>
        </row>
        <row r="44">
          <cell r="A44" t="str">
            <v>9/8/2004 0:00</v>
          </cell>
          <cell r="E44">
            <v>7136.19</v>
          </cell>
        </row>
        <row r="45">
          <cell r="A45" t="str">
            <v>10/11/2004 0:00</v>
          </cell>
          <cell r="E45">
            <v>10172.700000000001</v>
          </cell>
        </row>
        <row r="46">
          <cell r="A46" t="str">
            <v>10/21/2004 0:00</v>
          </cell>
          <cell r="E46">
            <v>11623.7</v>
          </cell>
        </row>
        <row r="47">
          <cell r="A47" t="str">
            <v>11/4/2004 0:00</v>
          </cell>
          <cell r="E47">
            <v>6000.4</v>
          </cell>
        </row>
        <row r="48">
          <cell r="A48" t="str">
            <v>11/18/2004 0:00</v>
          </cell>
          <cell r="E48">
            <v>3003</v>
          </cell>
        </row>
        <row r="49">
          <cell r="A49" t="str">
            <v>11/29/2004 0:00</v>
          </cell>
          <cell r="E49">
            <v>3944.7</v>
          </cell>
        </row>
        <row r="50">
          <cell r="A50" t="str">
            <v>12/10/2004 0:00</v>
          </cell>
          <cell r="E50">
            <v>5691.84</v>
          </cell>
        </row>
        <row r="51">
          <cell r="A51" t="str">
            <v>1/20/2005 0:00</v>
          </cell>
          <cell r="E51">
            <v>4514.92</v>
          </cell>
        </row>
        <row r="52">
          <cell r="A52" t="str">
            <v>2/17/2005 0:00</v>
          </cell>
          <cell r="E52">
            <v>8254.7999999999993</v>
          </cell>
        </row>
        <row r="53">
          <cell r="A53" t="str">
            <v>3/9/2005 0:00</v>
          </cell>
          <cell r="E53">
            <v>2416.56</v>
          </cell>
        </row>
        <row r="54">
          <cell r="A54" t="str">
            <v>5/1/2005 0:00</v>
          </cell>
          <cell r="E54">
            <v>4140.2299999999996</v>
          </cell>
        </row>
        <row r="55">
          <cell r="A55" t="str">
            <v>5/31/2005 0:00</v>
          </cell>
          <cell r="E55">
            <v>12001</v>
          </cell>
        </row>
        <row r="56">
          <cell r="A56" t="str">
            <v>2/24/2003 0:00</v>
          </cell>
          <cell r="E56">
            <v>3896.49</v>
          </cell>
        </row>
        <row r="57">
          <cell r="A57" t="str">
            <v>4/29/2003 0:00</v>
          </cell>
          <cell r="E57">
            <v>2793.86</v>
          </cell>
        </row>
        <row r="58">
          <cell r="A58" t="str">
            <v>7/1/2003 0:00</v>
          </cell>
          <cell r="E58">
            <v>3307.77</v>
          </cell>
        </row>
        <row r="59">
          <cell r="A59" t="str">
            <v>8/25/2003 0:00</v>
          </cell>
          <cell r="E59">
            <v>5192.95</v>
          </cell>
        </row>
        <row r="60">
          <cell r="A60" t="str">
            <v>10/10/2003 0:00</v>
          </cell>
          <cell r="E60">
            <v>5016.83</v>
          </cell>
        </row>
        <row r="61">
          <cell r="A61" t="str">
            <v>10/28/2003 0:00</v>
          </cell>
          <cell r="E61">
            <v>3660.93</v>
          </cell>
        </row>
        <row r="62">
          <cell r="A62" t="str">
            <v>11/11/2003 0:00</v>
          </cell>
          <cell r="E62">
            <v>4695.6000000000004</v>
          </cell>
        </row>
        <row r="63">
          <cell r="A63" t="str">
            <v>11/18/2003 0:00</v>
          </cell>
          <cell r="E63">
            <v>3660.92</v>
          </cell>
        </row>
        <row r="64">
          <cell r="A64" t="str">
            <v>12/1/2003 0:00</v>
          </cell>
          <cell r="E64">
            <v>3025.92</v>
          </cell>
        </row>
        <row r="65">
          <cell r="A65" t="str">
            <v>1/12/2004 0:00</v>
          </cell>
          <cell r="E65">
            <v>3009.09</v>
          </cell>
        </row>
        <row r="66">
          <cell r="A66" t="str">
            <v>2/20/2004 0:00</v>
          </cell>
          <cell r="E66">
            <v>5422.39</v>
          </cell>
        </row>
        <row r="67">
          <cell r="A67" t="str">
            <v>4/3/2004 0:00</v>
          </cell>
          <cell r="E67">
            <v>2852.08</v>
          </cell>
        </row>
        <row r="68">
          <cell r="A68" t="str">
            <v>5/18/2004 0:00</v>
          </cell>
          <cell r="E68">
            <v>5756.52</v>
          </cell>
        </row>
        <row r="69">
          <cell r="A69" t="str">
            <v>6/28/2004 0:00</v>
          </cell>
          <cell r="E69">
            <v>4472</v>
          </cell>
        </row>
        <row r="70">
          <cell r="A70" t="str">
            <v>7/23/2004 0:00</v>
          </cell>
          <cell r="E70">
            <v>2904.44</v>
          </cell>
        </row>
        <row r="71">
          <cell r="A71" t="str">
            <v>8/27/2004 0:00</v>
          </cell>
          <cell r="E71">
            <v>6484.59</v>
          </cell>
        </row>
        <row r="72">
          <cell r="A72" t="str">
            <v>9/27/2004 0:00</v>
          </cell>
          <cell r="E72">
            <v>3757.26</v>
          </cell>
        </row>
        <row r="73">
          <cell r="A73" t="str">
            <v>10/15/2004 0:00</v>
          </cell>
          <cell r="E73">
            <v>4043.96</v>
          </cell>
        </row>
        <row r="74">
          <cell r="A74" t="str">
            <v>11/2/2004 0:00</v>
          </cell>
          <cell r="E74">
            <v>5566.5</v>
          </cell>
        </row>
        <row r="75">
          <cell r="A75" t="str">
            <v>11/15/2004 0:00</v>
          </cell>
          <cell r="E75">
            <v>3176</v>
          </cell>
        </row>
        <row r="76">
          <cell r="A76" t="str">
            <v>11/23/2004 0:00</v>
          </cell>
          <cell r="E76">
            <v>2756.8</v>
          </cell>
        </row>
        <row r="77">
          <cell r="A77" t="str">
            <v>12/17/2004 0:00</v>
          </cell>
          <cell r="E77">
            <v>1329.9</v>
          </cell>
        </row>
        <row r="78">
          <cell r="A78" t="str">
            <v>2/2/2005 0:00</v>
          </cell>
          <cell r="E78">
            <v>5288.01</v>
          </cell>
        </row>
        <row r="79">
          <cell r="A79" t="str">
            <v>3/3/2005 0:00</v>
          </cell>
          <cell r="E79">
            <v>2225.5</v>
          </cell>
        </row>
        <row r="80">
          <cell r="A80" t="str">
            <v>4/7/2005 0:00</v>
          </cell>
          <cell r="E80">
            <v>5833.8</v>
          </cell>
        </row>
        <row r="81">
          <cell r="A81" t="str">
            <v>5/13/2005 0:00</v>
          </cell>
          <cell r="E81">
            <v>5887.35</v>
          </cell>
        </row>
        <row r="82">
          <cell r="A82" t="str">
            <v>2/24/2003 0:00</v>
          </cell>
          <cell r="E82">
            <v>6065.55</v>
          </cell>
        </row>
        <row r="83">
          <cell r="A83" t="str">
            <v>4/29/2003 0:00</v>
          </cell>
          <cell r="E83">
            <v>9264.86</v>
          </cell>
        </row>
        <row r="84">
          <cell r="A84" t="str">
            <v>7/1/2003 0:00</v>
          </cell>
          <cell r="E84">
            <v>7023.98</v>
          </cell>
        </row>
        <row r="85">
          <cell r="A85" t="str">
            <v>8/25/2003 0:00</v>
          </cell>
          <cell r="E85">
            <v>5176.38</v>
          </cell>
        </row>
        <row r="86">
          <cell r="A86" t="str">
            <v>10/10/2003 0:00</v>
          </cell>
          <cell r="E86">
            <v>4132.7</v>
          </cell>
        </row>
        <row r="87">
          <cell r="A87" t="str">
            <v>10/28/2003 0:00</v>
          </cell>
          <cell r="E87">
            <v>4183</v>
          </cell>
        </row>
        <row r="88">
          <cell r="A88" t="str">
            <v>11/11/2003 0:00</v>
          </cell>
          <cell r="E88">
            <v>8892.9</v>
          </cell>
        </row>
        <row r="89">
          <cell r="A89" t="str">
            <v>11/18/2003 0:00</v>
          </cell>
          <cell r="E89">
            <v>8714.7000000000007</v>
          </cell>
        </row>
        <row r="90">
          <cell r="A90" t="str">
            <v>12/1/2003 0:00</v>
          </cell>
          <cell r="E90">
            <v>8065.89</v>
          </cell>
        </row>
        <row r="91">
          <cell r="A91" t="str">
            <v>1/12/2004 0:00</v>
          </cell>
          <cell r="E91">
            <v>6123.4</v>
          </cell>
        </row>
        <row r="92">
          <cell r="A92" t="str">
            <v>2/20/2004 0:00</v>
          </cell>
          <cell r="E92">
            <v>9774.0300000000007</v>
          </cell>
        </row>
        <row r="93">
          <cell r="A93" t="str">
            <v>4/5/2004 0:00</v>
          </cell>
          <cell r="E93">
            <v>7023.9</v>
          </cell>
        </row>
        <row r="94">
          <cell r="A94" t="str">
            <v>5/18/2004 0:00</v>
          </cell>
          <cell r="E94">
            <v>7078.23</v>
          </cell>
        </row>
        <row r="95">
          <cell r="A95" t="str">
            <v>6/28/2004 0:00</v>
          </cell>
          <cell r="E95">
            <v>8336.94</v>
          </cell>
        </row>
        <row r="96">
          <cell r="A96" t="str">
            <v>7/23/2004 0:00</v>
          </cell>
          <cell r="E96">
            <v>6901.92</v>
          </cell>
        </row>
        <row r="97">
          <cell r="A97" t="str">
            <v>8/27/2004 0:00</v>
          </cell>
          <cell r="E97">
            <v>5438.07</v>
          </cell>
        </row>
        <row r="98">
          <cell r="A98" t="str">
            <v>9/30/2004 0:00</v>
          </cell>
          <cell r="E98">
            <v>6683.34</v>
          </cell>
        </row>
        <row r="99">
          <cell r="A99" t="str">
            <v>10/15/2004 0:00</v>
          </cell>
          <cell r="E99">
            <v>4570.3999999999996</v>
          </cell>
        </row>
        <row r="100">
          <cell r="A100" t="str">
            <v>11/2/2004 0:00</v>
          </cell>
          <cell r="E100">
            <v>7667.14</v>
          </cell>
        </row>
        <row r="101">
          <cell r="A101" t="str">
            <v>11/15/2004 0:00</v>
          </cell>
          <cell r="E101">
            <v>5868.2</v>
          </cell>
        </row>
        <row r="102">
          <cell r="A102" t="str">
            <v>11/23/2004 0:00</v>
          </cell>
          <cell r="E102">
            <v>2990.13</v>
          </cell>
        </row>
        <row r="103">
          <cell r="A103" t="str">
            <v>1/5/2005 0:00</v>
          </cell>
          <cell r="E103">
            <v>3664.1</v>
          </cell>
        </row>
        <row r="104">
          <cell r="A104" t="str">
            <v>2/2/2005 0:00</v>
          </cell>
          <cell r="E104">
            <v>3834.38</v>
          </cell>
        </row>
        <row r="105">
          <cell r="A105" t="str">
            <v>3/3/2005 0:00</v>
          </cell>
          <cell r="E105">
            <v>1822.17</v>
          </cell>
        </row>
        <row r="106">
          <cell r="A106" t="str">
            <v>4/8/2005 0:00</v>
          </cell>
          <cell r="E106">
            <v>11886.6</v>
          </cell>
        </row>
        <row r="107">
          <cell r="A107" t="str">
            <v>5/13/2005 0:00</v>
          </cell>
          <cell r="E107">
            <v>9218.16</v>
          </cell>
        </row>
        <row r="108">
          <cell r="A108" t="str">
            <v>2/11/2003 0:00</v>
          </cell>
          <cell r="E108">
            <v>7208</v>
          </cell>
        </row>
        <row r="109">
          <cell r="A109" t="str">
            <v>4/28/2003 0:00</v>
          </cell>
          <cell r="E109">
            <v>5004.8</v>
          </cell>
        </row>
        <row r="110">
          <cell r="A110" t="str">
            <v>6/12/2003 0:00</v>
          </cell>
          <cell r="E110">
            <v>4398.24</v>
          </cell>
        </row>
        <row r="111">
          <cell r="A111" t="str">
            <v>8/10/2003 0:00</v>
          </cell>
          <cell r="E111">
            <v>5597.76</v>
          </cell>
        </row>
        <row r="112">
          <cell r="A112" t="str">
            <v>10/6/2003 0:00</v>
          </cell>
          <cell r="E112">
            <v>4526.08</v>
          </cell>
        </row>
        <row r="113">
          <cell r="A113" t="str">
            <v>10/23/2003 0:00</v>
          </cell>
          <cell r="E113">
            <v>5924.16</v>
          </cell>
        </row>
        <row r="114">
          <cell r="A114" t="str">
            <v>11/8/2003 0:00</v>
          </cell>
          <cell r="E114">
            <v>3492.48</v>
          </cell>
        </row>
        <row r="115">
          <cell r="A115" t="str">
            <v>11/14/2003 0:00</v>
          </cell>
          <cell r="E115">
            <v>3854.24</v>
          </cell>
        </row>
        <row r="116">
          <cell r="A116" t="str">
            <v>11/26/2003 0:00</v>
          </cell>
          <cell r="E116">
            <v>5324.4</v>
          </cell>
        </row>
        <row r="117">
          <cell r="A117" t="str">
            <v>1/9/2004 0:00</v>
          </cell>
          <cell r="E117">
            <v>5197.92</v>
          </cell>
        </row>
        <row r="118">
          <cell r="A118" t="str">
            <v>2/19/2004 0:00</v>
          </cell>
          <cell r="E118">
            <v>5997.6</v>
          </cell>
        </row>
        <row r="119">
          <cell r="A119" t="str">
            <v>5/7/2004 0:00</v>
          </cell>
          <cell r="E119">
            <v>2910.4</v>
          </cell>
        </row>
        <row r="120">
          <cell r="A120" t="str">
            <v>6/17/2004 0:00</v>
          </cell>
          <cell r="E120">
            <v>3378.24</v>
          </cell>
        </row>
        <row r="121">
          <cell r="A121" t="str">
            <v>7/21/2004 0:00</v>
          </cell>
          <cell r="E121">
            <v>3508.8</v>
          </cell>
        </row>
        <row r="122">
          <cell r="A122" t="str">
            <v>8/20/2004 0:00</v>
          </cell>
          <cell r="E122">
            <v>2992</v>
          </cell>
        </row>
        <row r="123">
          <cell r="A123" t="str">
            <v>9/10/2004 0:00</v>
          </cell>
          <cell r="E123">
            <v>3427.2</v>
          </cell>
        </row>
        <row r="124">
          <cell r="A124" t="str">
            <v>10/14/2004 0:00</v>
          </cell>
          <cell r="E124">
            <v>2692.8</v>
          </cell>
        </row>
        <row r="125">
          <cell r="A125" t="str">
            <v>11/1/2004 0:00</v>
          </cell>
          <cell r="E125">
            <v>4128.96</v>
          </cell>
        </row>
        <row r="126">
          <cell r="A126" t="str">
            <v>11/5/2004 0:00</v>
          </cell>
          <cell r="E126">
            <v>3051.71</v>
          </cell>
        </row>
        <row r="127">
          <cell r="A127" t="str">
            <v>11/21/2004 0:00</v>
          </cell>
          <cell r="E127">
            <v>1201.25</v>
          </cell>
        </row>
        <row r="128">
          <cell r="A128" t="str">
            <v>12/2/2004 0:00</v>
          </cell>
          <cell r="E128">
            <v>1962.22</v>
          </cell>
        </row>
        <row r="129">
          <cell r="A129" t="str">
            <v>12/15/2004 0:00</v>
          </cell>
          <cell r="E129">
            <v>2624.64</v>
          </cell>
        </row>
        <row r="130">
          <cell r="A130" t="str">
            <v>1/31/2005 0:00</v>
          </cell>
          <cell r="E130">
            <v>4046.25</v>
          </cell>
        </row>
        <row r="131">
          <cell r="A131" t="str">
            <v>2/23/2005 0:00</v>
          </cell>
          <cell r="E131">
            <v>4846.7</v>
          </cell>
        </row>
        <row r="132">
          <cell r="A132" t="str">
            <v>3/17/2005 0:00</v>
          </cell>
          <cell r="E132">
            <v>3370.56</v>
          </cell>
        </row>
        <row r="133">
          <cell r="A133" t="str">
            <v>4/1/2005 0:00</v>
          </cell>
          <cell r="E133">
            <v>9661.44</v>
          </cell>
        </row>
        <row r="134">
          <cell r="A134" t="str">
            <v>5/6/2005 0:00</v>
          </cell>
          <cell r="E134">
            <v>2764.88</v>
          </cell>
        </row>
        <row r="135">
          <cell r="A135" t="str">
            <v>1/29/2003 0:00</v>
          </cell>
          <cell r="E135">
            <v>5398.26</v>
          </cell>
        </row>
        <row r="136">
          <cell r="A136" t="str">
            <v>4/1/2003 0:00</v>
          </cell>
          <cell r="E136">
            <v>4305.28</v>
          </cell>
        </row>
        <row r="137">
          <cell r="A137" t="str">
            <v>5/28/2003 0:00</v>
          </cell>
          <cell r="E137">
            <v>3347.74</v>
          </cell>
        </row>
        <row r="138">
          <cell r="A138" t="str">
            <v>7/24/2003 0:00</v>
          </cell>
          <cell r="E138">
            <v>3188.12</v>
          </cell>
        </row>
        <row r="139">
          <cell r="A139" t="str">
            <v>9/19/2003 0:00</v>
          </cell>
          <cell r="E139">
            <v>3191.2</v>
          </cell>
        </row>
        <row r="140">
          <cell r="A140" t="str">
            <v>10/21/2003 0:00</v>
          </cell>
          <cell r="E140">
            <v>3536.82</v>
          </cell>
        </row>
        <row r="141">
          <cell r="A141" t="str">
            <v>11/6/2003 0:00</v>
          </cell>
          <cell r="E141">
            <v>5362.83</v>
          </cell>
        </row>
        <row r="142">
          <cell r="A142" t="str">
            <v>11/13/2003 0:00</v>
          </cell>
          <cell r="E142">
            <v>3433.36</v>
          </cell>
        </row>
        <row r="143">
          <cell r="A143" t="str">
            <v>11/25/2003 0:00</v>
          </cell>
          <cell r="E143">
            <v>4263.74</v>
          </cell>
        </row>
        <row r="144">
          <cell r="A144" t="str">
            <v>12/9/2003 0:00</v>
          </cell>
          <cell r="E144">
            <v>4076.19</v>
          </cell>
        </row>
        <row r="145">
          <cell r="A145" t="str">
            <v>2/4/2004 0:00</v>
          </cell>
          <cell r="E145">
            <v>7020.48</v>
          </cell>
        </row>
        <row r="146">
          <cell r="A146" t="str">
            <v>3/11/2004 0:00</v>
          </cell>
          <cell r="E146">
            <v>6426.5</v>
          </cell>
        </row>
        <row r="147">
          <cell r="A147" t="str">
            <v>5/4/2004 0:00</v>
          </cell>
          <cell r="E147">
            <v>4591.72</v>
          </cell>
        </row>
        <row r="148">
          <cell r="A148" t="str">
            <v>6/15/2004 0:00</v>
          </cell>
          <cell r="E148">
            <v>4033.38</v>
          </cell>
        </row>
        <row r="149">
          <cell r="A149" t="str">
            <v>7/19/2004 0:00</v>
          </cell>
          <cell r="E149">
            <v>4302.08</v>
          </cell>
        </row>
        <row r="150">
          <cell r="A150" t="str">
            <v>8/19/2004 0:00</v>
          </cell>
          <cell r="E150">
            <v>7020.64</v>
          </cell>
        </row>
        <row r="151">
          <cell r="A151" t="str">
            <v>9/8/2004 0:00</v>
          </cell>
          <cell r="E151">
            <v>3855.9</v>
          </cell>
        </row>
        <row r="152">
          <cell r="A152" t="str">
            <v>10/13/2004 0:00</v>
          </cell>
          <cell r="E152">
            <v>6680.78</v>
          </cell>
        </row>
        <row r="153">
          <cell r="A153" t="str">
            <v>10/22/2004 0:00</v>
          </cell>
          <cell r="E153">
            <v>6678</v>
          </cell>
        </row>
        <row r="154">
          <cell r="A154" t="str">
            <v>11/4/2004 0:00</v>
          </cell>
          <cell r="E154">
            <v>2851.54</v>
          </cell>
        </row>
        <row r="155">
          <cell r="A155" t="str">
            <v>11/19/2004 0:00</v>
          </cell>
          <cell r="E155">
            <v>3188.12</v>
          </cell>
        </row>
        <row r="156">
          <cell r="A156" t="str">
            <v>11/29/2004 0:00</v>
          </cell>
          <cell r="E156">
            <v>4428</v>
          </cell>
        </row>
        <row r="157">
          <cell r="A157" t="str">
            <v>12/10/2004 0:00</v>
          </cell>
          <cell r="E157">
            <v>5780.92</v>
          </cell>
        </row>
        <row r="158">
          <cell r="A158" t="str">
            <v>1/20/2005 0:00</v>
          </cell>
          <cell r="E158">
            <v>2297.0500000000002</v>
          </cell>
        </row>
        <row r="159">
          <cell r="A159" t="str">
            <v>2/17/2005 0:00</v>
          </cell>
          <cell r="E159">
            <v>6231.54</v>
          </cell>
        </row>
        <row r="160">
          <cell r="A160" t="str">
            <v>3/9/2005 0:00</v>
          </cell>
          <cell r="E160">
            <v>1735.3</v>
          </cell>
        </row>
        <row r="161">
          <cell r="A161" t="str">
            <v>5/1/2005 0:00</v>
          </cell>
          <cell r="E161">
            <v>4427.7299999999996</v>
          </cell>
        </row>
        <row r="162">
          <cell r="A162" t="str">
            <v>5/31/2005 0:00</v>
          </cell>
          <cell r="E162">
            <v>5894.94</v>
          </cell>
        </row>
        <row r="163">
          <cell r="A163" t="str">
            <v>3/3/2003 0:00</v>
          </cell>
          <cell r="E163">
            <v>5265.15</v>
          </cell>
        </row>
        <row r="164">
          <cell r="A164" t="str">
            <v>5/8/2003 0:00</v>
          </cell>
          <cell r="E164">
            <v>7599.9</v>
          </cell>
        </row>
        <row r="165">
          <cell r="A165" t="str">
            <v>7/2/2003 0:00</v>
          </cell>
          <cell r="E165">
            <v>8008.56</v>
          </cell>
        </row>
        <row r="166">
          <cell r="A166" t="str">
            <v>9/5/2003 0:00</v>
          </cell>
          <cell r="E166">
            <v>9245.76</v>
          </cell>
        </row>
        <row r="167">
          <cell r="A167" t="str">
            <v>10/10/2003 0:00</v>
          </cell>
          <cell r="E167">
            <v>8296.35</v>
          </cell>
        </row>
        <row r="168">
          <cell r="A168" t="str">
            <v>11/4/2003 0:00</v>
          </cell>
          <cell r="E168">
            <v>5019.8999999999996</v>
          </cell>
        </row>
        <row r="169">
          <cell r="A169" t="str">
            <v>11/12/2003 0:00</v>
          </cell>
          <cell r="E169">
            <v>5411.07</v>
          </cell>
        </row>
        <row r="170">
          <cell r="A170" t="str">
            <v>11/20/2003 0:00</v>
          </cell>
          <cell r="E170">
            <v>3840.9</v>
          </cell>
        </row>
        <row r="171">
          <cell r="A171" t="str">
            <v>12/2/2003 0:00</v>
          </cell>
          <cell r="E171">
            <v>3930.4</v>
          </cell>
        </row>
        <row r="172">
          <cell r="A172" t="str">
            <v>1/15/2004 0:00</v>
          </cell>
          <cell r="E172">
            <v>7498.9</v>
          </cell>
        </row>
        <row r="173">
          <cell r="A173" t="str">
            <v>2/22/2004 0:00</v>
          </cell>
          <cell r="E173">
            <v>4517.91</v>
          </cell>
        </row>
        <row r="174">
          <cell r="A174" t="str">
            <v>4/9/2004 0:00</v>
          </cell>
          <cell r="E174">
            <v>5774.72</v>
          </cell>
        </row>
        <row r="175">
          <cell r="A175" t="str">
            <v>6/1/2004 0:00</v>
          </cell>
          <cell r="E175">
            <v>3922.56</v>
          </cell>
        </row>
        <row r="176">
          <cell r="A176" t="str">
            <v>7/6/2004 0:00</v>
          </cell>
          <cell r="E176">
            <v>9160.36</v>
          </cell>
        </row>
        <row r="177">
          <cell r="A177" t="str">
            <v>8/2/2004 0:00</v>
          </cell>
          <cell r="E177">
            <v>9631</v>
          </cell>
        </row>
        <row r="178">
          <cell r="A178" t="str">
            <v>8/30/2004 0:00</v>
          </cell>
          <cell r="E178">
            <v>3432.24</v>
          </cell>
        </row>
        <row r="179">
          <cell r="A179" t="str">
            <v>10/4/2003 0:00</v>
          </cell>
          <cell r="E179">
            <v>5521.89</v>
          </cell>
        </row>
        <row r="180">
          <cell r="A180" t="str">
            <v>10/16/2004 0:00</v>
          </cell>
          <cell r="E180">
            <v>6934.62</v>
          </cell>
        </row>
        <row r="181">
          <cell r="A181" t="str">
            <v>11/3/2004 0:00</v>
          </cell>
          <cell r="E181">
            <v>6876.11</v>
          </cell>
        </row>
        <row r="182">
          <cell r="A182" t="str">
            <v>11/15/2004 0:00</v>
          </cell>
          <cell r="E182">
            <v>2930.27</v>
          </cell>
        </row>
        <row r="183">
          <cell r="A183" t="str">
            <v>11/24/2004 0:00</v>
          </cell>
          <cell r="E183">
            <v>3584.25</v>
          </cell>
        </row>
        <row r="184">
          <cell r="A184" t="str">
            <v>1/6/2005 0:00</v>
          </cell>
          <cell r="E184">
            <v>2817.87</v>
          </cell>
        </row>
        <row r="185">
          <cell r="A185" t="str">
            <v>2/3/2005 0:00</v>
          </cell>
          <cell r="E185">
            <v>3420</v>
          </cell>
        </row>
        <row r="186">
          <cell r="A186" t="str">
            <v>3/3/2005 0:00</v>
          </cell>
          <cell r="E186">
            <v>2575.04</v>
          </cell>
        </row>
        <row r="187">
          <cell r="A187" t="str">
            <v>5/17/2005 0:00</v>
          </cell>
          <cell r="E187">
            <v>1961.28</v>
          </cell>
        </row>
        <row r="188">
          <cell r="A188" t="str">
            <v>2/11/2003 0:00</v>
          </cell>
          <cell r="E188">
            <v>8690.36</v>
          </cell>
        </row>
        <row r="189">
          <cell r="A189" t="str">
            <v>4/16/2003 0:00</v>
          </cell>
          <cell r="E189">
            <v>6034.38</v>
          </cell>
        </row>
        <row r="190">
          <cell r="A190" t="str">
            <v>6/3/2003 0:00</v>
          </cell>
          <cell r="E190">
            <v>11279.2</v>
          </cell>
        </row>
        <row r="191">
          <cell r="A191" t="str">
            <v>8/8/2003 0:00</v>
          </cell>
          <cell r="E191">
            <v>8023.29</v>
          </cell>
        </row>
        <row r="192">
          <cell r="A192" t="str">
            <v>9/28/2003 0:00</v>
          </cell>
          <cell r="E192">
            <v>4904</v>
          </cell>
        </row>
        <row r="193">
          <cell r="A193" t="str">
            <v>10/22/2003 0:00</v>
          </cell>
          <cell r="E193">
            <v>8594.52</v>
          </cell>
        </row>
        <row r="194">
          <cell r="A194" t="str">
            <v>11/6/2003 0:00</v>
          </cell>
          <cell r="E194">
            <v>7474.5</v>
          </cell>
        </row>
        <row r="195">
          <cell r="A195" t="str">
            <v>11/14/2003 0:00</v>
          </cell>
          <cell r="E195">
            <v>3883.74</v>
          </cell>
        </row>
        <row r="196">
          <cell r="A196" t="str">
            <v>11/26/2003 0:00</v>
          </cell>
          <cell r="E196">
            <v>8887.7000000000007</v>
          </cell>
        </row>
        <row r="197">
          <cell r="A197" t="str">
            <v>1/2/2004 0:00</v>
          </cell>
          <cell r="E197">
            <v>8602.92</v>
          </cell>
        </row>
        <row r="198">
          <cell r="A198" t="str">
            <v>2/12/2004 0:00</v>
          </cell>
          <cell r="E198">
            <v>7181.44</v>
          </cell>
        </row>
        <row r="199">
          <cell r="A199" t="str">
            <v>3/19/2004 0:00</v>
          </cell>
          <cell r="E199">
            <v>8378.58</v>
          </cell>
        </row>
        <row r="200">
          <cell r="A200" t="str">
            <v>5/5/2004 0:00</v>
          </cell>
          <cell r="E200">
            <v>10606.2</v>
          </cell>
        </row>
        <row r="201">
          <cell r="A201" t="str">
            <v>7/20/2004 0:00</v>
          </cell>
          <cell r="E201">
            <v>5818.4</v>
          </cell>
        </row>
        <row r="202">
          <cell r="A202" t="str">
            <v>8/20/2004 0:00</v>
          </cell>
          <cell r="E202">
            <v>7071.27</v>
          </cell>
        </row>
        <row r="203">
          <cell r="A203" t="str">
            <v>9/9/2004 0:00</v>
          </cell>
          <cell r="E203">
            <v>8411.56</v>
          </cell>
        </row>
        <row r="204">
          <cell r="A204" t="str">
            <v>10/14/2004 0:00</v>
          </cell>
          <cell r="E204">
            <v>6570.76</v>
          </cell>
        </row>
        <row r="205">
          <cell r="A205" t="str">
            <v>10/22/2004 0:00</v>
          </cell>
          <cell r="E205">
            <v>7975.44</v>
          </cell>
        </row>
        <row r="206">
          <cell r="A206" t="str">
            <v>11/5/2004 0:00</v>
          </cell>
          <cell r="E206">
            <v>2688</v>
          </cell>
        </row>
        <row r="207">
          <cell r="A207" t="str">
            <v>11/20/2004 0:00</v>
          </cell>
          <cell r="E207">
            <v>1888.26</v>
          </cell>
        </row>
        <row r="208">
          <cell r="A208" t="str">
            <v>11/1/2004 0:00</v>
          </cell>
          <cell r="E208">
            <v>2513.2800000000002</v>
          </cell>
        </row>
        <row r="209">
          <cell r="A209" t="str">
            <v>12/15/2004 0:00</v>
          </cell>
          <cell r="E209">
            <v>4764.4799999999996</v>
          </cell>
        </row>
        <row r="210">
          <cell r="A210" t="str">
            <v>1/23/2005 0:00</v>
          </cell>
          <cell r="E210">
            <v>3560.64</v>
          </cell>
        </row>
        <row r="211">
          <cell r="A211" t="str">
            <v>2/17/2005 0:00</v>
          </cell>
          <cell r="E211">
            <v>3823.64</v>
          </cell>
        </row>
        <row r="212">
          <cell r="A212" t="str">
            <v>3/17/2005 0:00</v>
          </cell>
          <cell r="E212">
            <v>2280.96</v>
          </cell>
        </row>
        <row r="213">
          <cell r="A213" t="str">
            <v>5/5/2005 0:00</v>
          </cell>
          <cell r="E213">
            <v>8677.7999999999993</v>
          </cell>
        </row>
        <row r="214">
          <cell r="A214" t="str">
            <v>1/29/2003 0:00</v>
          </cell>
          <cell r="E214">
            <v>3394.98</v>
          </cell>
        </row>
        <row r="215">
          <cell r="A215" t="str">
            <v>3/26/2003 0:00</v>
          </cell>
          <cell r="E215">
            <v>3415.44</v>
          </cell>
        </row>
        <row r="216">
          <cell r="A216" t="str">
            <v>5/28/2003 0:00</v>
          </cell>
          <cell r="E216">
            <v>2439.5700000000002</v>
          </cell>
        </row>
        <row r="217">
          <cell r="A217" t="str">
            <v>7/24/2003 0:00</v>
          </cell>
          <cell r="E217">
            <v>4829.8</v>
          </cell>
        </row>
        <row r="218">
          <cell r="A218" t="str">
            <v>9/19/2003 0:00</v>
          </cell>
          <cell r="E218">
            <v>4100.1000000000004</v>
          </cell>
        </row>
        <row r="219">
          <cell r="A219" t="str">
            <v>10/21/2003 0:00</v>
          </cell>
          <cell r="E219">
            <v>6563.06</v>
          </cell>
        </row>
        <row r="220">
          <cell r="A220" t="str">
            <v>11/6/2003 0:00</v>
          </cell>
          <cell r="E220">
            <v>6817.22</v>
          </cell>
        </row>
        <row r="221">
          <cell r="A221" t="str">
            <v>11/13/2003 0:00</v>
          </cell>
          <cell r="E221">
            <v>6163.94</v>
          </cell>
        </row>
        <row r="222">
          <cell r="A222" t="str">
            <v>11/25/2003 0:00</v>
          </cell>
          <cell r="E222">
            <v>4933.92</v>
          </cell>
        </row>
        <row r="223">
          <cell r="A223" t="str">
            <v>12/5/2003 0:00</v>
          </cell>
          <cell r="E223">
            <v>4056.36</v>
          </cell>
        </row>
        <row r="224">
          <cell r="A224" t="str">
            <v>2/2/2004 0:00</v>
          </cell>
          <cell r="E224">
            <v>5759.42</v>
          </cell>
        </row>
        <row r="225">
          <cell r="A225" t="str">
            <v>3/11/2004 0:00</v>
          </cell>
          <cell r="E225">
            <v>3451</v>
          </cell>
        </row>
        <row r="226">
          <cell r="A226" t="str">
            <v>5/4/2004 0:00</v>
          </cell>
          <cell r="E226">
            <v>5920.4</v>
          </cell>
        </row>
        <row r="227">
          <cell r="A227" t="str">
            <v>6/15/2004 0:00</v>
          </cell>
          <cell r="E227">
            <v>6668.24</v>
          </cell>
        </row>
        <row r="228">
          <cell r="A228" t="str">
            <v>7/19/2004 0:00</v>
          </cell>
          <cell r="E228">
            <v>4094.72</v>
          </cell>
        </row>
        <row r="229">
          <cell r="A229" t="str">
            <v>8/19/2004 0:00</v>
          </cell>
          <cell r="E229">
            <v>2938.5</v>
          </cell>
        </row>
        <row r="230">
          <cell r="A230" t="str">
            <v>9/8/2004 0:00</v>
          </cell>
          <cell r="E230">
            <v>6387.8</v>
          </cell>
        </row>
        <row r="231">
          <cell r="A231" t="str">
            <v>10/11/2004 0:00</v>
          </cell>
          <cell r="E231">
            <v>6396</v>
          </cell>
        </row>
        <row r="232">
          <cell r="A232" t="str">
            <v>10/22/2004 0:00</v>
          </cell>
          <cell r="E232">
            <v>2669.1</v>
          </cell>
        </row>
        <row r="233">
          <cell r="A233" t="str">
            <v>11/4/2004 0:00</v>
          </cell>
          <cell r="E233">
            <v>4784.13</v>
          </cell>
        </row>
        <row r="234">
          <cell r="A234" t="str">
            <v>11/18/2004 0:00</v>
          </cell>
          <cell r="E234">
            <v>3273.93</v>
          </cell>
        </row>
        <row r="235">
          <cell r="A235" t="str">
            <v>11/29/2004 0:00</v>
          </cell>
          <cell r="E235">
            <v>3586.43</v>
          </cell>
        </row>
        <row r="236">
          <cell r="A236" t="str">
            <v>12/10/2004 0:00</v>
          </cell>
          <cell r="E236">
            <v>5960.36</v>
          </cell>
        </row>
        <row r="237">
          <cell r="A237" t="str">
            <v>1/20/2005 0:00</v>
          </cell>
          <cell r="E237">
            <v>8470.14</v>
          </cell>
        </row>
        <row r="238">
          <cell r="A238" t="str">
            <v>2/17/2005 0:00</v>
          </cell>
          <cell r="E238">
            <v>2952</v>
          </cell>
        </row>
        <row r="239">
          <cell r="A239" t="str">
            <v>3/9/2005 0:00</v>
          </cell>
          <cell r="E239">
            <v>2464.8000000000002</v>
          </cell>
        </row>
        <row r="240">
          <cell r="A240" t="str">
            <v>5/1/2005 0:00</v>
          </cell>
          <cell r="E240">
            <v>6232</v>
          </cell>
        </row>
        <row r="241">
          <cell r="A241" t="str">
            <v>5/31/2005 0:00</v>
          </cell>
          <cell r="E241">
            <v>7969.36</v>
          </cell>
        </row>
        <row r="242">
          <cell r="A242" t="str">
            <v>2/24/2003 0:00</v>
          </cell>
          <cell r="E242">
            <v>3036.6</v>
          </cell>
        </row>
        <row r="243">
          <cell r="A243" t="str">
            <v>5/7/2003 0:00</v>
          </cell>
          <cell r="E243">
            <v>8284</v>
          </cell>
        </row>
        <row r="244">
          <cell r="A244" t="str">
            <v>7/1/2003 0:00</v>
          </cell>
          <cell r="E244">
            <v>2711.2</v>
          </cell>
        </row>
        <row r="245">
          <cell r="A245" t="str">
            <v>8/25/2003 0:00</v>
          </cell>
          <cell r="E245">
            <v>8339.7999999999993</v>
          </cell>
        </row>
        <row r="246">
          <cell r="A246" t="str">
            <v>10/10/2003 0:00</v>
          </cell>
          <cell r="E246">
            <v>6238.84</v>
          </cell>
        </row>
        <row r="247">
          <cell r="A247" t="str">
            <v>11/4/2003 0:00</v>
          </cell>
          <cell r="E247">
            <v>4639.25</v>
          </cell>
        </row>
        <row r="248">
          <cell r="A248" t="str">
            <v>11/11/2003 0:00</v>
          </cell>
          <cell r="E248">
            <v>6747.6</v>
          </cell>
        </row>
        <row r="249">
          <cell r="A249" t="str">
            <v>11/18/2003 0:00</v>
          </cell>
          <cell r="E249">
            <v>4512.4799999999996</v>
          </cell>
        </row>
        <row r="250">
          <cell r="A250" t="str">
            <v>12/1/2003 0:00</v>
          </cell>
          <cell r="E250">
            <v>4029</v>
          </cell>
        </row>
        <row r="251">
          <cell r="A251" t="str">
            <v>1/15/2004 0:00</v>
          </cell>
          <cell r="E251">
            <v>4771.8</v>
          </cell>
        </row>
        <row r="252">
          <cell r="A252" t="str">
            <v>2/21/2004 0:00</v>
          </cell>
          <cell r="E252">
            <v>6087.94</v>
          </cell>
        </row>
        <row r="253">
          <cell r="A253" t="str">
            <v>4/5/2004 0:00</v>
          </cell>
          <cell r="E253">
            <v>4193.28</v>
          </cell>
        </row>
        <row r="254">
          <cell r="A254" t="str">
            <v>5/18/2004 0:00</v>
          </cell>
          <cell r="E254">
            <v>7552.28</v>
          </cell>
        </row>
        <row r="255">
          <cell r="A255" t="str">
            <v>6/28/2004 0:00</v>
          </cell>
          <cell r="E255">
            <v>6434.4</v>
          </cell>
        </row>
        <row r="256">
          <cell r="A256" t="str">
            <v>8/2/2004 0:00</v>
          </cell>
          <cell r="E256">
            <v>5181.5</v>
          </cell>
        </row>
        <row r="257">
          <cell r="A257" t="str">
            <v>8/27/2004 0:00</v>
          </cell>
          <cell r="E257">
            <v>6863.92</v>
          </cell>
        </row>
        <row r="258">
          <cell r="A258" t="str">
            <v>9/30/2004 0:00</v>
          </cell>
          <cell r="E258">
            <v>4157.04</v>
          </cell>
        </row>
        <row r="259">
          <cell r="A259" t="str">
            <v>10/15/2004 0:00</v>
          </cell>
          <cell r="E259">
            <v>4660.24</v>
          </cell>
        </row>
        <row r="260">
          <cell r="A260" t="str">
            <v>11/3/2004 0:00</v>
          </cell>
          <cell r="E260">
            <v>4111.8</v>
          </cell>
        </row>
        <row r="261">
          <cell r="A261" t="str">
            <v>11/15/2004 0:00</v>
          </cell>
          <cell r="E261">
            <v>3542.64</v>
          </cell>
        </row>
        <row r="262">
          <cell r="A262" t="str">
            <v>11/24/2004 0:00</v>
          </cell>
          <cell r="E262">
            <v>8118.55</v>
          </cell>
        </row>
        <row r="263">
          <cell r="A263" t="str">
            <v>1/5/2005 0:00</v>
          </cell>
          <cell r="E263">
            <v>3877.06</v>
          </cell>
        </row>
        <row r="264">
          <cell r="A264" t="str">
            <v>2/3/2005 0:00</v>
          </cell>
          <cell r="E264">
            <v>3867.08</v>
          </cell>
        </row>
        <row r="265">
          <cell r="A265" t="str">
            <v>3/3/2005 0:00</v>
          </cell>
          <cell r="E265">
            <v>5951.44</v>
          </cell>
        </row>
        <row r="266">
          <cell r="A266" t="str">
            <v>4/8/2005 0:00</v>
          </cell>
          <cell r="E266">
            <v>8648.64</v>
          </cell>
        </row>
        <row r="267">
          <cell r="A267" t="str">
            <v>5/13/2005 0:00</v>
          </cell>
          <cell r="E267">
            <v>3447.78</v>
          </cell>
        </row>
        <row r="268">
          <cell r="A268" t="str">
            <v>1/31/2003 0:00</v>
          </cell>
          <cell r="E268">
            <v>5958.5</v>
          </cell>
        </row>
        <row r="269">
          <cell r="A269" t="str">
            <v>4/16/2003 0:00</v>
          </cell>
          <cell r="E269">
            <v>5911.64</v>
          </cell>
        </row>
        <row r="270">
          <cell r="A270" t="str">
            <v>6/3/2003 0:00</v>
          </cell>
          <cell r="E270">
            <v>7366.44</v>
          </cell>
        </row>
        <row r="271">
          <cell r="A271" t="str">
            <v>8/8/2003 0:00</v>
          </cell>
          <cell r="E271">
            <v>4985.6400000000003</v>
          </cell>
        </row>
        <row r="272">
          <cell r="A272" t="str">
            <v>9/28/2003 0:00</v>
          </cell>
          <cell r="E272">
            <v>5393.64</v>
          </cell>
        </row>
        <row r="273">
          <cell r="A273" t="str">
            <v>10/22/2003 0:00</v>
          </cell>
          <cell r="E273">
            <v>4880.0200000000004</v>
          </cell>
        </row>
        <row r="274">
          <cell r="A274" t="str">
            <v>11/6/2003 0:00</v>
          </cell>
          <cell r="E274">
            <v>8378.69</v>
          </cell>
        </row>
        <row r="275">
          <cell r="A275" t="str">
            <v>11/14/2003 0:00</v>
          </cell>
          <cell r="E275">
            <v>4038.21</v>
          </cell>
        </row>
        <row r="276">
          <cell r="A276" t="str">
            <v>11/26/2003 0:00</v>
          </cell>
          <cell r="E276">
            <v>3807.12</v>
          </cell>
        </row>
        <row r="277">
          <cell r="A277" t="str">
            <v>1/2/2004 0:00</v>
          </cell>
          <cell r="E277">
            <v>3142.36</v>
          </cell>
        </row>
        <row r="278">
          <cell r="A278" t="str">
            <v>2/12/2004 0:00</v>
          </cell>
          <cell r="E278">
            <v>4713.6000000000004</v>
          </cell>
        </row>
        <row r="279">
          <cell r="A279" t="str">
            <v>3/15/2004 0:00</v>
          </cell>
          <cell r="E279">
            <v>7016.31</v>
          </cell>
        </row>
        <row r="280">
          <cell r="A280" t="str">
            <v>5/5/2004 0:00</v>
          </cell>
          <cell r="E280">
            <v>4381.25</v>
          </cell>
        </row>
        <row r="281">
          <cell r="A281" t="str">
            <v>7/20/2004 0:00</v>
          </cell>
          <cell r="E281">
            <v>4283.01</v>
          </cell>
        </row>
        <row r="282">
          <cell r="A282" t="str">
            <v>8/20/2004 0:00</v>
          </cell>
          <cell r="E282">
            <v>4364.82</v>
          </cell>
        </row>
        <row r="283">
          <cell r="A283" t="str">
            <v>9/9/2004 0:00</v>
          </cell>
          <cell r="E283">
            <v>4242.24</v>
          </cell>
        </row>
        <row r="284">
          <cell r="A284" t="str">
            <v>10/14/2004 0:00</v>
          </cell>
          <cell r="E284">
            <v>4982.7</v>
          </cell>
        </row>
        <row r="285">
          <cell r="A285" t="str">
            <v>10/22/2004 0:00</v>
          </cell>
          <cell r="E285">
            <v>6393.54</v>
          </cell>
        </row>
        <row r="286">
          <cell r="A286" t="str">
            <v>11/5/2004 0:00</v>
          </cell>
          <cell r="E286">
            <v>1466.91</v>
          </cell>
        </row>
        <row r="287">
          <cell r="A287" t="str">
            <v>11/20/2004 0:00</v>
          </cell>
          <cell r="E287">
            <v>4059.33</v>
          </cell>
        </row>
        <row r="288">
          <cell r="A288" t="str">
            <v>11/1/2004 0:00</v>
          </cell>
          <cell r="E288">
            <v>4801.5200000000004</v>
          </cell>
        </row>
        <row r="289">
          <cell r="A289" t="str">
            <v>12/10/2004 0:00</v>
          </cell>
          <cell r="E289">
            <v>2711.66</v>
          </cell>
        </row>
        <row r="290">
          <cell r="A290" t="str">
            <v>1/26/2005 0:00</v>
          </cell>
          <cell r="E290">
            <v>5862</v>
          </cell>
        </row>
        <row r="291">
          <cell r="A291" t="str">
            <v>2/17/2005 0:00</v>
          </cell>
          <cell r="E291">
            <v>4071.85</v>
          </cell>
        </row>
        <row r="292">
          <cell r="A292" t="str">
            <v>5/5/2005 0:00</v>
          </cell>
          <cell r="E292">
            <v>8236.75</v>
          </cell>
        </row>
        <row r="293">
          <cell r="A293" t="str">
            <v>3/3/2003 0:00</v>
          </cell>
          <cell r="E293">
            <v>6130.35</v>
          </cell>
        </row>
        <row r="294">
          <cell r="A294" t="str">
            <v>5/8/2003 0:00</v>
          </cell>
          <cell r="E294">
            <v>3693.34</v>
          </cell>
        </row>
        <row r="295">
          <cell r="A295" t="str">
            <v>7/2/2003 0:00</v>
          </cell>
          <cell r="E295">
            <v>6031.68</v>
          </cell>
        </row>
        <row r="296">
          <cell r="A296" t="str">
            <v>9/5/2003 0:00</v>
          </cell>
          <cell r="E296">
            <v>3494.94</v>
          </cell>
        </row>
        <row r="297">
          <cell r="A297" t="str">
            <v>10/11/2003 0:00</v>
          </cell>
          <cell r="E297">
            <v>5294.14</v>
          </cell>
        </row>
        <row r="298">
          <cell r="A298" t="str">
            <v>11/4/2003 0:00</v>
          </cell>
          <cell r="E298">
            <v>5464.69</v>
          </cell>
        </row>
        <row r="299">
          <cell r="A299" t="str">
            <v>11/12/2003 0:00</v>
          </cell>
          <cell r="E299">
            <v>2860.76</v>
          </cell>
        </row>
        <row r="300">
          <cell r="A300" t="str">
            <v>11/20/2003 0:00</v>
          </cell>
          <cell r="E300">
            <v>5590</v>
          </cell>
        </row>
        <row r="301">
          <cell r="A301" t="str">
            <v>12/2/2003 0:00</v>
          </cell>
          <cell r="E301">
            <v>2254.8000000000002</v>
          </cell>
        </row>
        <row r="302">
          <cell r="A302" t="str">
            <v>1/16/2004 0:00</v>
          </cell>
          <cell r="E302">
            <v>4946.76</v>
          </cell>
        </row>
        <row r="303">
          <cell r="A303" t="str">
            <v>2/22/2004 0:00</v>
          </cell>
          <cell r="E303">
            <v>2495.5</v>
          </cell>
        </row>
        <row r="304">
          <cell r="A304" t="str">
            <v>4/9/2004 0:00</v>
          </cell>
          <cell r="E304">
            <v>3167.38</v>
          </cell>
        </row>
        <row r="305">
          <cell r="A305" t="str">
            <v>6/1/2004 0:00</v>
          </cell>
          <cell r="E305">
            <v>2402.84</v>
          </cell>
        </row>
        <row r="306">
          <cell r="A306" t="str">
            <v>7/6/2004 0:00</v>
          </cell>
          <cell r="E306">
            <v>2454.54</v>
          </cell>
        </row>
        <row r="307">
          <cell r="A307" t="str">
            <v>8/2/2004 0:00</v>
          </cell>
          <cell r="E307">
            <v>5464.69</v>
          </cell>
        </row>
        <row r="308">
          <cell r="A308" t="str">
            <v>8/30/2004 0:00</v>
          </cell>
          <cell r="E308">
            <v>4756.5</v>
          </cell>
        </row>
        <row r="309">
          <cell r="A309" t="str">
            <v>10/4/2003 0:00</v>
          </cell>
          <cell r="E309">
            <v>3984.6</v>
          </cell>
        </row>
        <row r="310">
          <cell r="A310" t="str">
            <v>10/16/2004 0:00</v>
          </cell>
          <cell r="E310">
            <v>3100.32</v>
          </cell>
        </row>
        <row r="311">
          <cell r="A311" t="str">
            <v>11/3/2004 0:00</v>
          </cell>
          <cell r="E311">
            <v>4850.3</v>
          </cell>
        </row>
        <row r="312">
          <cell r="A312" t="str">
            <v>11/15/2004 0:00</v>
          </cell>
          <cell r="E312">
            <v>3846.98</v>
          </cell>
        </row>
        <row r="313">
          <cell r="A313" t="str">
            <v>11/24/2004 0:00</v>
          </cell>
          <cell r="E313">
            <v>4220.92</v>
          </cell>
        </row>
        <row r="314">
          <cell r="A314" t="str">
            <v>1/6/2005 0:00</v>
          </cell>
          <cell r="E314">
            <v>3288.82</v>
          </cell>
        </row>
        <row r="315">
          <cell r="A315" t="str">
            <v>2/8/2005 0:00</v>
          </cell>
          <cell r="E315">
            <v>3987.2</v>
          </cell>
        </row>
        <row r="316">
          <cell r="A316" t="str">
            <v>3/3/2005 0:00</v>
          </cell>
          <cell r="E316">
            <v>1809.5</v>
          </cell>
        </row>
        <row r="317">
          <cell r="A317" t="str">
            <v>5/17/2005 0:00</v>
          </cell>
          <cell r="E317">
            <v>1092.2</v>
          </cell>
        </row>
        <row r="318">
          <cell r="A318" t="str">
            <v>2/11/2003 0:00</v>
          </cell>
          <cell r="E318">
            <v>4566.05</v>
          </cell>
        </row>
        <row r="319">
          <cell r="A319" t="str">
            <v>4/16/2003 0:00</v>
          </cell>
          <cell r="E319">
            <v>5938.14</v>
          </cell>
        </row>
        <row r="320">
          <cell r="A320" t="str">
            <v>6/3/2003 0:00</v>
          </cell>
          <cell r="E320">
            <v>8138.76</v>
          </cell>
        </row>
        <row r="321">
          <cell r="A321" t="str">
            <v>8/8/2003 0:00</v>
          </cell>
          <cell r="E321">
            <v>9470.94</v>
          </cell>
        </row>
        <row r="322">
          <cell r="A322" t="str">
            <v>9/28/2003 0:00</v>
          </cell>
          <cell r="E322">
            <v>7036.89</v>
          </cell>
        </row>
        <row r="323">
          <cell r="A323" t="str">
            <v>10/22/2003 0:00</v>
          </cell>
          <cell r="E323">
            <v>5559.03</v>
          </cell>
        </row>
        <row r="324">
          <cell r="A324" t="str">
            <v>11/6/2003 0:00</v>
          </cell>
          <cell r="E324">
            <v>7872.5</v>
          </cell>
        </row>
        <row r="325">
          <cell r="A325" t="str">
            <v>11/14/2003 0:00</v>
          </cell>
          <cell r="E325">
            <v>7886.2</v>
          </cell>
        </row>
        <row r="326">
          <cell r="A326" t="str">
            <v>11/26/2003 0:00</v>
          </cell>
          <cell r="E326">
            <v>7232.16</v>
          </cell>
        </row>
        <row r="327">
          <cell r="A327" t="str">
            <v>1/2/2004 0:00</v>
          </cell>
          <cell r="E327">
            <v>3114.4</v>
          </cell>
        </row>
        <row r="328">
          <cell r="A328" t="str">
            <v>2/12/2004 0:00</v>
          </cell>
          <cell r="E328">
            <v>5045.22</v>
          </cell>
        </row>
        <row r="329">
          <cell r="A329" t="str">
            <v>3/19/2004 0:00</v>
          </cell>
          <cell r="E329">
            <v>6952.12</v>
          </cell>
        </row>
        <row r="330">
          <cell r="A330" t="str">
            <v>5/5/2004 0:00</v>
          </cell>
          <cell r="E330">
            <v>4157.7299999999996</v>
          </cell>
        </row>
        <row r="331">
          <cell r="A331" t="str">
            <v>7/20/2004 0:00</v>
          </cell>
          <cell r="E331">
            <v>7962.24</v>
          </cell>
        </row>
        <row r="332">
          <cell r="A332" t="str">
            <v>8/20/2004 0:00</v>
          </cell>
          <cell r="E332">
            <v>3778.8</v>
          </cell>
        </row>
        <row r="333">
          <cell r="A333" t="str">
            <v>9/9/2004 0:00</v>
          </cell>
          <cell r="E333">
            <v>8253</v>
          </cell>
        </row>
        <row r="334">
          <cell r="A334" t="str">
            <v>10/14/2004 0:00</v>
          </cell>
          <cell r="E334">
            <v>3633.4</v>
          </cell>
        </row>
        <row r="335">
          <cell r="A335" t="str">
            <v>10/22/2004 0:00</v>
          </cell>
          <cell r="E335">
            <v>6913.8</v>
          </cell>
        </row>
        <row r="336">
          <cell r="A336" t="str">
            <v>11/5/2004 0:00</v>
          </cell>
          <cell r="E336">
            <v>2583.6</v>
          </cell>
        </row>
        <row r="337">
          <cell r="A337" t="str">
            <v>11/20/2004 0:00</v>
          </cell>
          <cell r="E337">
            <v>3105.62</v>
          </cell>
        </row>
        <row r="338">
          <cell r="A338" t="str">
            <v>12/1/2004 0:00</v>
          </cell>
          <cell r="E338">
            <v>4408.5600000000004</v>
          </cell>
        </row>
        <row r="339">
          <cell r="A339" t="str">
            <v>12/15/2004 0:00</v>
          </cell>
          <cell r="E339">
            <v>3042.41</v>
          </cell>
        </row>
        <row r="340">
          <cell r="A340" t="str">
            <v>1/26/2005 0:00</v>
          </cell>
          <cell r="E340">
            <v>5941.5</v>
          </cell>
        </row>
        <row r="341">
          <cell r="A341" t="str">
            <v>2/17/2005 0:00</v>
          </cell>
          <cell r="E341">
            <v>3241.9</v>
          </cell>
        </row>
        <row r="342">
          <cell r="A342" t="str">
            <v>3/23/2005 0:00</v>
          </cell>
          <cell r="E342">
            <v>6109.29</v>
          </cell>
        </row>
        <row r="343">
          <cell r="A343" t="str">
            <v>5/5/2005 0:00</v>
          </cell>
          <cell r="E343">
            <v>3387.78</v>
          </cell>
        </row>
        <row r="344">
          <cell r="A344" t="str">
            <v>3/3/2003 0:00</v>
          </cell>
          <cell r="E344">
            <v>3485.82</v>
          </cell>
        </row>
        <row r="345">
          <cell r="A345" t="str">
            <v>5/8/2003 0:00</v>
          </cell>
          <cell r="E345">
            <v>2042.88</v>
          </cell>
        </row>
        <row r="346">
          <cell r="A346" t="str">
            <v>7/2/2003 0:00</v>
          </cell>
          <cell r="E346">
            <v>1800.24</v>
          </cell>
        </row>
        <row r="347">
          <cell r="A347" t="str">
            <v>9/5/2003 0:00</v>
          </cell>
          <cell r="E347">
            <v>1340.64</v>
          </cell>
        </row>
        <row r="348">
          <cell r="A348" t="str">
            <v>10/10/2003 0:00</v>
          </cell>
          <cell r="E348">
            <v>1762.08</v>
          </cell>
        </row>
        <row r="349">
          <cell r="A349" t="str">
            <v>11/4/2003 0:00</v>
          </cell>
          <cell r="E349">
            <v>2298.2399999999998</v>
          </cell>
        </row>
        <row r="350">
          <cell r="A350" t="str">
            <v>11/12/2003 0:00</v>
          </cell>
          <cell r="E350">
            <v>1628</v>
          </cell>
        </row>
        <row r="351">
          <cell r="A351" t="str">
            <v>11/20/2003 0:00</v>
          </cell>
          <cell r="E351">
            <v>1939.2</v>
          </cell>
        </row>
        <row r="352">
          <cell r="A352" t="str">
            <v>12/2/2003 0:00</v>
          </cell>
          <cell r="E352">
            <v>3651.56</v>
          </cell>
        </row>
        <row r="353">
          <cell r="A353" t="str">
            <v>1/15/2004 0:00</v>
          </cell>
          <cell r="E353">
            <v>2591.96</v>
          </cell>
        </row>
        <row r="354">
          <cell r="A354" t="str">
            <v>2/22/2004 0:00</v>
          </cell>
          <cell r="E354">
            <v>2864.17</v>
          </cell>
        </row>
        <row r="355">
          <cell r="A355" t="str">
            <v>4/9/2004 0:00</v>
          </cell>
          <cell r="E355">
            <v>1484.2</v>
          </cell>
        </row>
        <row r="356">
          <cell r="A356" t="str">
            <v>6/1/2004 0:00</v>
          </cell>
          <cell r="E356">
            <v>2254.25</v>
          </cell>
        </row>
        <row r="357">
          <cell r="A357" t="str">
            <v>7/6/2004 0:00</v>
          </cell>
          <cell r="E357">
            <v>2681.35</v>
          </cell>
        </row>
        <row r="358">
          <cell r="A358" t="str">
            <v>8/2/2004 0:00</v>
          </cell>
          <cell r="E358">
            <v>3184.02</v>
          </cell>
        </row>
        <row r="359">
          <cell r="A359" t="str">
            <v>8/30/2004 0:00</v>
          </cell>
          <cell r="E359">
            <v>2846.63</v>
          </cell>
        </row>
        <row r="360">
          <cell r="A360" t="str">
            <v>10/4/2003 0:00</v>
          </cell>
          <cell r="E360">
            <v>1685.42</v>
          </cell>
        </row>
        <row r="361">
          <cell r="A361" t="str">
            <v>10/16/2004 0:00</v>
          </cell>
          <cell r="E361">
            <v>3988.6</v>
          </cell>
        </row>
        <row r="362">
          <cell r="A362" t="str">
            <v>11/3/2004 0:00</v>
          </cell>
          <cell r="E362">
            <v>2789.96</v>
          </cell>
        </row>
        <row r="363">
          <cell r="A363" t="str">
            <v>11/15/2004 0:00</v>
          </cell>
          <cell r="E363">
            <v>3607.56</v>
          </cell>
        </row>
        <row r="364">
          <cell r="A364" t="str">
            <v>11/24/2004 0:00</v>
          </cell>
          <cell r="E364">
            <v>3368.16</v>
          </cell>
        </row>
        <row r="365">
          <cell r="A365" t="str">
            <v>1/6/2005 0:00</v>
          </cell>
          <cell r="E365">
            <v>2775.08</v>
          </cell>
        </row>
        <row r="366">
          <cell r="A366" t="str">
            <v>2/9/2005 0:00</v>
          </cell>
          <cell r="E366">
            <v>1627.92</v>
          </cell>
        </row>
        <row r="367">
          <cell r="A367" t="str">
            <v>3/3/2005 0:00</v>
          </cell>
          <cell r="E367">
            <v>2529.36</v>
          </cell>
        </row>
        <row r="368">
          <cell r="A368" t="str">
            <v>5/17/2005 0:00</v>
          </cell>
          <cell r="E368">
            <v>3065.78</v>
          </cell>
        </row>
        <row r="369">
          <cell r="A369" t="str">
            <v>1/31/2003 0:00</v>
          </cell>
          <cell r="E369">
            <v>4615.78</v>
          </cell>
        </row>
        <row r="370">
          <cell r="A370" t="str">
            <v>4/4/2003 0:00</v>
          </cell>
          <cell r="E370">
            <v>5723.78</v>
          </cell>
        </row>
        <row r="371">
          <cell r="A371" t="str">
            <v>6/3/2003 0:00</v>
          </cell>
          <cell r="E371">
            <v>2559.6</v>
          </cell>
        </row>
        <row r="372">
          <cell r="A372" t="str">
            <v>8/1/2003 0:00</v>
          </cell>
          <cell r="E372">
            <v>2140.11</v>
          </cell>
        </row>
        <row r="373">
          <cell r="A373" t="str">
            <v>9/21/2003 0:00</v>
          </cell>
          <cell r="E373">
            <v>3327.6</v>
          </cell>
        </row>
        <row r="374">
          <cell r="A374" t="str">
            <v>10/22/2003 0:00</v>
          </cell>
          <cell r="E374">
            <v>6825.6</v>
          </cell>
        </row>
        <row r="375">
          <cell r="A375" t="str">
            <v>11/6/2003 0:00</v>
          </cell>
          <cell r="E375">
            <v>3543.28</v>
          </cell>
        </row>
        <row r="376">
          <cell r="A376" t="str">
            <v>11/14/2003 0:00</v>
          </cell>
          <cell r="E376">
            <v>4516.22</v>
          </cell>
        </row>
        <row r="377">
          <cell r="A377" t="str">
            <v>11/25/2003 0:00</v>
          </cell>
          <cell r="E377">
            <v>6445.46</v>
          </cell>
        </row>
        <row r="378">
          <cell r="A378" t="str">
            <v>12/9/2003 0:00</v>
          </cell>
          <cell r="E378">
            <v>3384.36</v>
          </cell>
        </row>
        <row r="379">
          <cell r="A379" t="str">
            <v>2/10/2004 0:00</v>
          </cell>
          <cell r="E379">
            <v>4891.68</v>
          </cell>
        </row>
        <row r="380">
          <cell r="A380" t="str">
            <v>3/11/2004 0:00</v>
          </cell>
          <cell r="E380">
            <v>4521.96</v>
          </cell>
        </row>
        <row r="381">
          <cell r="A381" t="str">
            <v>5/5/2004 0:00</v>
          </cell>
          <cell r="E381">
            <v>5069.66</v>
          </cell>
        </row>
        <row r="382">
          <cell r="A382" t="str">
            <v>6/15/2004 0:00</v>
          </cell>
          <cell r="E382">
            <v>6541.2</v>
          </cell>
        </row>
        <row r="383">
          <cell r="A383" t="str">
            <v>7/20/2004 0:00</v>
          </cell>
          <cell r="E383">
            <v>3012.27</v>
          </cell>
        </row>
        <row r="384">
          <cell r="A384" t="str">
            <v>8/19/2004 0:00</v>
          </cell>
          <cell r="E384">
            <v>5247.18</v>
          </cell>
        </row>
        <row r="385">
          <cell r="A385" t="str">
            <v>9/8/2004 0:00</v>
          </cell>
          <cell r="E385">
            <v>2214.87</v>
          </cell>
        </row>
        <row r="386">
          <cell r="A386" t="str">
            <v>10/13/2004 0:00</v>
          </cell>
          <cell r="E386">
            <v>4773.18</v>
          </cell>
        </row>
        <row r="387">
          <cell r="A387" t="str">
            <v>10/22/2004 0:00</v>
          </cell>
          <cell r="E387">
            <v>6185.7</v>
          </cell>
        </row>
        <row r="388">
          <cell r="A388" t="str">
            <v>11/5/2004 0:00</v>
          </cell>
          <cell r="E388">
            <v>1517.88</v>
          </cell>
        </row>
        <row r="389">
          <cell r="A389" t="str">
            <v>11/20/2004 0:00</v>
          </cell>
          <cell r="E389">
            <v>6372.6</v>
          </cell>
        </row>
        <row r="390">
          <cell r="A390" t="str">
            <v>12/1/2004 0:00</v>
          </cell>
          <cell r="E390">
            <v>5232.96</v>
          </cell>
        </row>
        <row r="391">
          <cell r="A391" t="str">
            <v>12/10/2004 0:00</v>
          </cell>
          <cell r="E391">
            <v>2694.72</v>
          </cell>
        </row>
        <row r="392">
          <cell r="A392" t="str">
            <v>1/23/2005 0:00</v>
          </cell>
          <cell r="E392">
            <v>1749.79</v>
          </cell>
        </row>
        <row r="393">
          <cell r="A393" t="str">
            <v>2/17/2005 0:00</v>
          </cell>
          <cell r="E393">
            <v>2130.56</v>
          </cell>
        </row>
        <row r="394">
          <cell r="A394" t="str">
            <v>5/3/2005 0:00</v>
          </cell>
          <cell r="E394">
            <v>5951.34</v>
          </cell>
        </row>
        <row r="395">
          <cell r="A395" t="str">
            <v>5/31/2005 0:00</v>
          </cell>
          <cell r="E395">
            <v>4692.6000000000004</v>
          </cell>
        </row>
        <row r="396">
          <cell r="A396" t="str">
            <v>3/3/2003 0:00</v>
          </cell>
          <cell r="E396">
            <v>3731.04</v>
          </cell>
        </row>
        <row r="397">
          <cell r="A397" t="str">
            <v>5/8/2003 0:00</v>
          </cell>
          <cell r="E397">
            <v>2142</v>
          </cell>
        </row>
        <row r="398">
          <cell r="A398" t="str">
            <v>7/2/2003 0:00</v>
          </cell>
          <cell r="E398">
            <v>2838.81</v>
          </cell>
        </row>
        <row r="399">
          <cell r="A399" t="str">
            <v>9/5/2003 0:00</v>
          </cell>
          <cell r="E399">
            <v>3230.37</v>
          </cell>
        </row>
        <row r="400">
          <cell r="A400" t="str">
            <v>10/11/2003 0:00</v>
          </cell>
          <cell r="E400">
            <v>5182</v>
          </cell>
        </row>
        <row r="401">
          <cell r="A401" t="str">
            <v>11/4/2003 0:00</v>
          </cell>
          <cell r="E401">
            <v>4391.1000000000004</v>
          </cell>
        </row>
        <row r="402">
          <cell r="A402" t="str">
            <v>11/12/2003 0:00</v>
          </cell>
          <cell r="E402">
            <v>4477.32</v>
          </cell>
        </row>
        <row r="403">
          <cell r="A403" t="str">
            <v>11/20/2003 0:00</v>
          </cell>
          <cell r="E403">
            <v>3544.56</v>
          </cell>
        </row>
        <row r="404">
          <cell r="A404" t="str">
            <v>12/2/2003 0:00</v>
          </cell>
          <cell r="E404">
            <v>5195.8500000000004</v>
          </cell>
        </row>
        <row r="405">
          <cell r="A405" t="str">
            <v>1/16/2004 0:00</v>
          </cell>
          <cell r="E405">
            <v>4180.4399999999996</v>
          </cell>
        </row>
        <row r="406">
          <cell r="A406" t="str">
            <v>2/22/2004 0:00</v>
          </cell>
          <cell r="E406">
            <v>2684.43</v>
          </cell>
        </row>
        <row r="407">
          <cell r="A407" t="str">
            <v>4/12/2004 0:00</v>
          </cell>
          <cell r="E407">
            <v>1958.88</v>
          </cell>
        </row>
        <row r="408">
          <cell r="A408" t="str">
            <v>6/1/2004 0:00</v>
          </cell>
          <cell r="E408">
            <v>4910.57</v>
          </cell>
        </row>
        <row r="409">
          <cell r="A409" t="str">
            <v>7/6/2004 0:00</v>
          </cell>
          <cell r="E409">
            <v>4468.3999999999996</v>
          </cell>
        </row>
        <row r="410">
          <cell r="A410" t="str">
            <v>8/4/2004 0:00</v>
          </cell>
          <cell r="E410">
            <v>3127.88</v>
          </cell>
        </row>
        <row r="411">
          <cell r="A411" t="str">
            <v>8/30/2004 0:00</v>
          </cell>
          <cell r="E411">
            <v>2675.13</v>
          </cell>
        </row>
        <row r="412">
          <cell r="A412" t="str">
            <v>10/4/2003 0:00</v>
          </cell>
          <cell r="E412">
            <v>2807.61</v>
          </cell>
        </row>
        <row r="413">
          <cell r="A413" t="str">
            <v>10/16/2004 0:00</v>
          </cell>
          <cell r="E413">
            <v>2504.75</v>
          </cell>
        </row>
        <row r="414">
          <cell r="A414" t="str">
            <v>11/4/2004 0:00</v>
          </cell>
          <cell r="E414">
            <v>2984.88</v>
          </cell>
        </row>
        <row r="415">
          <cell r="A415" t="str">
            <v>11/15/2004 0:00</v>
          </cell>
          <cell r="E415">
            <v>2524.86</v>
          </cell>
        </row>
        <row r="416">
          <cell r="A416" t="str">
            <v>11/24/2004 0:00</v>
          </cell>
          <cell r="E416">
            <v>4136</v>
          </cell>
        </row>
        <row r="417">
          <cell r="A417" t="str">
            <v>1/6/2005 0:00</v>
          </cell>
          <cell r="E417">
            <v>4068.7</v>
          </cell>
        </row>
        <row r="418">
          <cell r="A418" t="str">
            <v>2/9/2005 0:00</v>
          </cell>
          <cell r="E418">
            <v>5182</v>
          </cell>
        </row>
        <row r="419">
          <cell r="A419" t="str">
            <v>3/3/2005 0:00</v>
          </cell>
          <cell r="E419">
            <v>5243.79</v>
          </cell>
        </row>
        <row r="420">
          <cell r="A420" t="str">
            <v>4/14/2005 0:00</v>
          </cell>
          <cell r="E420">
            <v>9048.16</v>
          </cell>
        </row>
        <row r="421">
          <cell r="A421" t="str">
            <v>5/17/2005 0:00</v>
          </cell>
          <cell r="E421">
            <v>3832.64</v>
          </cell>
        </row>
        <row r="422">
          <cell r="A422" t="str">
            <v>1/29/2003 0:00</v>
          </cell>
          <cell r="E422">
            <v>3920</v>
          </cell>
        </row>
        <row r="423">
          <cell r="A423" t="str">
            <v>3/26/2003 0:00</v>
          </cell>
          <cell r="E423">
            <v>4916.66</v>
          </cell>
        </row>
        <row r="424">
          <cell r="A424" t="str">
            <v>5/28/2003 0:00</v>
          </cell>
          <cell r="E424">
            <v>3857</v>
          </cell>
        </row>
        <row r="425">
          <cell r="A425" t="str">
            <v>7/24/2003 0:00</v>
          </cell>
          <cell r="E425">
            <v>4181.4399999999996</v>
          </cell>
        </row>
        <row r="426">
          <cell r="A426" t="str">
            <v>9/19/2003 0:00</v>
          </cell>
          <cell r="E426">
            <v>4641</v>
          </cell>
        </row>
        <row r="427">
          <cell r="A427" t="str">
            <v>10/21/2003 0:00</v>
          </cell>
          <cell r="E427">
            <v>3570.12</v>
          </cell>
        </row>
        <row r="428">
          <cell r="A428" t="str">
            <v>11/6/2003 0:00</v>
          </cell>
          <cell r="E428">
            <v>4480.32</v>
          </cell>
        </row>
        <row r="429">
          <cell r="A429" t="str">
            <v>11/13/2003 0:00</v>
          </cell>
          <cell r="E429">
            <v>2033.64</v>
          </cell>
        </row>
        <row r="430">
          <cell r="A430" t="str">
            <v>11/25/2003 0:00</v>
          </cell>
          <cell r="E430">
            <v>1960.14</v>
          </cell>
        </row>
        <row r="431">
          <cell r="A431" t="str">
            <v>12/5/2003 0:00</v>
          </cell>
          <cell r="E431">
            <v>3966.78</v>
          </cell>
        </row>
        <row r="432">
          <cell r="A432" t="str">
            <v>1/29/2004 0:00</v>
          </cell>
          <cell r="E432">
            <v>5152</v>
          </cell>
        </row>
        <row r="433">
          <cell r="A433" t="str">
            <v>3/10/2004 0:00</v>
          </cell>
          <cell r="E433">
            <v>3360</v>
          </cell>
        </row>
        <row r="434">
          <cell r="A434" t="str">
            <v>5/4/2004 0:00</v>
          </cell>
          <cell r="E434">
            <v>3451</v>
          </cell>
        </row>
        <row r="435">
          <cell r="A435" t="str">
            <v>6/15/2004 0:00</v>
          </cell>
          <cell r="E435">
            <v>5453</v>
          </cell>
        </row>
        <row r="436">
          <cell r="A436" t="str">
            <v>7/19/2004 0:00</v>
          </cell>
          <cell r="E436">
            <v>4164.12</v>
          </cell>
        </row>
        <row r="437">
          <cell r="A437" t="str">
            <v>8/17/2004 0:00</v>
          </cell>
          <cell r="E437">
            <v>2800.08</v>
          </cell>
        </row>
        <row r="438">
          <cell r="A438" t="str">
            <v>9/8/2004 0:00</v>
          </cell>
          <cell r="E438">
            <v>4687.9399999999996</v>
          </cell>
        </row>
        <row r="439">
          <cell r="A439" t="str">
            <v>10/11/2004 0:00</v>
          </cell>
          <cell r="E439">
            <v>4508</v>
          </cell>
        </row>
        <row r="440">
          <cell r="A440" t="str">
            <v>10/21/2004 0:00</v>
          </cell>
          <cell r="E440">
            <v>4181.4399999999996</v>
          </cell>
        </row>
        <row r="441">
          <cell r="A441" t="str">
            <v>11/4/2004 0:00</v>
          </cell>
          <cell r="E441">
            <v>2251.04</v>
          </cell>
        </row>
        <row r="442">
          <cell r="A442" t="str">
            <v>11/18/2004 0:00</v>
          </cell>
          <cell r="E442">
            <v>1167.25</v>
          </cell>
        </row>
        <row r="443">
          <cell r="A443" t="str">
            <v>11/29/2004 0:00</v>
          </cell>
          <cell r="E443">
            <v>2083.1999999999998</v>
          </cell>
        </row>
        <row r="444">
          <cell r="A444" t="str">
            <v>12/10/2004 0:00</v>
          </cell>
          <cell r="E444">
            <v>3822</v>
          </cell>
        </row>
        <row r="445">
          <cell r="A445" t="str">
            <v>1/20/2005 0:00</v>
          </cell>
          <cell r="E445">
            <v>3911.49</v>
          </cell>
        </row>
        <row r="446">
          <cell r="A446" t="str">
            <v>2/17/2005 0:00</v>
          </cell>
          <cell r="E446">
            <v>4704</v>
          </cell>
        </row>
        <row r="447">
          <cell r="A447" t="str">
            <v>3/9/2005 0:00</v>
          </cell>
          <cell r="E447">
            <v>2467.9</v>
          </cell>
        </row>
        <row r="448">
          <cell r="A448" t="str">
            <v>5/1/2005 0:00</v>
          </cell>
          <cell r="E448">
            <v>3213</v>
          </cell>
        </row>
        <row r="449">
          <cell r="A449" t="str">
            <v>5/31/2005 0:00</v>
          </cell>
          <cell r="E449">
            <v>7182</v>
          </cell>
        </row>
        <row r="450">
          <cell r="A450" t="str">
            <v>3/10/2003 0:00</v>
          </cell>
          <cell r="E450">
            <v>4379.18</v>
          </cell>
        </row>
        <row r="451">
          <cell r="A451" t="str">
            <v>5/8/2003 0:00</v>
          </cell>
          <cell r="E451">
            <v>5004.8</v>
          </cell>
        </row>
        <row r="452">
          <cell r="A452" t="str">
            <v>7/4/2003 0:00</v>
          </cell>
          <cell r="E452">
            <v>3644.75</v>
          </cell>
        </row>
        <row r="453">
          <cell r="A453" t="str">
            <v>9/11/2003 0:00</v>
          </cell>
          <cell r="E453">
            <v>2702.04</v>
          </cell>
        </row>
        <row r="454">
          <cell r="A454" t="str">
            <v>10/17/2003 0:00</v>
          </cell>
          <cell r="E454">
            <v>3764.88</v>
          </cell>
        </row>
        <row r="455">
          <cell r="A455" t="str">
            <v>11/5/2003 0:00</v>
          </cell>
          <cell r="E455">
            <v>4508</v>
          </cell>
        </row>
        <row r="456">
          <cell r="A456" t="str">
            <v>11/12/2003 0:00</v>
          </cell>
          <cell r="E456">
            <v>5418.16</v>
          </cell>
        </row>
        <row r="457">
          <cell r="A457" t="str">
            <v>11/20/2003 0:00</v>
          </cell>
          <cell r="E457">
            <v>3300.66</v>
          </cell>
        </row>
        <row r="458">
          <cell r="A458" t="str">
            <v>12/2/2003 0:00</v>
          </cell>
          <cell r="E458">
            <v>6182.4</v>
          </cell>
        </row>
        <row r="459">
          <cell r="A459" t="str">
            <v>1/16/2004 0:00</v>
          </cell>
          <cell r="E459">
            <v>4186.7299999999996</v>
          </cell>
        </row>
        <row r="460">
          <cell r="A460" t="str">
            <v>2/22/2004 0:00</v>
          </cell>
          <cell r="E460">
            <v>4529.28</v>
          </cell>
        </row>
        <row r="461">
          <cell r="A461" t="str">
            <v>4/13/2004 0:00</v>
          </cell>
          <cell r="E461">
            <v>5628.89</v>
          </cell>
        </row>
        <row r="462">
          <cell r="A462" t="str">
            <v>6/1/2004 0:00</v>
          </cell>
          <cell r="E462">
            <v>3054.48</v>
          </cell>
        </row>
        <row r="463">
          <cell r="A463" t="str">
            <v>7/6/2004 0:00</v>
          </cell>
          <cell r="E463">
            <v>2526.5100000000002</v>
          </cell>
        </row>
        <row r="464">
          <cell r="A464" t="str">
            <v>8/6/2004 0:00</v>
          </cell>
          <cell r="E464">
            <v>4667.8599999999997</v>
          </cell>
        </row>
        <row r="465">
          <cell r="A465" t="str">
            <v>8/30/2004 0:00</v>
          </cell>
          <cell r="E465">
            <v>6499.32</v>
          </cell>
        </row>
        <row r="466">
          <cell r="A466" t="str">
            <v>10/5/2003 0:00</v>
          </cell>
          <cell r="E466">
            <v>5917.78</v>
          </cell>
        </row>
        <row r="467">
          <cell r="A467" t="str">
            <v>10/16/2004 0:00</v>
          </cell>
          <cell r="E467">
            <v>6231.91</v>
          </cell>
        </row>
        <row r="468">
          <cell r="A468" t="str">
            <v>11/4/2004 0:00</v>
          </cell>
          <cell r="E468">
            <v>5803.14</v>
          </cell>
        </row>
        <row r="469">
          <cell r="A469" t="str">
            <v>11/17/2004 0:00</v>
          </cell>
          <cell r="E469">
            <v>6434.02</v>
          </cell>
        </row>
        <row r="470">
          <cell r="A470" t="str">
            <v>11/24/2004 0:00</v>
          </cell>
          <cell r="E470">
            <v>6454.4</v>
          </cell>
        </row>
        <row r="471">
          <cell r="A471" t="str">
            <v>12/9/2004 0:00</v>
          </cell>
          <cell r="E471">
            <v>4196.8</v>
          </cell>
        </row>
        <row r="472">
          <cell r="A472" t="str">
            <v>1/7/2005 0:00</v>
          </cell>
          <cell r="E472">
            <v>2611.8000000000002</v>
          </cell>
        </row>
        <row r="473">
          <cell r="A473" t="str">
            <v>2/9/2005 0:00</v>
          </cell>
          <cell r="E473">
            <v>5895.05</v>
          </cell>
        </row>
        <row r="474">
          <cell r="A474" t="str">
            <v>3/4/2005 0:00</v>
          </cell>
          <cell r="E474">
            <v>3375.72</v>
          </cell>
        </row>
        <row r="475">
          <cell r="A475" t="str">
            <v>4/15/2005 0:00</v>
          </cell>
          <cell r="E475">
            <v>8374.69</v>
          </cell>
        </row>
        <row r="476">
          <cell r="A476" t="str">
            <v>5/17/2005 0:00</v>
          </cell>
          <cell r="E476">
            <v>4464.24</v>
          </cell>
        </row>
        <row r="477">
          <cell r="A477" t="str">
            <v>1/10/2003 0:00</v>
          </cell>
          <cell r="E477">
            <v>4808.3100000000004</v>
          </cell>
        </row>
        <row r="478">
          <cell r="A478" t="str">
            <v>3/25/2003 0:00</v>
          </cell>
          <cell r="E478">
            <v>3288.78</v>
          </cell>
        </row>
        <row r="479">
          <cell r="A479" t="str">
            <v>5/21/2003 0:00</v>
          </cell>
          <cell r="E479">
            <v>3254.72</v>
          </cell>
        </row>
        <row r="480">
          <cell r="A480" t="str">
            <v>7/16/2003 0:00</v>
          </cell>
          <cell r="E480">
            <v>3184.94</v>
          </cell>
        </row>
        <row r="481">
          <cell r="A481" t="str">
            <v>9/12/2003 0:00</v>
          </cell>
          <cell r="E481">
            <v>5907.5</v>
          </cell>
        </row>
        <row r="482">
          <cell r="A482" t="str">
            <v>10/18/2003 0:00</v>
          </cell>
          <cell r="E482">
            <v>4389.12</v>
          </cell>
        </row>
        <row r="483">
          <cell r="A483" t="str">
            <v>11/5/2003 0:00</v>
          </cell>
          <cell r="E483">
            <v>5036.16</v>
          </cell>
        </row>
        <row r="484">
          <cell r="A484" t="str">
            <v>11/12/2003 0:00</v>
          </cell>
          <cell r="E484">
            <v>2183.25</v>
          </cell>
        </row>
        <row r="485">
          <cell r="A485" t="str">
            <v>11/21/2003 0:00</v>
          </cell>
          <cell r="E485">
            <v>3106.88</v>
          </cell>
        </row>
        <row r="486">
          <cell r="A486" t="str">
            <v>12/3/2003 0:00</v>
          </cell>
          <cell r="E486">
            <v>3735.72</v>
          </cell>
        </row>
        <row r="487">
          <cell r="A487" t="str">
            <v>1/29/2004 0:00</v>
          </cell>
          <cell r="E487">
            <v>2413.2600000000002</v>
          </cell>
        </row>
        <row r="488">
          <cell r="A488" t="str">
            <v>3/2/2004 0:00</v>
          </cell>
          <cell r="E488">
            <v>2953.75</v>
          </cell>
        </row>
        <row r="489">
          <cell r="A489" t="str">
            <v>4/29/2004 0:00</v>
          </cell>
          <cell r="E489">
            <v>4684.8</v>
          </cell>
        </row>
        <row r="490">
          <cell r="A490" t="str">
            <v>6/8/2004 0:00</v>
          </cell>
          <cell r="E490">
            <v>3248.7</v>
          </cell>
        </row>
        <row r="491">
          <cell r="A491" t="str">
            <v>8/17/2004 0:00</v>
          </cell>
          <cell r="E491">
            <v>5239.5</v>
          </cell>
        </row>
        <row r="492">
          <cell r="A492" t="str">
            <v>9/3/2004 0:00</v>
          </cell>
          <cell r="E492">
            <v>4567.9799999999996</v>
          </cell>
        </row>
        <row r="493">
          <cell r="A493" t="str">
            <v>10/11/2004 0:00</v>
          </cell>
          <cell r="E493">
            <v>3535.35</v>
          </cell>
        </row>
        <row r="494">
          <cell r="A494" t="str">
            <v>10/21/2004 0:00</v>
          </cell>
          <cell r="E494">
            <v>3843.34</v>
          </cell>
        </row>
        <row r="495">
          <cell r="A495" t="str">
            <v>11/4/2004 0:00</v>
          </cell>
          <cell r="E495">
            <v>3710.9</v>
          </cell>
        </row>
        <row r="496">
          <cell r="A496" t="str">
            <v>11/17/2004 0:00</v>
          </cell>
          <cell r="E496">
            <v>4375.9799999999996</v>
          </cell>
        </row>
        <row r="497">
          <cell r="A497" t="str">
            <v>11/29/2004 0:00</v>
          </cell>
          <cell r="E497">
            <v>1516.62</v>
          </cell>
        </row>
        <row r="498">
          <cell r="A498" t="str">
            <v>12/9/2004 0:00</v>
          </cell>
          <cell r="E498">
            <v>2509</v>
          </cell>
        </row>
        <row r="499">
          <cell r="A499" t="str">
            <v>1/20/2005 0:00</v>
          </cell>
          <cell r="E499">
            <v>9240.44</v>
          </cell>
        </row>
        <row r="500">
          <cell r="A500" t="str">
            <v>2/16/2005 0:00</v>
          </cell>
          <cell r="E500">
            <v>2515.3200000000002</v>
          </cell>
        </row>
        <row r="501">
          <cell r="A501" t="str">
            <v>3/9/2005 0:00</v>
          </cell>
          <cell r="E501">
            <v>5548.9</v>
          </cell>
        </row>
        <row r="502">
          <cell r="A502" t="str">
            <v>5/30/2005 0:00</v>
          </cell>
          <cell r="E502">
            <v>4873.05</v>
          </cell>
        </row>
        <row r="503">
          <cell r="A503" t="str">
            <v>1/10/2003 0:00</v>
          </cell>
          <cell r="E503">
            <v>2055.7399999999998</v>
          </cell>
        </row>
        <row r="504">
          <cell r="A504" t="str">
            <v>3/25/2003 0:00</v>
          </cell>
          <cell r="E504">
            <v>2354.88</v>
          </cell>
        </row>
        <row r="505">
          <cell r="A505" t="str">
            <v>5/28/2003 0:00</v>
          </cell>
          <cell r="E505">
            <v>2309.58</v>
          </cell>
        </row>
        <row r="506">
          <cell r="A506" t="str">
            <v>7/16/2003 0:00</v>
          </cell>
          <cell r="E506">
            <v>2113.37</v>
          </cell>
        </row>
        <row r="507">
          <cell r="A507" t="str">
            <v>9/12/2003 0:00</v>
          </cell>
          <cell r="E507">
            <v>1746.6</v>
          </cell>
        </row>
        <row r="508">
          <cell r="A508" t="str">
            <v>10/18/2003 0:00</v>
          </cell>
          <cell r="E508">
            <v>2304.4499999999998</v>
          </cell>
        </row>
        <row r="509">
          <cell r="A509" t="str">
            <v>11/5/2003 0:00</v>
          </cell>
          <cell r="E509">
            <v>2122.08</v>
          </cell>
        </row>
        <row r="510">
          <cell r="A510" t="str">
            <v>11/12/2003 0:00</v>
          </cell>
          <cell r="E510">
            <v>1742.4</v>
          </cell>
        </row>
        <row r="511">
          <cell r="A511" t="str">
            <v>11/21/2003 0:00</v>
          </cell>
          <cell r="E511">
            <v>2455.02</v>
          </cell>
        </row>
        <row r="512">
          <cell r="A512" t="str">
            <v>12/3/2003 0:00</v>
          </cell>
          <cell r="E512">
            <v>3053.28</v>
          </cell>
        </row>
        <row r="513">
          <cell r="A513" t="str">
            <v>1/29/2004 0:00</v>
          </cell>
          <cell r="E513">
            <v>1423.29</v>
          </cell>
        </row>
        <row r="514">
          <cell r="A514" t="str">
            <v>3/2/2004 0:00</v>
          </cell>
          <cell r="E514">
            <v>1504.12</v>
          </cell>
        </row>
        <row r="515">
          <cell r="A515" t="str">
            <v>4/29/2004 0:00</v>
          </cell>
          <cell r="E515">
            <v>1164.4000000000001</v>
          </cell>
        </row>
        <row r="516">
          <cell r="A516" t="str">
            <v>6/8/2004 0:00</v>
          </cell>
          <cell r="E516">
            <v>1500.75</v>
          </cell>
        </row>
        <row r="517">
          <cell r="A517" t="str">
            <v>8/17/2004 0:00</v>
          </cell>
          <cell r="E517">
            <v>1557.36</v>
          </cell>
        </row>
        <row r="518">
          <cell r="A518" t="str">
            <v>9/3/2004 0:00</v>
          </cell>
          <cell r="E518">
            <v>1345.68</v>
          </cell>
        </row>
        <row r="519">
          <cell r="A519" t="str">
            <v>10/11/2004 0:00</v>
          </cell>
          <cell r="E519">
            <v>1795.24</v>
          </cell>
        </row>
        <row r="520">
          <cell r="A520" t="str">
            <v>10/21/2004 0:00</v>
          </cell>
          <cell r="E520">
            <v>1105.25</v>
          </cell>
        </row>
        <row r="521">
          <cell r="A521" t="str">
            <v>11/4/2004 0:00</v>
          </cell>
          <cell r="E521">
            <v>2364.88</v>
          </cell>
        </row>
        <row r="522">
          <cell r="A522" t="str">
            <v>11/17/2004 0:00</v>
          </cell>
          <cell r="E522">
            <v>2427.0300000000002</v>
          </cell>
        </row>
        <row r="523">
          <cell r="A523" t="str">
            <v>11/29/2004 0:00</v>
          </cell>
          <cell r="E523">
            <v>1237.95</v>
          </cell>
        </row>
        <row r="524">
          <cell r="A524" t="str">
            <v>12/9/2004 0:00</v>
          </cell>
          <cell r="E524">
            <v>1593.02</v>
          </cell>
        </row>
        <row r="525">
          <cell r="A525" t="str">
            <v>1/20/2005 0:00</v>
          </cell>
          <cell r="E525">
            <v>3156.16</v>
          </cell>
        </row>
        <row r="526">
          <cell r="A526" t="str">
            <v>2/17/2005 0:00</v>
          </cell>
          <cell r="E526">
            <v>1320.75</v>
          </cell>
        </row>
        <row r="527">
          <cell r="A527" t="str">
            <v>3/9/2005 0:00</v>
          </cell>
          <cell r="E527">
            <v>4998</v>
          </cell>
        </row>
        <row r="528">
          <cell r="A528" t="str">
            <v>5/30/2005 0:00</v>
          </cell>
          <cell r="E528">
            <v>1293.75</v>
          </cell>
        </row>
        <row r="529">
          <cell r="A529" t="str">
            <v>3/18/2003 0:00</v>
          </cell>
          <cell r="E529">
            <v>5433.08</v>
          </cell>
        </row>
        <row r="530">
          <cell r="A530" t="str">
            <v>5/20/2003 0:00</v>
          </cell>
          <cell r="E530">
            <v>3073.72</v>
          </cell>
        </row>
        <row r="531">
          <cell r="A531" t="str">
            <v>7/10/2003 0:00</v>
          </cell>
          <cell r="E531">
            <v>4380.2</v>
          </cell>
        </row>
        <row r="532">
          <cell r="A532" t="str">
            <v>9/11/2003 0:00</v>
          </cell>
          <cell r="E532">
            <v>5848.68</v>
          </cell>
        </row>
        <row r="533">
          <cell r="A533" t="str">
            <v>10/17/2003 0:00</v>
          </cell>
          <cell r="E533">
            <v>6153.73</v>
          </cell>
        </row>
        <row r="534">
          <cell r="A534" t="str">
            <v>11/5/2003 0:00</v>
          </cell>
          <cell r="E534">
            <v>4965.24</v>
          </cell>
        </row>
        <row r="535">
          <cell r="A535" t="str">
            <v>11/12/2003 0:00</v>
          </cell>
          <cell r="E535">
            <v>5435.64</v>
          </cell>
        </row>
        <row r="536">
          <cell r="A536" t="str">
            <v>11/20/2003 0:00</v>
          </cell>
          <cell r="E536">
            <v>4258.3599999999997</v>
          </cell>
        </row>
        <row r="537">
          <cell r="A537" t="str">
            <v>12/2/2003 0:00</v>
          </cell>
          <cell r="E537">
            <v>4032</v>
          </cell>
        </row>
        <row r="538">
          <cell r="A538" t="str">
            <v>1/16/2004 0:00</v>
          </cell>
          <cell r="E538">
            <v>4492.3599999999997</v>
          </cell>
        </row>
        <row r="539">
          <cell r="A539" t="str">
            <v>2/26/2004 0:00</v>
          </cell>
          <cell r="E539">
            <v>4161.38</v>
          </cell>
        </row>
        <row r="540">
          <cell r="A540" t="str">
            <v>4/13/2004 0:00</v>
          </cell>
          <cell r="E540">
            <v>2508.66</v>
          </cell>
        </row>
        <row r="541">
          <cell r="A541" t="str">
            <v>6/1/2004 0:00</v>
          </cell>
          <cell r="E541">
            <v>3374.88</v>
          </cell>
        </row>
        <row r="542">
          <cell r="A542" t="str">
            <v>7/6/2004 0:00</v>
          </cell>
          <cell r="E542">
            <v>5196.6000000000004</v>
          </cell>
        </row>
        <row r="543">
          <cell r="A543" t="str">
            <v>8/6/2004 0:00</v>
          </cell>
          <cell r="E543">
            <v>2604.52</v>
          </cell>
        </row>
        <row r="544">
          <cell r="A544" t="str">
            <v>9/1/2004 0:00</v>
          </cell>
          <cell r="E544">
            <v>2936.8</v>
          </cell>
        </row>
        <row r="545">
          <cell r="A545" t="str">
            <v>10/5/2003 0:00</v>
          </cell>
          <cell r="E545">
            <v>3424.64</v>
          </cell>
        </row>
        <row r="546">
          <cell r="A546" t="str">
            <v>10/16/2004 0:00</v>
          </cell>
          <cell r="E546">
            <v>2923.2</v>
          </cell>
        </row>
        <row r="547">
          <cell r="A547" t="str">
            <v>11/4/2004 0:00</v>
          </cell>
          <cell r="E547">
            <v>4489.76</v>
          </cell>
        </row>
        <row r="548">
          <cell r="A548" t="str">
            <v>11/17/2004 0:00</v>
          </cell>
          <cell r="E548">
            <v>4849.24</v>
          </cell>
        </row>
        <row r="549">
          <cell r="A549" t="str">
            <v>11/24/2004 0:00</v>
          </cell>
          <cell r="E549">
            <v>5848.92</v>
          </cell>
        </row>
        <row r="550">
          <cell r="A550" t="str">
            <v>1/12/2005 0:00</v>
          </cell>
          <cell r="E550">
            <v>2758.7</v>
          </cell>
        </row>
        <row r="551">
          <cell r="A551" t="str">
            <v>2/10/2005 0:00</v>
          </cell>
          <cell r="E551">
            <v>1449.76</v>
          </cell>
        </row>
        <row r="552">
          <cell r="A552" t="str">
            <v>4/22/2005 0:00</v>
          </cell>
          <cell r="E552">
            <v>7048.14</v>
          </cell>
        </row>
        <row r="553">
          <cell r="A553" t="str">
            <v>5/17/2005 0:00</v>
          </cell>
          <cell r="E553">
            <v>5202.9399999999996</v>
          </cell>
        </row>
        <row r="554">
          <cell r="A554" t="str">
            <v>2/17/2003 0:00</v>
          </cell>
          <cell r="E554">
            <v>5279.4</v>
          </cell>
        </row>
        <row r="555">
          <cell r="A555" t="str">
            <v>4/28/2003 0:00</v>
          </cell>
          <cell r="E555">
            <v>6916.12</v>
          </cell>
        </row>
        <row r="556">
          <cell r="A556" t="str">
            <v>6/16/2003 0:00</v>
          </cell>
          <cell r="E556">
            <v>2781.66</v>
          </cell>
        </row>
        <row r="557">
          <cell r="A557" t="str">
            <v>8/10/2003 0:00</v>
          </cell>
          <cell r="E557">
            <v>5248</v>
          </cell>
        </row>
        <row r="558">
          <cell r="A558" t="str">
            <v>10/6/2003 0:00</v>
          </cell>
          <cell r="E558">
            <v>6531.44</v>
          </cell>
        </row>
        <row r="559">
          <cell r="A559" t="str">
            <v>10/23/2003 0:00</v>
          </cell>
          <cell r="E559">
            <v>5763.72</v>
          </cell>
        </row>
        <row r="560">
          <cell r="A560" t="str">
            <v>11/8/2003 0:00</v>
          </cell>
          <cell r="E560">
            <v>6490.68</v>
          </cell>
        </row>
        <row r="561">
          <cell r="A561" t="str">
            <v>11/14/2003 0:00</v>
          </cell>
          <cell r="E561">
            <v>6004.8</v>
          </cell>
        </row>
        <row r="562">
          <cell r="A562" t="str">
            <v>11/27/2003 0:00</v>
          </cell>
          <cell r="E562">
            <v>7483.98</v>
          </cell>
        </row>
        <row r="563">
          <cell r="A563" t="str">
            <v>1/12/2004 0:00</v>
          </cell>
          <cell r="E563">
            <v>5719.5</v>
          </cell>
        </row>
        <row r="564">
          <cell r="A564" t="str">
            <v>2/19/2004 0:00</v>
          </cell>
          <cell r="E564">
            <v>6954.08</v>
          </cell>
        </row>
        <row r="565">
          <cell r="A565" t="str">
            <v>5/11/2004 0:00</v>
          </cell>
          <cell r="E565">
            <v>8160.3</v>
          </cell>
        </row>
        <row r="566">
          <cell r="A566" t="str">
            <v>6/24/2004 0:00</v>
          </cell>
          <cell r="E566">
            <v>6567.96</v>
          </cell>
        </row>
        <row r="567">
          <cell r="A567" t="str">
            <v>7/21/2004 0:00</v>
          </cell>
          <cell r="E567">
            <v>6724</v>
          </cell>
        </row>
        <row r="568">
          <cell r="A568" t="str">
            <v>8/21/2004 0:00</v>
          </cell>
          <cell r="E568">
            <v>5747.85</v>
          </cell>
        </row>
        <row r="569">
          <cell r="A569" t="str">
            <v>9/15/2004 0:00</v>
          </cell>
          <cell r="E569">
            <v>5676.84</v>
          </cell>
        </row>
        <row r="570">
          <cell r="A570" t="str">
            <v>10/14/2004 0:00</v>
          </cell>
          <cell r="E570">
            <v>7379.97</v>
          </cell>
        </row>
        <row r="571">
          <cell r="A571" t="str">
            <v>11/1/2004 0:00</v>
          </cell>
          <cell r="E571">
            <v>3704.13</v>
          </cell>
        </row>
        <row r="572">
          <cell r="A572" t="str">
            <v>11/10/2004 0:00</v>
          </cell>
          <cell r="E572">
            <v>2804.75</v>
          </cell>
        </row>
        <row r="573">
          <cell r="A573" t="str">
            <v>11/22/2004 0:00</v>
          </cell>
          <cell r="E573">
            <v>5624.79</v>
          </cell>
        </row>
        <row r="574">
          <cell r="A574" t="str">
            <v>12/3/2004 0:00</v>
          </cell>
          <cell r="E574">
            <v>3881.28</v>
          </cell>
        </row>
        <row r="575">
          <cell r="A575" t="str">
            <v>1/31/2005 0:00</v>
          </cell>
          <cell r="E575">
            <v>1611.4</v>
          </cell>
        </row>
        <row r="576">
          <cell r="A576" t="str">
            <v>3/1/2005 0:00</v>
          </cell>
          <cell r="E576">
            <v>1364.25</v>
          </cell>
        </row>
        <row r="577">
          <cell r="A577" t="str">
            <v>3/30/2005 0:00</v>
          </cell>
          <cell r="E577">
            <v>4215.09</v>
          </cell>
        </row>
        <row r="578">
          <cell r="A578" t="str">
            <v>4/1/2005 0:00</v>
          </cell>
          <cell r="E578">
            <v>6433.82</v>
          </cell>
        </row>
        <row r="579">
          <cell r="A579" t="str">
            <v>5/10/2005 0:00</v>
          </cell>
          <cell r="E579">
            <v>4352.16</v>
          </cell>
        </row>
        <row r="580">
          <cell r="A580" t="str">
            <v>1/6/2003 0:00</v>
          </cell>
          <cell r="E580">
            <v>5151</v>
          </cell>
        </row>
        <row r="581">
          <cell r="A581" t="str">
            <v>3/18/2003 0:00</v>
          </cell>
          <cell r="E581">
            <v>6069</v>
          </cell>
        </row>
        <row r="582">
          <cell r="A582" t="str">
            <v>5/21/2003 0:00</v>
          </cell>
          <cell r="E582">
            <v>2856</v>
          </cell>
        </row>
        <row r="583">
          <cell r="A583" t="str">
            <v>9/12/2003 0:00</v>
          </cell>
          <cell r="E583">
            <v>5375.4</v>
          </cell>
        </row>
        <row r="584">
          <cell r="A584" t="str">
            <v>10/18/2003 0:00</v>
          </cell>
          <cell r="E584">
            <v>5176.5</v>
          </cell>
        </row>
        <row r="585">
          <cell r="A585" t="str">
            <v>11/5/2003 0:00</v>
          </cell>
          <cell r="E585">
            <v>3508.8</v>
          </cell>
        </row>
        <row r="586">
          <cell r="A586" t="str">
            <v>11/12/2003 0:00</v>
          </cell>
          <cell r="E586">
            <v>7554.8</v>
          </cell>
        </row>
        <row r="587">
          <cell r="A587" t="str">
            <v>11/21/2003 0:00</v>
          </cell>
          <cell r="E587">
            <v>3141.6</v>
          </cell>
        </row>
        <row r="588">
          <cell r="A588" t="str">
            <v>12/2/2003 0:00</v>
          </cell>
          <cell r="E588">
            <v>5890.5</v>
          </cell>
        </row>
        <row r="589">
          <cell r="A589" t="str">
            <v>1/26/2004 0:00</v>
          </cell>
          <cell r="E589">
            <v>5967</v>
          </cell>
        </row>
        <row r="590">
          <cell r="A590" t="str">
            <v>3/2/2004 0:00</v>
          </cell>
          <cell r="E590">
            <v>3712.8</v>
          </cell>
        </row>
        <row r="591">
          <cell r="A591" t="str">
            <v>4/13/2004 0:00</v>
          </cell>
          <cell r="E591">
            <v>7597.3</v>
          </cell>
        </row>
        <row r="592">
          <cell r="A592" t="str">
            <v>8/17/2004 0:00</v>
          </cell>
          <cell r="E592">
            <v>3668.6</v>
          </cell>
        </row>
        <row r="593">
          <cell r="A593" t="str">
            <v>9/1/2004 0:00</v>
          </cell>
          <cell r="E593">
            <v>5875.2</v>
          </cell>
        </row>
        <row r="594">
          <cell r="A594" t="str">
            <v>10/6/2003 0:00</v>
          </cell>
          <cell r="E594">
            <v>7310</v>
          </cell>
        </row>
        <row r="595">
          <cell r="A595" t="str">
            <v>10/21/2004 0:00</v>
          </cell>
          <cell r="E595">
            <v>8078.4</v>
          </cell>
        </row>
        <row r="596">
          <cell r="A596" t="str">
            <v>11/17/2004 0:00</v>
          </cell>
          <cell r="E596">
            <v>3257.76</v>
          </cell>
        </row>
        <row r="597">
          <cell r="A597" t="str">
            <v>11/25/2004 0:00</v>
          </cell>
          <cell r="E597">
            <v>7650</v>
          </cell>
        </row>
        <row r="598">
          <cell r="A598" t="str">
            <v>1/12/2005 0:00</v>
          </cell>
          <cell r="E598">
            <v>4703.8100000000004</v>
          </cell>
        </row>
        <row r="599">
          <cell r="A599" t="str">
            <v>2/10/2005 0:00</v>
          </cell>
          <cell r="E599">
            <v>5399.55</v>
          </cell>
        </row>
        <row r="600">
          <cell r="A600" t="str">
            <v>4/22/2005 0:00</v>
          </cell>
          <cell r="E600">
            <v>14082.8</v>
          </cell>
        </row>
        <row r="601">
          <cell r="A601" t="str">
            <v>5/29/2005 0:00</v>
          </cell>
          <cell r="E601">
            <v>5283.6</v>
          </cell>
        </row>
        <row r="602">
          <cell r="A602" t="str">
            <v>3/3/2003 0:00</v>
          </cell>
          <cell r="E602">
            <v>3130.82</v>
          </cell>
        </row>
        <row r="603">
          <cell r="A603" t="str">
            <v>5/8/2003 0:00</v>
          </cell>
          <cell r="E603">
            <v>3112.34</v>
          </cell>
        </row>
        <row r="604">
          <cell r="A604" t="str">
            <v>7/2/2003 0:00</v>
          </cell>
          <cell r="E604">
            <v>3806.88</v>
          </cell>
        </row>
        <row r="605">
          <cell r="A605" t="str">
            <v>9/5/2003 0:00</v>
          </cell>
          <cell r="E605">
            <v>2142.14</v>
          </cell>
        </row>
        <row r="606">
          <cell r="A606" t="str">
            <v>10/11/2003 0:00</v>
          </cell>
          <cell r="E606">
            <v>3364.9</v>
          </cell>
        </row>
        <row r="607">
          <cell r="A607" t="str">
            <v>11/4/2003 0:00</v>
          </cell>
          <cell r="E607">
            <v>1262.8</v>
          </cell>
        </row>
        <row r="608">
          <cell r="A608" t="str">
            <v>11/12/2003 0:00</v>
          </cell>
          <cell r="E608">
            <v>1626.24</v>
          </cell>
        </row>
        <row r="609">
          <cell r="A609" t="str">
            <v>11/20/2003 0:00</v>
          </cell>
          <cell r="E609">
            <v>4088.7</v>
          </cell>
        </row>
        <row r="610">
          <cell r="A610" t="str">
            <v>12/2/2003 0:00</v>
          </cell>
          <cell r="E610">
            <v>3846.15</v>
          </cell>
        </row>
        <row r="611">
          <cell r="A611" t="str">
            <v>1/16/2004 0:00</v>
          </cell>
          <cell r="E611">
            <v>1339.8</v>
          </cell>
        </row>
        <row r="612">
          <cell r="A612" t="str">
            <v>2/22/2004 0:00</v>
          </cell>
          <cell r="E612">
            <v>3039.96</v>
          </cell>
        </row>
        <row r="613">
          <cell r="A613" t="str">
            <v>4/12/2004 0:00</v>
          </cell>
          <cell r="E613">
            <v>3400.32</v>
          </cell>
        </row>
        <row r="614">
          <cell r="A614" t="str">
            <v>6/1/2004 0:00</v>
          </cell>
          <cell r="E614">
            <v>1930.39</v>
          </cell>
        </row>
        <row r="615">
          <cell r="A615" t="str">
            <v>7/6/2004 0:00</v>
          </cell>
          <cell r="E615">
            <v>2464.77</v>
          </cell>
        </row>
        <row r="616">
          <cell r="A616" t="str">
            <v>8/6/2004 0:00</v>
          </cell>
          <cell r="E616">
            <v>2634.94</v>
          </cell>
        </row>
        <row r="617">
          <cell r="A617" t="str">
            <v>8/30/2004 0:00</v>
          </cell>
          <cell r="E617">
            <v>3625.16</v>
          </cell>
        </row>
        <row r="618">
          <cell r="A618" t="str">
            <v>10/4/2003 0:00</v>
          </cell>
          <cell r="E618">
            <v>3788.4</v>
          </cell>
        </row>
        <row r="619">
          <cell r="A619" t="str">
            <v>10/16/2004 0:00</v>
          </cell>
          <cell r="E619">
            <v>1832.6</v>
          </cell>
        </row>
        <row r="620">
          <cell r="A620" t="str">
            <v>11/4/2004 0:00</v>
          </cell>
          <cell r="E620">
            <v>2905.98</v>
          </cell>
        </row>
        <row r="621">
          <cell r="A621" t="str">
            <v>11/15/2004 0:00</v>
          </cell>
          <cell r="E621">
            <v>2954.81</v>
          </cell>
        </row>
        <row r="622">
          <cell r="A622" t="str">
            <v>11/24/2004 0:00</v>
          </cell>
          <cell r="E622">
            <v>3599.75</v>
          </cell>
        </row>
        <row r="623">
          <cell r="A623" t="str">
            <v>1/6/2005 0:00</v>
          </cell>
          <cell r="E623">
            <v>3686.54</v>
          </cell>
        </row>
        <row r="624">
          <cell r="A624" t="str">
            <v>2/9/2005 0:00</v>
          </cell>
          <cell r="E624">
            <v>2100.56</v>
          </cell>
        </row>
        <row r="625">
          <cell r="A625" t="str">
            <v>3/3/2005 0:00</v>
          </cell>
          <cell r="E625">
            <v>3881.78</v>
          </cell>
        </row>
        <row r="626">
          <cell r="A626" t="str">
            <v>4/14/2005 0:00</v>
          </cell>
          <cell r="E626">
            <v>4509.12</v>
          </cell>
        </row>
        <row r="627">
          <cell r="A627" t="str">
            <v>5/17/2005 0:00</v>
          </cell>
          <cell r="E627">
            <v>3273.27</v>
          </cell>
        </row>
        <row r="628">
          <cell r="A628" t="str">
            <v>3/10/2003 0:00</v>
          </cell>
          <cell r="E628">
            <v>4432.7</v>
          </cell>
        </row>
        <row r="629">
          <cell r="A629" t="str">
            <v>5/8/2003 0:00</v>
          </cell>
          <cell r="E629">
            <v>4100.99</v>
          </cell>
        </row>
        <row r="630">
          <cell r="A630" t="str">
            <v>7/4/2003 0:00</v>
          </cell>
          <cell r="E630">
            <v>5274.72</v>
          </cell>
        </row>
        <row r="631">
          <cell r="A631" t="str">
            <v>9/11/2003 0:00</v>
          </cell>
          <cell r="E631">
            <v>4232</v>
          </cell>
        </row>
        <row r="632">
          <cell r="A632" t="str">
            <v>10/17/2003 0:00</v>
          </cell>
          <cell r="E632">
            <v>6145.44</v>
          </cell>
        </row>
        <row r="633">
          <cell r="A633" t="str">
            <v>11/5/2003 0:00</v>
          </cell>
          <cell r="E633">
            <v>4680.2</v>
          </cell>
        </row>
        <row r="634">
          <cell r="A634" t="str">
            <v>11/12/2003 0:00</v>
          </cell>
          <cell r="E634">
            <v>3286.08</v>
          </cell>
        </row>
        <row r="635">
          <cell r="A635" t="str">
            <v>11/20/2003 0:00</v>
          </cell>
          <cell r="E635">
            <v>7421.3</v>
          </cell>
        </row>
        <row r="636">
          <cell r="A636" t="str">
            <v>12/2/2003 0:00</v>
          </cell>
          <cell r="E636">
            <v>6432.64</v>
          </cell>
        </row>
        <row r="637">
          <cell r="A637" t="str">
            <v>1/16/2004 0:00</v>
          </cell>
          <cell r="E637">
            <v>4840.87</v>
          </cell>
        </row>
        <row r="638">
          <cell r="A638" t="str">
            <v>2/26/2004 0:00</v>
          </cell>
          <cell r="E638">
            <v>3892.08</v>
          </cell>
        </row>
        <row r="639">
          <cell r="A639" t="str">
            <v>4/13/2004 0:00</v>
          </cell>
          <cell r="E639">
            <v>5526.32</v>
          </cell>
        </row>
        <row r="640">
          <cell r="A640" t="str">
            <v>6/1/2004 0:00</v>
          </cell>
          <cell r="E640">
            <v>4459.62</v>
          </cell>
        </row>
        <row r="641">
          <cell r="A641" t="str">
            <v>7/6/2004 0:00</v>
          </cell>
          <cell r="E641">
            <v>6203.4</v>
          </cell>
        </row>
        <row r="642">
          <cell r="A642" t="str">
            <v>8/6/2004 0:00</v>
          </cell>
          <cell r="E642">
            <v>3754.05</v>
          </cell>
        </row>
        <row r="643">
          <cell r="A643" t="str">
            <v>8/30/2004 0:00</v>
          </cell>
          <cell r="E643">
            <v>3516.48</v>
          </cell>
        </row>
        <row r="644">
          <cell r="A644" t="str">
            <v>10/5/2003 0:00</v>
          </cell>
          <cell r="E644">
            <v>7488.04</v>
          </cell>
        </row>
        <row r="645">
          <cell r="A645" t="str">
            <v>10/16/2004 0:00</v>
          </cell>
          <cell r="E645">
            <v>3448.08</v>
          </cell>
        </row>
        <row r="646">
          <cell r="A646" t="str">
            <v>11/4/2004 0:00</v>
          </cell>
          <cell r="E646">
            <v>3734</v>
          </cell>
        </row>
        <row r="647">
          <cell r="A647" t="str">
            <v>11/17/2004 0:00</v>
          </cell>
          <cell r="E647">
            <v>974.1</v>
          </cell>
        </row>
        <row r="648">
          <cell r="A648" t="str">
            <v>11/24/2004 0:00</v>
          </cell>
          <cell r="E648">
            <v>3160.74</v>
          </cell>
        </row>
        <row r="649">
          <cell r="A649" t="str">
            <v>12/9/2004 0:00</v>
          </cell>
          <cell r="E649">
            <v>1746.63</v>
          </cell>
        </row>
        <row r="650">
          <cell r="A650" t="str">
            <v>1/10/2005 0:00</v>
          </cell>
          <cell r="E650">
            <v>4207.84</v>
          </cell>
        </row>
        <row r="651">
          <cell r="A651" t="str">
            <v>2/9/2005 0:00</v>
          </cell>
          <cell r="E651">
            <v>4352.76</v>
          </cell>
        </row>
        <row r="652">
          <cell r="A652" t="str">
            <v>3/4/2005 0:00</v>
          </cell>
          <cell r="E652">
            <v>1463.7</v>
          </cell>
        </row>
        <row r="653">
          <cell r="A653" t="str">
            <v>4/15/2005 0:00</v>
          </cell>
          <cell r="E653">
            <v>7169.28</v>
          </cell>
        </row>
        <row r="654">
          <cell r="A654" t="str">
            <v>5/17/2005 0:00</v>
          </cell>
          <cell r="E654">
            <v>4594.76</v>
          </cell>
        </row>
        <row r="655">
          <cell r="A655" t="str">
            <v>1/31/2003 0:00</v>
          </cell>
          <cell r="E655">
            <v>3457.92</v>
          </cell>
        </row>
        <row r="656">
          <cell r="A656" t="str">
            <v>4/4/2003 0:00</v>
          </cell>
          <cell r="E656">
            <v>7381.16</v>
          </cell>
        </row>
        <row r="657">
          <cell r="A657" t="str">
            <v>6/3/2003 0:00</v>
          </cell>
          <cell r="E657">
            <v>7146.9</v>
          </cell>
        </row>
        <row r="658">
          <cell r="A658" t="str">
            <v>8/1/2003 0:00</v>
          </cell>
          <cell r="E658">
            <v>5938.53</v>
          </cell>
        </row>
        <row r="659">
          <cell r="A659" t="str">
            <v>9/21/2003 0:00</v>
          </cell>
          <cell r="E659">
            <v>7110.91</v>
          </cell>
        </row>
        <row r="660">
          <cell r="A660" t="str">
            <v>10/22/2003 0:00</v>
          </cell>
          <cell r="E660">
            <v>5032.95</v>
          </cell>
        </row>
        <row r="661">
          <cell r="A661" t="str">
            <v>11/6/2003 0:00</v>
          </cell>
          <cell r="E661">
            <v>3667.6</v>
          </cell>
        </row>
        <row r="662">
          <cell r="A662" t="str">
            <v>11/14/2003 0:00</v>
          </cell>
          <cell r="E662">
            <v>7381.16</v>
          </cell>
        </row>
        <row r="663">
          <cell r="A663" t="str">
            <v>11/25/2003 0:00</v>
          </cell>
          <cell r="E663">
            <v>5128.1099999999997</v>
          </cell>
        </row>
        <row r="664">
          <cell r="A664" t="str">
            <v>12/9/2003 0:00</v>
          </cell>
          <cell r="E664">
            <v>7060.24</v>
          </cell>
        </row>
        <row r="665">
          <cell r="A665" t="str">
            <v>2/10/2004 0:00</v>
          </cell>
          <cell r="E665">
            <v>8448.64</v>
          </cell>
        </row>
        <row r="666">
          <cell r="A666" t="str">
            <v>3/15/2004 0:00</v>
          </cell>
          <cell r="E666">
            <v>7300.51</v>
          </cell>
        </row>
        <row r="667">
          <cell r="A667" t="str">
            <v>5/5/2004 0:00</v>
          </cell>
          <cell r="E667">
            <v>6549.2</v>
          </cell>
        </row>
        <row r="668">
          <cell r="A668" t="str">
            <v>6/15/2004 0:00</v>
          </cell>
          <cell r="E668">
            <v>5697.9</v>
          </cell>
        </row>
        <row r="669">
          <cell r="A669" t="str">
            <v>7/20/2004 0:00</v>
          </cell>
          <cell r="E669">
            <v>9169</v>
          </cell>
        </row>
        <row r="670">
          <cell r="A670" t="str">
            <v>8/20/2004 0:00</v>
          </cell>
          <cell r="E670">
            <v>3238.63</v>
          </cell>
        </row>
        <row r="671">
          <cell r="A671" t="str">
            <v>9/8/2004 0:00</v>
          </cell>
          <cell r="E671">
            <v>4554.9399999999996</v>
          </cell>
        </row>
        <row r="672">
          <cell r="A672" t="str">
            <v>10/13/2004 0:00</v>
          </cell>
          <cell r="E672">
            <v>3934.44</v>
          </cell>
        </row>
        <row r="673">
          <cell r="A673" t="str">
            <v>10/22/2004 0:00</v>
          </cell>
          <cell r="E673">
            <v>5776.26</v>
          </cell>
        </row>
        <row r="674">
          <cell r="A674" t="str">
            <v>11/5/2004 0:00</v>
          </cell>
          <cell r="E674">
            <v>7207.45</v>
          </cell>
        </row>
        <row r="675">
          <cell r="A675" t="str">
            <v>11/20/2004 0:00</v>
          </cell>
          <cell r="E675">
            <v>7460.74</v>
          </cell>
        </row>
        <row r="676">
          <cell r="A676" t="str">
            <v>12/1/2004 0:00</v>
          </cell>
          <cell r="E676">
            <v>6719.54</v>
          </cell>
        </row>
        <row r="677">
          <cell r="A677" t="str">
            <v>12/10/2004 0:00</v>
          </cell>
          <cell r="E677">
            <v>2428</v>
          </cell>
        </row>
        <row r="678">
          <cell r="A678" t="str">
            <v>1/23/2005 0:00</v>
          </cell>
          <cell r="E678">
            <v>2602.25</v>
          </cell>
        </row>
        <row r="679">
          <cell r="A679" t="str">
            <v>2/17/2005 0:00</v>
          </cell>
          <cell r="E679">
            <v>2200</v>
          </cell>
        </row>
        <row r="680">
          <cell r="A680" t="str">
            <v>5/3/2005 0:00</v>
          </cell>
          <cell r="E680">
            <v>6712.93</v>
          </cell>
        </row>
        <row r="681">
          <cell r="A681" t="str">
            <v>5/31/2005 0:00</v>
          </cell>
          <cell r="E681">
            <v>5318.04</v>
          </cell>
        </row>
        <row r="682">
          <cell r="A682" t="str">
            <v>1/6/2003 0:00</v>
          </cell>
          <cell r="E682">
            <v>3390</v>
          </cell>
        </row>
        <row r="683">
          <cell r="A683" t="str">
            <v>3/18/2003 0:00</v>
          </cell>
          <cell r="E683">
            <v>1608</v>
          </cell>
        </row>
        <row r="684">
          <cell r="A684" t="str">
            <v>5/21/2003 0:00</v>
          </cell>
          <cell r="E684">
            <v>2262.96</v>
          </cell>
        </row>
        <row r="685">
          <cell r="A685" t="str">
            <v>9/12/2003 0:00</v>
          </cell>
          <cell r="E685">
            <v>1496.64</v>
          </cell>
        </row>
        <row r="686">
          <cell r="A686" t="str">
            <v>10/18/2003 0:00</v>
          </cell>
          <cell r="E686">
            <v>1879.74</v>
          </cell>
        </row>
        <row r="687">
          <cell r="A687" t="str">
            <v>11/5/2003 0:00</v>
          </cell>
          <cell r="E687">
            <v>1495.26</v>
          </cell>
        </row>
        <row r="688">
          <cell r="A688" t="str">
            <v>11/12/2003 0:00</v>
          </cell>
          <cell r="E688">
            <v>2323.6999999999998</v>
          </cell>
        </row>
        <row r="689">
          <cell r="A689" t="str">
            <v>11/21/2003 0:00</v>
          </cell>
          <cell r="E689">
            <v>2491.86</v>
          </cell>
        </row>
        <row r="690">
          <cell r="A690" t="str">
            <v>12/2/2003 0:00</v>
          </cell>
          <cell r="E690">
            <v>1643.12</v>
          </cell>
        </row>
        <row r="691">
          <cell r="A691" t="str">
            <v>1/26/2004 0:00</v>
          </cell>
          <cell r="E691">
            <v>1322.16</v>
          </cell>
        </row>
        <row r="692">
          <cell r="A692" t="str">
            <v>3/2/2004 0:00</v>
          </cell>
          <cell r="E692">
            <v>1423.8</v>
          </cell>
        </row>
        <row r="693">
          <cell r="A693" t="str">
            <v>4/13/2004 0:00</v>
          </cell>
          <cell r="E693">
            <v>2397.4499999999998</v>
          </cell>
        </row>
        <row r="694">
          <cell r="A694" t="str">
            <v>8/17/2004 0:00</v>
          </cell>
          <cell r="E694">
            <v>1574</v>
          </cell>
        </row>
        <row r="695">
          <cell r="A695" t="str">
            <v>9/1/2004 0:00</v>
          </cell>
          <cell r="E695">
            <v>1729</v>
          </cell>
        </row>
        <row r="696">
          <cell r="A696" t="str">
            <v>10/6/2004 0:00</v>
          </cell>
          <cell r="E696">
            <v>2255.84</v>
          </cell>
        </row>
        <row r="697">
          <cell r="A697" t="str">
            <v>10/21/2004 0:00</v>
          </cell>
          <cell r="E697">
            <v>1834.5</v>
          </cell>
        </row>
        <row r="698">
          <cell r="A698" t="str">
            <v>11/17/2004 0:00</v>
          </cell>
          <cell r="E698">
            <v>3201.5</v>
          </cell>
        </row>
        <row r="699">
          <cell r="A699" t="str">
            <v>11/25/2004 0:00</v>
          </cell>
          <cell r="E699">
            <v>2276.4</v>
          </cell>
        </row>
        <row r="700">
          <cell r="A700" t="str">
            <v>1/12/2005 0:00</v>
          </cell>
          <cell r="E700">
            <v>8884.7999999999993</v>
          </cell>
        </row>
        <row r="701">
          <cell r="A701" t="str">
            <v>2/10/2005 0:00</v>
          </cell>
          <cell r="E701">
            <v>1331.1</v>
          </cell>
        </row>
        <row r="702">
          <cell r="A702" t="str">
            <v>4/22/2005 0:00</v>
          </cell>
          <cell r="E702">
            <v>3051.3</v>
          </cell>
        </row>
        <row r="703">
          <cell r="A703" t="str">
            <v>5/29/2005 0:00</v>
          </cell>
          <cell r="E703">
            <v>2288.52</v>
          </cell>
        </row>
        <row r="704">
          <cell r="A704" t="str">
            <v>1/31/2003 0:00</v>
          </cell>
          <cell r="E704">
            <v>3772.61</v>
          </cell>
        </row>
        <row r="705">
          <cell r="A705" t="str">
            <v>4/1/2003 0:00</v>
          </cell>
          <cell r="E705">
            <v>4164.42</v>
          </cell>
        </row>
        <row r="706">
          <cell r="A706" t="str">
            <v>6/3/2003 0:00</v>
          </cell>
          <cell r="E706">
            <v>6295.95</v>
          </cell>
        </row>
        <row r="707">
          <cell r="A707" t="str">
            <v>8/1/2003 0:00</v>
          </cell>
          <cell r="E707">
            <v>6287.66</v>
          </cell>
        </row>
        <row r="708">
          <cell r="A708" t="str">
            <v>9/21/2003 0:00</v>
          </cell>
          <cell r="E708">
            <v>5412.54</v>
          </cell>
        </row>
        <row r="709">
          <cell r="A709" t="str">
            <v>10/22/2003 0:00</v>
          </cell>
          <cell r="E709">
            <v>5984.14</v>
          </cell>
        </row>
        <row r="710">
          <cell r="A710" t="str">
            <v>11/6/2003 0:00</v>
          </cell>
          <cell r="E710">
            <v>5891.04</v>
          </cell>
        </row>
        <row r="711">
          <cell r="A711" t="str">
            <v>11/14/2003 0:00</v>
          </cell>
          <cell r="E711">
            <v>5984.14</v>
          </cell>
        </row>
        <row r="712">
          <cell r="A712" t="str">
            <v>11/25/2003 0:00</v>
          </cell>
          <cell r="E712">
            <v>3608.15</v>
          </cell>
        </row>
        <row r="713">
          <cell r="A713" t="str">
            <v>12/9/2003 0:00</v>
          </cell>
          <cell r="E713">
            <v>5752.54</v>
          </cell>
        </row>
        <row r="714">
          <cell r="A714" t="str">
            <v>3/11/2004 0:00</v>
          </cell>
          <cell r="E714">
            <v>3765.32</v>
          </cell>
        </row>
        <row r="715">
          <cell r="A715" t="str">
            <v>5/5/2004 0:00</v>
          </cell>
          <cell r="E715">
            <v>2159.96</v>
          </cell>
        </row>
        <row r="716">
          <cell r="A716" t="str">
            <v>6/15/2004 0:00</v>
          </cell>
          <cell r="E716">
            <v>3379.94</v>
          </cell>
        </row>
        <row r="717">
          <cell r="A717" t="str">
            <v>7/20/2004 0:00</v>
          </cell>
          <cell r="E717">
            <v>5093.5</v>
          </cell>
        </row>
        <row r="718">
          <cell r="A718" t="str">
            <v>8/19/2004 0:00</v>
          </cell>
          <cell r="E718">
            <v>5773.44</v>
          </cell>
        </row>
        <row r="719">
          <cell r="A719" t="str">
            <v>9/8/2004 0:00</v>
          </cell>
          <cell r="E719">
            <v>4528.8599999999997</v>
          </cell>
        </row>
        <row r="720">
          <cell r="A720" t="str">
            <v>10/13/2004 0:00</v>
          </cell>
          <cell r="E720">
            <v>4816.08</v>
          </cell>
        </row>
        <row r="721">
          <cell r="A721" t="str">
            <v>10/22/2004 0:00</v>
          </cell>
          <cell r="E721">
            <v>3416.78</v>
          </cell>
        </row>
        <row r="722">
          <cell r="A722" t="str">
            <v>11/5/2004 0:00</v>
          </cell>
          <cell r="E722">
            <v>1236.8399999999999</v>
          </cell>
        </row>
        <row r="723">
          <cell r="A723" t="str">
            <v>11/19/2004 0:00</v>
          </cell>
          <cell r="E723">
            <v>5814.86</v>
          </cell>
        </row>
        <row r="724">
          <cell r="A724" t="str">
            <v>12/1/2004 0:00</v>
          </cell>
          <cell r="E724">
            <v>5223.4799999999996</v>
          </cell>
        </row>
        <row r="725">
          <cell r="A725" t="str">
            <v>12/10/2004 0:00</v>
          </cell>
          <cell r="E725">
            <v>728.4</v>
          </cell>
        </row>
        <row r="726">
          <cell r="A726" t="str">
            <v>1/20/2005 0:00</v>
          </cell>
          <cell r="E726">
            <v>3949</v>
          </cell>
        </row>
        <row r="727">
          <cell r="A727" t="str">
            <v>2/22/2005 0:00</v>
          </cell>
          <cell r="E727">
            <v>3843.99</v>
          </cell>
        </row>
        <row r="728">
          <cell r="A728" t="str">
            <v>5/3/2005 0:00</v>
          </cell>
          <cell r="E728">
            <v>5498.08</v>
          </cell>
        </row>
        <row r="729">
          <cell r="A729" t="str">
            <v>5/31/2005 0:00</v>
          </cell>
          <cell r="E729">
            <v>3777.58</v>
          </cell>
        </row>
        <row r="730">
          <cell r="A730" t="str">
            <v>1/9/2003 0:00</v>
          </cell>
          <cell r="E730">
            <v>3782</v>
          </cell>
        </row>
        <row r="731">
          <cell r="A731" t="str">
            <v>3/18/2003 0:00</v>
          </cell>
          <cell r="E731">
            <v>3859.68</v>
          </cell>
        </row>
        <row r="732">
          <cell r="A732" t="str">
            <v>5/21/2003 0:00</v>
          </cell>
          <cell r="E732">
            <v>4431.84</v>
          </cell>
        </row>
        <row r="733">
          <cell r="A733" t="str">
            <v>9/12/2003 0:00</v>
          </cell>
          <cell r="E733">
            <v>4950.33</v>
          </cell>
        </row>
        <row r="734">
          <cell r="A734" t="str">
            <v>10/18/2003 0:00</v>
          </cell>
          <cell r="E734">
            <v>4299.7</v>
          </cell>
        </row>
        <row r="735">
          <cell r="A735" t="str">
            <v>11/5/2003 0:00</v>
          </cell>
          <cell r="E735">
            <v>4492.83</v>
          </cell>
        </row>
        <row r="736">
          <cell r="A736" t="str">
            <v>11/12/2003 0:00</v>
          </cell>
          <cell r="E736">
            <v>2212</v>
          </cell>
        </row>
        <row r="737">
          <cell r="A737" t="str">
            <v>11/21/2003 0:00</v>
          </cell>
          <cell r="E737">
            <v>4642.88</v>
          </cell>
        </row>
        <row r="738">
          <cell r="A738" t="str">
            <v>12/2/2003 0:00</v>
          </cell>
          <cell r="E738">
            <v>3206.32</v>
          </cell>
        </row>
        <row r="739">
          <cell r="A739" t="str">
            <v>1/26/2004 0:00</v>
          </cell>
          <cell r="E739">
            <v>3604.23</v>
          </cell>
        </row>
        <row r="740">
          <cell r="A740" t="str">
            <v>3/2/2004 0:00</v>
          </cell>
          <cell r="E740">
            <v>7017.76</v>
          </cell>
        </row>
        <row r="741">
          <cell r="A741" t="str">
            <v>4/26/2004 0:00</v>
          </cell>
          <cell r="E741">
            <v>6154.18</v>
          </cell>
        </row>
        <row r="742">
          <cell r="A742" t="str">
            <v>8/17/2004 0:00</v>
          </cell>
          <cell r="E742">
            <v>4750.8</v>
          </cell>
        </row>
        <row r="743">
          <cell r="A743" t="str">
            <v>9/1/2004 0:00</v>
          </cell>
          <cell r="E743">
            <v>3822.92</v>
          </cell>
        </row>
        <row r="744">
          <cell r="A744" t="str">
            <v>10/11/2004 0:00</v>
          </cell>
          <cell r="E744">
            <v>2440.8000000000002</v>
          </cell>
        </row>
        <row r="745">
          <cell r="A745" t="str">
            <v>10/21/2004 0:00</v>
          </cell>
          <cell r="E745">
            <v>4729.3599999999997</v>
          </cell>
        </row>
        <row r="746">
          <cell r="A746" t="str">
            <v>11/4/2004 0:00</v>
          </cell>
          <cell r="E746">
            <v>12536.5</v>
          </cell>
        </row>
        <row r="747">
          <cell r="A747" t="str">
            <v>11/17/2004 0:00</v>
          </cell>
          <cell r="E747">
            <v>2264.15</v>
          </cell>
        </row>
        <row r="748">
          <cell r="A748" t="str">
            <v>11/25/2004 0:00</v>
          </cell>
          <cell r="E748">
            <v>3928.2</v>
          </cell>
        </row>
        <row r="749">
          <cell r="A749" t="str">
            <v>12/9/2004 0:00</v>
          </cell>
          <cell r="E749">
            <v>3630.22</v>
          </cell>
        </row>
        <row r="750">
          <cell r="A750" t="str">
            <v>1/12/2005 0:00</v>
          </cell>
          <cell r="E750">
            <v>4196.07</v>
          </cell>
        </row>
        <row r="751">
          <cell r="A751" t="str">
            <v>2/16/2005 0:00</v>
          </cell>
          <cell r="E751">
            <v>4931.6000000000004</v>
          </cell>
        </row>
        <row r="752">
          <cell r="A752" t="str">
            <v>3/4/2005 0:00</v>
          </cell>
          <cell r="E752">
            <v>3068.69</v>
          </cell>
        </row>
        <row r="753">
          <cell r="A753" t="str">
            <v>4/23/2005 0:00</v>
          </cell>
          <cell r="E753">
            <v>785.64</v>
          </cell>
        </row>
        <row r="754">
          <cell r="A754" t="str">
            <v>5/29/2005 0:00</v>
          </cell>
          <cell r="E754">
            <v>4977</v>
          </cell>
        </row>
        <row r="755">
          <cell r="A755" t="str">
            <v>1/29/2003 0:00</v>
          </cell>
          <cell r="E755">
            <v>1189.98</v>
          </cell>
        </row>
        <row r="756">
          <cell r="A756" t="str">
            <v>4/1/2003 0:00</v>
          </cell>
          <cell r="E756">
            <v>3090.15</v>
          </cell>
        </row>
        <row r="757">
          <cell r="A757" t="str">
            <v>5/28/2003 0:00</v>
          </cell>
          <cell r="E757">
            <v>2795.86</v>
          </cell>
        </row>
        <row r="758">
          <cell r="A758" t="str">
            <v>7/24/2003 0:00</v>
          </cell>
          <cell r="E758">
            <v>2851.54</v>
          </cell>
        </row>
        <row r="759">
          <cell r="A759" t="str">
            <v>9/21/2003 0:00</v>
          </cell>
          <cell r="E759">
            <v>2701.92</v>
          </cell>
        </row>
        <row r="760">
          <cell r="A760" t="str">
            <v>10/22/2003 0:00</v>
          </cell>
          <cell r="E760">
            <v>2204.1</v>
          </cell>
        </row>
        <row r="761">
          <cell r="A761" t="str">
            <v>11/6/2003 0:00</v>
          </cell>
          <cell r="E761">
            <v>2840.48</v>
          </cell>
        </row>
        <row r="762">
          <cell r="A762" t="str">
            <v>11/14/2003 0:00</v>
          </cell>
          <cell r="E762">
            <v>2647.04</v>
          </cell>
        </row>
        <row r="763">
          <cell r="A763" t="str">
            <v>11/25/2003 0:00</v>
          </cell>
          <cell r="E763">
            <v>3172.05</v>
          </cell>
        </row>
        <row r="764">
          <cell r="A764" t="str">
            <v>12/9/2003 0:00</v>
          </cell>
          <cell r="E764">
            <v>2585.9299999999998</v>
          </cell>
        </row>
        <row r="765">
          <cell r="A765" t="str">
            <v>2/4/2004 0:00</v>
          </cell>
          <cell r="E765">
            <v>2148.3000000000002</v>
          </cell>
        </row>
        <row r="766">
          <cell r="A766" t="str">
            <v>3/11/2004 0:00</v>
          </cell>
          <cell r="E766">
            <v>1667.4</v>
          </cell>
        </row>
        <row r="767">
          <cell r="A767" t="str">
            <v>5/5/2004 0:00</v>
          </cell>
          <cell r="E767">
            <v>1859.7</v>
          </cell>
        </row>
        <row r="768">
          <cell r="A768" t="str">
            <v>6/15/2004 0:00</v>
          </cell>
          <cell r="E768">
            <v>1476.6</v>
          </cell>
        </row>
        <row r="769">
          <cell r="A769" t="str">
            <v>7/20/2004 0:00</v>
          </cell>
          <cell r="E769">
            <v>1732</v>
          </cell>
        </row>
        <row r="770">
          <cell r="A770" t="str">
            <v>8/19/2004 0:00</v>
          </cell>
          <cell r="E770">
            <v>1674.17</v>
          </cell>
        </row>
        <row r="771">
          <cell r="A771" t="str">
            <v>9/8/2004 0:00</v>
          </cell>
          <cell r="E771">
            <v>1500.98</v>
          </cell>
        </row>
        <row r="772">
          <cell r="A772" t="str">
            <v>10/13/2004 0:00</v>
          </cell>
          <cell r="E772">
            <v>2192.6799999999998</v>
          </cell>
        </row>
        <row r="773">
          <cell r="A773" t="str">
            <v>10/22/2004 0:00</v>
          </cell>
          <cell r="E773">
            <v>1797.58</v>
          </cell>
        </row>
        <row r="774">
          <cell r="A774" t="str">
            <v>11/4/2004 0:00</v>
          </cell>
          <cell r="E774">
            <v>2142.35</v>
          </cell>
        </row>
        <row r="775">
          <cell r="A775" t="str">
            <v>11/19/2004 0:00</v>
          </cell>
          <cell r="E775">
            <v>2086.92</v>
          </cell>
        </row>
        <row r="776">
          <cell r="A776" t="str">
            <v>11/29/2004 0:00</v>
          </cell>
          <cell r="E776">
            <v>6834.5</v>
          </cell>
        </row>
        <row r="777">
          <cell r="A777" t="str">
            <v>12/10/2004 0:00</v>
          </cell>
          <cell r="E777">
            <v>2541.59</v>
          </cell>
        </row>
        <row r="778">
          <cell r="A778" t="str">
            <v>1/20/2005 0:00</v>
          </cell>
          <cell r="E778">
            <v>2130.92</v>
          </cell>
        </row>
        <row r="779">
          <cell r="A779" t="str">
            <v>2/17/2005 0:00</v>
          </cell>
          <cell r="E779">
            <v>1701.7</v>
          </cell>
        </row>
        <row r="780">
          <cell r="A780" t="str">
            <v>3/9/2005 0:00</v>
          </cell>
          <cell r="E780">
            <v>1694</v>
          </cell>
        </row>
        <row r="781">
          <cell r="A781" t="str">
            <v>5/3/2005 0:00</v>
          </cell>
          <cell r="E781">
            <v>2913.53</v>
          </cell>
        </row>
        <row r="782">
          <cell r="A782" t="str">
            <v>5/31/2005 0:00</v>
          </cell>
          <cell r="E782">
            <v>935.18</v>
          </cell>
        </row>
        <row r="783">
          <cell r="A783" t="str">
            <v>2/17/2003 0:00</v>
          </cell>
          <cell r="E783">
            <v>3073.26</v>
          </cell>
        </row>
        <row r="784">
          <cell r="A784" t="str">
            <v>4/29/2003 0:00</v>
          </cell>
          <cell r="E784">
            <v>2082.4899999999998</v>
          </cell>
        </row>
        <row r="785">
          <cell r="A785" t="str">
            <v>6/27/2003 0:00</v>
          </cell>
          <cell r="E785">
            <v>3394.23</v>
          </cell>
        </row>
        <row r="786">
          <cell r="A786" t="str">
            <v>8/25/2003 0:00</v>
          </cell>
          <cell r="E786">
            <v>2559.6</v>
          </cell>
        </row>
        <row r="787">
          <cell r="A787" t="str">
            <v>10/28/2003 0:00</v>
          </cell>
          <cell r="E787">
            <v>1490.16</v>
          </cell>
        </row>
        <row r="788">
          <cell r="A788" t="str">
            <v>1/12/2004 0:00</v>
          </cell>
          <cell r="E788">
            <v>3844</v>
          </cell>
        </row>
        <row r="789">
          <cell r="A789" t="str">
            <v>2/20/2004 0:00</v>
          </cell>
          <cell r="E789">
            <v>4724.91</v>
          </cell>
        </row>
        <row r="790">
          <cell r="A790" t="str">
            <v>4/2/2004 0:00</v>
          </cell>
          <cell r="E790">
            <v>1824.72</v>
          </cell>
        </row>
        <row r="791">
          <cell r="A791" t="str">
            <v>5/11/2004 0:00</v>
          </cell>
          <cell r="E791">
            <v>2668.68</v>
          </cell>
        </row>
        <row r="792">
          <cell r="A792" t="str">
            <v>6/28/2004 0:00</v>
          </cell>
          <cell r="E792">
            <v>2843.61</v>
          </cell>
        </row>
        <row r="793">
          <cell r="A793" t="str">
            <v>7/23/2004 0:00</v>
          </cell>
          <cell r="E793">
            <v>3163.65</v>
          </cell>
        </row>
        <row r="794">
          <cell r="A794" t="str">
            <v>8/21/2004 0:00</v>
          </cell>
          <cell r="E794">
            <v>2226.11</v>
          </cell>
        </row>
        <row r="795">
          <cell r="A795" t="str">
            <v>9/16/2004 0:00</v>
          </cell>
          <cell r="E795">
            <v>2069.75</v>
          </cell>
        </row>
        <row r="796">
          <cell r="A796" t="str">
            <v>10/15/2004 0:00</v>
          </cell>
          <cell r="E796">
            <v>2235.33</v>
          </cell>
        </row>
        <row r="797">
          <cell r="A797" t="str">
            <v>11/2/2004 0:00</v>
          </cell>
          <cell r="E797">
            <v>3116.43</v>
          </cell>
        </row>
        <row r="798">
          <cell r="A798" t="str">
            <v>11/10/2004 0:00</v>
          </cell>
          <cell r="E798">
            <v>4781.7</v>
          </cell>
        </row>
        <row r="799">
          <cell r="A799" t="str">
            <v>11/23/2004 0:00</v>
          </cell>
          <cell r="E799">
            <v>2810.7</v>
          </cell>
        </row>
        <row r="800">
          <cell r="A800" t="str">
            <v>12/4/2004 0:00</v>
          </cell>
          <cell r="E800">
            <v>3515.67</v>
          </cell>
        </row>
        <row r="801">
          <cell r="A801" t="str">
            <v>2/2/2005 0:00</v>
          </cell>
          <cell r="E801">
            <v>2909.34</v>
          </cell>
        </row>
        <row r="802">
          <cell r="A802" t="str">
            <v>3/1/2005 0:00</v>
          </cell>
          <cell r="E802">
            <v>1570.17</v>
          </cell>
        </row>
        <row r="803">
          <cell r="A803" t="str">
            <v>3/30/2005 0:00</v>
          </cell>
          <cell r="E803">
            <v>2613.92</v>
          </cell>
        </row>
        <row r="804">
          <cell r="A804" t="str">
            <v>4/3/2005 0:00</v>
          </cell>
          <cell r="E804">
            <v>3193.26</v>
          </cell>
        </row>
        <row r="805">
          <cell r="A805" t="str">
            <v>5/10/2005 0:00</v>
          </cell>
          <cell r="E805">
            <v>1482.6</v>
          </cell>
        </row>
        <row r="806">
          <cell r="A806" t="str">
            <v>2/24/2003 0:00</v>
          </cell>
          <cell r="E806">
            <v>2055.23</v>
          </cell>
        </row>
        <row r="807">
          <cell r="A807" t="str">
            <v>4/29/2003 0:00</v>
          </cell>
          <cell r="E807">
            <v>2674.9</v>
          </cell>
        </row>
        <row r="808">
          <cell r="A808" t="str">
            <v>7/1/2003 0:00</v>
          </cell>
          <cell r="E808">
            <v>1853.4</v>
          </cell>
        </row>
        <row r="809">
          <cell r="A809" t="str">
            <v>8/25/2003 0:00</v>
          </cell>
          <cell r="E809">
            <v>1490.1</v>
          </cell>
        </row>
        <row r="810">
          <cell r="A810" t="str">
            <v>10/10/2003 0:00</v>
          </cell>
          <cell r="E810">
            <v>2162.16</v>
          </cell>
        </row>
        <row r="811">
          <cell r="A811" t="str">
            <v>10/28/2003 0:00</v>
          </cell>
          <cell r="E811">
            <v>2814.28</v>
          </cell>
        </row>
        <row r="812">
          <cell r="A812" t="str">
            <v>11/11/2003 0:00</v>
          </cell>
          <cell r="E812">
            <v>1605</v>
          </cell>
        </row>
        <row r="813">
          <cell r="A813" t="str">
            <v>11/18/2003 0:00</v>
          </cell>
          <cell r="E813">
            <v>2093.44</v>
          </cell>
        </row>
        <row r="814">
          <cell r="A814" t="str">
            <v>12/1/2003 0:00</v>
          </cell>
          <cell r="E814">
            <v>1944.3</v>
          </cell>
        </row>
        <row r="815">
          <cell r="A815" t="str">
            <v>1/12/2004 0:00</v>
          </cell>
          <cell r="E815">
            <v>1986.8</v>
          </cell>
        </row>
        <row r="816">
          <cell r="A816" t="str">
            <v>2/20/2004 0:00</v>
          </cell>
          <cell r="E816">
            <v>1695.96</v>
          </cell>
        </row>
        <row r="817">
          <cell r="A817" t="str">
            <v>4/3/2004 0:00</v>
          </cell>
          <cell r="E817">
            <v>1281.56</v>
          </cell>
        </row>
        <row r="818">
          <cell r="A818" t="str">
            <v>5/18/2004 0:00</v>
          </cell>
          <cell r="E818">
            <v>1774.22</v>
          </cell>
        </row>
        <row r="819">
          <cell r="A819" t="str">
            <v>6/28/2004 0:00</v>
          </cell>
          <cell r="E819">
            <v>1997.5</v>
          </cell>
        </row>
        <row r="820">
          <cell r="A820" t="str">
            <v>7/23/2004 0:00</v>
          </cell>
          <cell r="E820">
            <v>2353.1999999999998</v>
          </cell>
        </row>
        <row r="821">
          <cell r="A821" t="str">
            <v>8/27/2004 0:00</v>
          </cell>
          <cell r="E821">
            <v>981.2</v>
          </cell>
        </row>
        <row r="822">
          <cell r="A822" t="str">
            <v>9/27/2004 0:00</v>
          </cell>
          <cell r="E822">
            <v>1550.72</v>
          </cell>
        </row>
        <row r="823">
          <cell r="A823" t="str">
            <v>10/15/2004 0:00</v>
          </cell>
          <cell r="E823">
            <v>1771.06</v>
          </cell>
        </row>
        <row r="824">
          <cell r="A824" t="str">
            <v>11/2/2004 0:00</v>
          </cell>
          <cell r="E824">
            <v>2213.4</v>
          </cell>
        </row>
        <row r="825">
          <cell r="A825" t="str">
            <v>11/15/2004 0:00</v>
          </cell>
          <cell r="E825">
            <v>5266.04</v>
          </cell>
        </row>
        <row r="826">
          <cell r="A826" t="str">
            <v>11/23/2004 0:00</v>
          </cell>
          <cell r="E826">
            <v>1864.8</v>
          </cell>
        </row>
        <row r="827">
          <cell r="A827" t="str">
            <v>1/5/2005 0:00</v>
          </cell>
          <cell r="E827">
            <v>1142.4100000000001</v>
          </cell>
        </row>
        <row r="828">
          <cell r="A828" t="str">
            <v>2/2/2005 0:00</v>
          </cell>
          <cell r="E828">
            <v>1172.5999999999999</v>
          </cell>
        </row>
        <row r="829">
          <cell r="A829" t="str">
            <v>3/3/2005 0:00</v>
          </cell>
          <cell r="E829">
            <v>6981</v>
          </cell>
        </row>
        <row r="830">
          <cell r="A830" t="str">
            <v>4/7/2005 0:00</v>
          </cell>
          <cell r="E830">
            <v>3064.6</v>
          </cell>
        </row>
        <row r="831">
          <cell r="A831" t="str">
            <v>5/13/2005 0:00</v>
          </cell>
          <cell r="E831">
            <v>2202.48</v>
          </cell>
        </row>
        <row r="832">
          <cell r="A832" t="str">
            <v>1/9/2003 0:00</v>
          </cell>
          <cell r="E832">
            <v>3773.38</v>
          </cell>
        </row>
        <row r="833">
          <cell r="A833" t="str">
            <v>3/18/2003 0:00</v>
          </cell>
          <cell r="E833">
            <v>5074.3900000000003</v>
          </cell>
        </row>
        <row r="834">
          <cell r="A834" t="str">
            <v>5/21/2003 0:00</v>
          </cell>
          <cell r="E834">
            <v>6483.46</v>
          </cell>
        </row>
        <row r="835">
          <cell r="A835" t="str">
            <v>7/16/2003 0:00</v>
          </cell>
          <cell r="E835">
            <v>7956.46</v>
          </cell>
        </row>
        <row r="836">
          <cell r="A836" t="str">
            <v>9/12/2003 0:00</v>
          </cell>
          <cell r="E836">
            <v>4230.62</v>
          </cell>
        </row>
        <row r="837">
          <cell r="A837" t="str">
            <v>10/18/2003 0:00</v>
          </cell>
          <cell r="E837">
            <v>7209.12</v>
          </cell>
        </row>
        <row r="838">
          <cell r="A838" t="str">
            <v>11/5/2003 0:00</v>
          </cell>
          <cell r="E838">
            <v>3452.68</v>
          </cell>
        </row>
        <row r="839">
          <cell r="A839" t="str">
            <v>11/12/2003 0:00</v>
          </cell>
          <cell r="E839">
            <v>3047.73</v>
          </cell>
        </row>
        <row r="840">
          <cell r="A840" t="str">
            <v>11/21/2003 0:00</v>
          </cell>
          <cell r="E840">
            <v>3675.32</v>
          </cell>
        </row>
        <row r="841">
          <cell r="A841" t="str">
            <v>12/3/2003 0:00</v>
          </cell>
          <cell r="E841">
            <v>7492.4</v>
          </cell>
        </row>
        <row r="842">
          <cell r="A842" t="str">
            <v>1/26/2004 0:00</v>
          </cell>
          <cell r="E842">
            <v>9534.5</v>
          </cell>
        </row>
        <row r="843">
          <cell r="A843" t="str">
            <v>3/2/2004 0:00</v>
          </cell>
          <cell r="E843">
            <v>5579.02</v>
          </cell>
        </row>
        <row r="844">
          <cell r="A844" t="str">
            <v>4/29/2004 0:00</v>
          </cell>
          <cell r="E844">
            <v>5950.34</v>
          </cell>
        </row>
        <row r="845">
          <cell r="A845" t="str">
            <v>6/4/2004 0:00</v>
          </cell>
          <cell r="E845">
            <v>3726</v>
          </cell>
        </row>
        <row r="846">
          <cell r="A846" t="str">
            <v>8/17/2004 0:00</v>
          </cell>
          <cell r="E846">
            <v>4455</v>
          </cell>
        </row>
        <row r="847">
          <cell r="A847" t="str">
            <v>9/3/2004 0:00</v>
          </cell>
          <cell r="E847">
            <v>8272.34</v>
          </cell>
        </row>
        <row r="848">
          <cell r="A848" t="str">
            <v>10/11/2004 0:00</v>
          </cell>
          <cell r="E848">
            <v>3577.6</v>
          </cell>
        </row>
        <row r="849">
          <cell r="A849" t="str">
            <v>10/21/2004 0:00</v>
          </cell>
          <cell r="E849">
            <v>3881.25</v>
          </cell>
        </row>
        <row r="850">
          <cell r="A850" t="str">
            <v>11/4/2004 0:00</v>
          </cell>
          <cell r="E850">
            <v>5797.44</v>
          </cell>
        </row>
        <row r="851">
          <cell r="A851" t="str">
            <v>11/17/2004 0:00</v>
          </cell>
          <cell r="E851">
            <v>1264.08</v>
          </cell>
        </row>
        <row r="852">
          <cell r="A852" t="str">
            <v>11/29/2004 0:00</v>
          </cell>
          <cell r="E852">
            <v>4815.3</v>
          </cell>
        </row>
        <row r="853">
          <cell r="A853" t="str">
            <v>12/9/2004 0:00</v>
          </cell>
          <cell r="E853">
            <v>4462.2</v>
          </cell>
        </row>
        <row r="854">
          <cell r="A854" t="str">
            <v>1/12/2005 0:00</v>
          </cell>
          <cell r="E854">
            <v>3033.28</v>
          </cell>
        </row>
        <row r="855">
          <cell r="A855" t="str">
            <v>2/16/2005 0:00</v>
          </cell>
          <cell r="E855">
            <v>990.78</v>
          </cell>
        </row>
        <row r="856">
          <cell r="A856" t="str">
            <v>3/4/2005 0:00</v>
          </cell>
          <cell r="E856">
            <v>2030.86</v>
          </cell>
        </row>
        <row r="857">
          <cell r="A857" t="str">
            <v>5/29/2005 0:00</v>
          </cell>
          <cell r="E857">
            <v>5433.75</v>
          </cell>
        </row>
        <row r="858">
          <cell r="A858" t="str">
            <v>3/10/2003 0:00</v>
          </cell>
          <cell r="E858">
            <v>3157.44</v>
          </cell>
        </row>
        <row r="859">
          <cell r="A859" t="str">
            <v>5/20/2003 0:00</v>
          </cell>
          <cell r="E859">
            <v>5161.2</v>
          </cell>
        </row>
        <row r="860">
          <cell r="A860" t="str">
            <v>7/10/2003 0:00</v>
          </cell>
          <cell r="E860">
            <v>4346.76</v>
          </cell>
        </row>
        <row r="861">
          <cell r="A861" t="str">
            <v>9/11/2003 0:00</v>
          </cell>
          <cell r="E861">
            <v>3528.36</v>
          </cell>
        </row>
        <row r="862">
          <cell r="A862" t="str">
            <v>10/17/2003 0:00</v>
          </cell>
          <cell r="E862">
            <v>3187.8</v>
          </cell>
        </row>
        <row r="863">
          <cell r="A863" t="str">
            <v>11/5/2003 0:00</v>
          </cell>
          <cell r="E863">
            <v>6023.16</v>
          </cell>
        </row>
        <row r="864">
          <cell r="A864" t="str">
            <v>11/12/2003 0:00</v>
          </cell>
          <cell r="E864">
            <v>3884.76</v>
          </cell>
        </row>
        <row r="865">
          <cell r="A865" t="str">
            <v>11/20/2003 0:00</v>
          </cell>
          <cell r="E865">
            <v>4965.84</v>
          </cell>
        </row>
        <row r="866">
          <cell r="A866" t="str">
            <v>12/2/2003 0:00</v>
          </cell>
          <cell r="E866">
            <v>4169.88</v>
          </cell>
        </row>
        <row r="867">
          <cell r="A867" t="str">
            <v>1/16/2004 0:00</v>
          </cell>
          <cell r="E867">
            <v>4910.3999999999996</v>
          </cell>
        </row>
        <row r="868">
          <cell r="A868" t="str">
            <v>2/26/2004 0:00</v>
          </cell>
          <cell r="E868">
            <v>3231.36</v>
          </cell>
        </row>
        <row r="869">
          <cell r="A869" t="str">
            <v>4/13/2004 0:00</v>
          </cell>
          <cell r="E869">
            <v>6853.44</v>
          </cell>
        </row>
        <row r="870">
          <cell r="A870" t="str">
            <v>6/1/2004 0:00</v>
          </cell>
          <cell r="E870">
            <v>5177.04</v>
          </cell>
        </row>
        <row r="871">
          <cell r="A871" t="str">
            <v>7/6/2004 0:00</v>
          </cell>
          <cell r="E871">
            <v>2824.8</v>
          </cell>
        </row>
        <row r="872">
          <cell r="A872" t="str">
            <v>8/6/2004 0:00</v>
          </cell>
          <cell r="E872">
            <v>4324.32</v>
          </cell>
        </row>
        <row r="873">
          <cell r="A873" t="str">
            <v>8/30/2004 0:00</v>
          </cell>
          <cell r="E873">
            <v>5052.96</v>
          </cell>
        </row>
        <row r="874">
          <cell r="A874" t="str">
            <v>10/5/2003 0:00</v>
          </cell>
          <cell r="E874">
            <v>3223.44</v>
          </cell>
        </row>
        <row r="875">
          <cell r="A875" t="str">
            <v>10/16/2004 0:00</v>
          </cell>
          <cell r="E875">
            <v>5278.68</v>
          </cell>
        </row>
        <row r="876">
          <cell r="A876" t="str">
            <v>11/4/2004 0:00</v>
          </cell>
          <cell r="E876">
            <v>2851.2</v>
          </cell>
        </row>
        <row r="877">
          <cell r="A877" t="str">
            <v>11/17/2004 0:00</v>
          </cell>
          <cell r="E877">
            <v>1687.4</v>
          </cell>
        </row>
        <row r="878">
          <cell r="A878" t="str">
            <v>11/24/2004 0:00</v>
          </cell>
          <cell r="E878">
            <v>1308</v>
          </cell>
        </row>
        <row r="879">
          <cell r="A879" t="str">
            <v>1/10/2005 0:00</v>
          </cell>
          <cell r="E879">
            <v>6144.6</v>
          </cell>
        </row>
        <row r="880">
          <cell r="A880" t="str">
            <v>2/10/2005 0:00</v>
          </cell>
          <cell r="E880">
            <v>5127.2</v>
          </cell>
        </row>
        <row r="881">
          <cell r="A881" t="str">
            <v>4/22/2005 0:00</v>
          </cell>
          <cell r="E881">
            <v>6386.16</v>
          </cell>
        </row>
        <row r="882">
          <cell r="A882" t="str">
            <v>5/17/2005 0:00</v>
          </cell>
          <cell r="E882">
            <v>7695.6</v>
          </cell>
        </row>
        <row r="883">
          <cell r="A883" t="str">
            <v>1/29/2003 0:00</v>
          </cell>
          <cell r="E883">
            <v>2242.89</v>
          </cell>
        </row>
        <row r="884">
          <cell r="A884" t="str">
            <v>3/24/2003 0:00</v>
          </cell>
          <cell r="E884">
            <v>2539.89</v>
          </cell>
        </row>
        <row r="885">
          <cell r="A885" t="str">
            <v>5/28/2003 0:00</v>
          </cell>
          <cell r="E885">
            <v>2795.27</v>
          </cell>
        </row>
        <row r="886">
          <cell r="A886" t="str">
            <v>7/16/2003 0:00</v>
          </cell>
          <cell r="E886">
            <v>5545.76</v>
          </cell>
        </row>
        <row r="887">
          <cell r="A887" t="str">
            <v>9/19/2003 0:00</v>
          </cell>
          <cell r="E887">
            <v>4285.46</v>
          </cell>
        </row>
        <row r="888">
          <cell r="A888" t="str">
            <v>10/20/2003 0:00</v>
          </cell>
          <cell r="E888">
            <v>3329.09</v>
          </cell>
        </row>
        <row r="889">
          <cell r="A889" t="str">
            <v>11/6/2003 0:00</v>
          </cell>
          <cell r="E889">
            <v>5592.22</v>
          </cell>
        </row>
        <row r="890">
          <cell r="A890" t="str">
            <v>11/13/2003 0:00</v>
          </cell>
          <cell r="E890">
            <v>3298.55</v>
          </cell>
        </row>
        <row r="891">
          <cell r="A891" t="str">
            <v>11/21/2003 0:00</v>
          </cell>
          <cell r="E891">
            <v>2609.88</v>
          </cell>
        </row>
        <row r="892">
          <cell r="A892" t="str">
            <v>12/5/2003 0:00</v>
          </cell>
          <cell r="E892">
            <v>3336.29</v>
          </cell>
        </row>
        <row r="893">
          <cell r="A893" t="str">
            <v>1/29/2004 0:00</v>
          </cell>
          <cell r="E893">
            <v>5510.05</v>
          </cell>
        </row>
        <row r="894">
          <cell r="A894" t="str">
            <v>3/10/2004 0:00</v>
          </cell>
          <cell r="E894">
            <v>2504.4</v>
          </cell>
        </row>
        <row r="895">
          <cell r="A895" t="str">
            <v>4/29/2004 0:00</v>
          </cell>
          <cell r="E895">
            <v>3525.6</v>
          </cell>
        </row>
        <row r="896">
          <cell r="A896" t="str">
            <v>6/14/2004 0:00</v>
          </cell>
          <cell r="E896">
            <v>4407</v>
          </cell>
        </row>
        <row r="897">
          <cell r="A897" t="str">
            <v>7/19/2004 0:00</v>
          </cell>
          <cell r="E897">
            <v>2983.44</v>
          </cell>
        </row>
        <row r="898">
          <cell r="A898" t="str">
            <v>8/17/2004 0:00</v>
          </cell>
          <cell r="E898">
            <v>5126.24</v>
          </cell>
        </row>
        <row r="899">
          <cell r="A899" t="str">
            <v>9/8/2004 0:00</v>
          </cell>
          <cell r="E899">
            <v>5713.79</v>
          </cell>
        </row>
        <row r="900">
          <cell r="A900" t="str">
            <v>10/11/2004 0:00</v>
          </cell>
          <cell r="E900">
            <v>4613.8</v>
          </cell>
        </row>
        <row r="901">
          <cell r="A901" t="str">
            <v>10/21/2004 0:00</v>
          </cell>
          <cell r="E901">
            <v>3711.1</v>
          </cell>
        </row>
        <row r="902">
          <cell r="A902" t="str">
            <v>11/4/2004 0:00</v>
          </cell>
          <cell r="E902">
            <v>3524.73</v>
          </cell>
        </row>
        <row r="903">
          <cell r="A903" t="str">
            <v>11/18/2004 0:00</v>
          </cell>
          <cell r="E903">
            <v>2795.27</v>
          </cell>
        </row>
        <row r="904">
          <cell r="A904" t="str">
            <v>11/29/2004 0:00</v>
          </cell>
          <cell r="E904">
            <v>4814.3999999999996</v>
          </cell>
        </row>
        <row r="905">
          <cell r="A905" t="str">
            <v>12/10/2004 0:00</v>
          </cell>
          <cell r="E905">
            <v>3572.33</v>
          </cell>
        </row>
        <row r="906">
          <cell r="A906" t="str">
            <v>1/20/2005 0:00</v>
          </cell>
          <cell r="E906">
            <v>4581.3599999999997</v>
          </cell>
        </row>
        <row r="907">
          <cell r="A907" t="str">
            <v>2/17/2005 0:00</v>
          </cell>
          <cell r="E907">
            <v>4319.76</v>
          </cell>
        </row>
        <row r="908">
          <cell r="A908" t="str">
            <v>3/9/2005 0:00</v>
          </cell>
          <cell r="E908">
            <v>1448</v>
          </cell>
        </row>
        <row r="909">
          <cell r="A909" t="str">
            <v>5/30/2005 0:00</v>
          </cell>
          <cell r="E909">
            <v>881.4</v>
          </cell>
        </row>
        <row r="910">
          <cell r="A910" t="str">
            <v>1/29/2003 0:00</v>
          </cell>
          <cell r="E910">
            <v>2011.1</v>
          </cell>
        </row>
        <row r="911">
          <cell r="A911" t="str">
            <v>3/25/2003 0:00</v>
          </cell>
          <cell r="E911">
            <v>1801.24</v>
          </cell>
        </row>
        <row r="912">
          <cell r="A912" t="str">
            <v>5/28/2003 0:00</v>
          </cell>
          <cell r="E912">
            <v>3390.2</v>
          </cell>
        </row>
        <row r="913">
          <cell r="A913" t="str">
            <v>7/16/2003 0:00</v>
          </cell>
          <cell r="E913">
            <v>1424</v>
          </cell>
        </row>
        <row r="914">
          <cell r="A914" t="str">
            <v>9/19/2003 0:00</v>
          </cell>
          <cell r="E914">
            <v>1499.1</v>
          </cell>
        </row>
        <row r="915">
          <cell r="A915" t="str">
            <v>10/20/2003 0:00</v>
          </cell>
          <cell r="E915">
            <v>3358.08</v>
          </cell>
        </row>
        <row r="916">
          <cell r="A916" t="str">
            <v>11/5/2003 0:00</v>
          </cell>
          <cell r="E916">
            <v>1504.16</v>
          </cell>
        </row>
        <row r="917">
          <cell r="A917" t="str">
            <v>11/13/2003 0:00</v>
          </cell>
          <cell r="E917">
            <v>2655.12</v>
          </cell>
        </row>
        <row r="918">
          <cell r="A918" t="str">
            <v>11/21/2003 0:00</v>
          </cell>
          <cell r="E918">
            <v>1244.1600000000001</v>
          </cell>
        </row>
        <row r="919">
          <cell r="A919" t="str">
            <v>12/5/2003 0:00</v>
          </cell>
          <cell r="E919">
            <v>1888.88</v>
          </cell>
        </row>
        <row r="920">
          <cell r="A920" t="str">
            <v>1/29/2004 0:00</v>
          </cell>
          <cell r="E920">
            <v>1820.01</v>
          </cell>
        </row>
        <row r="921">
          <cell r="A921" t="str">
            <v>3/10/2004 0:00</v>
          </cell>
          <cell r="E921">
            <v>2866.95</v>
          </cell>
        </row>
        <row r="922">
          <cell r="A922" t="str">
            <v>4/29/2004 0:00</v>
          </cell>
          <cell r="E922">
            <v>1394.16</v>
          </cell>
        </row>
        <row r="923">
          <cell r="A923" t="str">
            <v>6/14/2004 0:00</v>
          </cell>
          <cell r="E923">
            <v>2632.28</v>
          </cell>
        </row>
        <row r="924">
          <cell r="A924" t="str">
            <v>7/16/2004 0:00</v>
          </cell>
          <cell r="E924">
            <v>2018.56</v>
          </cell>
        </row>
        <row r="925">
          <cell r="A925" t="str">
            <v>8/17/2004 0:00</v>
          </cell>
          <cell r="E925">
            <v>2954.53</v>
          </cell>
        </row>
        <row r="926">
          <cell r="A926" t="str">
            <v>9/8/2004 0:00</v>
          </cell>
          <cell r="E926">
            <v>1871.83</v>
          </cell>
        </row>
        <row r="927">
          <cell r="A927" t="str">
            <v>10/11/2004 0:00</v>
          </cell>
          <cell r="E927">
            <v>1559.04</v>
          </cell>
        </row>
        <row r="928">
          <cell r="A928" t="str">
            <v>10/21/2004 0:00</v>
          </cell>
          <cell r="E928">
            <v>1880.2</v>
          </cell>
        </row>
        <row r="929">
          <cell r="A929" t="str">
            <v>11/4/2004 0:00</v>
          </cell>
          <cell r="E929">
            <v>1224.67</v>
          </cell>
        </row>
        <row r="930">
          <cell r="A930" t="str">
            <v>11/17/2004 0:00</v>
          </cell>
          <cell r="E930">
            <v>2979.08</v>
          </cell>
        </row>
        <row r="931">
          <cell r="A931" t="str">
            <v>11/29/2004 0:00</v>
          </cell>
          <cell r="E931">
            <v>2208.64</v>
          </cell>
        </row>
        <row r="932">
          <cell r="A932" t="str">
            <v>12/10/2004 0:00</v>
          </cell>
          <cell r="E932">
            <v>3458.42</v>
          </cell>
        </row>
        <row r="933">
          <cell r="A933" t="str">
            <v>1/20/2005 0:00</v>
          </cell>
          <cell r="E933">
            <v>1237.8800000000001</v>
          </cell>
        </row>
        <row r="934">
          <cell r="A934" t="str">
            <v>2/17/2005 0:00</v>
          </cell>
          <cell r="E934">
            <v>2723.2</v>
          </cell>
        </row>
        <row r="935">
          <cell r="A935" t="str">
            <v>3/10/2005 0:00</v>
          </cell>
          <cell r="E935">
            <v>2218.52</v>
          </cell>
        </row>
        <row r="936">
          <cell r="A936" t="str">
            <v>5/30/2005 0:00</v>
          </cell>
          <cell r="E936">
            <v>1665.32</v>
          </cell>
        </row>
        <row r="937">
          <cell r="A937" t="str">
            <v>2/17/2003 0:00</v>
          </cell>
          <cell r="E937">
            <v>3421.04</v>
          </cell>
        </row>
        <row r="938">
          <cell r="A938" t="str">
            <v>4/28/2003 0:00</v>
          </cell>
          <cell r="E938">
            <v>1878.66</v>
          </cell>
        </row>
        <row r="939">
          <cell r="A939" t="str">
            <v>6/16/2003 0:00</v>
          </cell>
          <cell r="E939">
            <v>3853.6</v>
          </cell>
        </row>
        <row r="940">
          <cell r="A940" t="str">
            <v>8/10/2003 0:00</v>
          </cell>
          <cell r="E940">
            <v>3442.64</v>
          </cell>
        </row>
        <row r="941">
          <cell r="A941" t="str">
            <v>10/6/2003 0:00</v>
          </cell>
          <cell r="E941">
            <v>3482.16</v>
          </cell>
        </row>
        <row r="942">
          <cell r="A942" t="str">
            <v>10/23/2003 0:00</v>
          </cell>
          <cell r="E942">
            <v>3363.52</v>
          </cell>
        </row>
        <row r="943">
          <cell r="A943" t="str">
            <v>11/8/2003 0:00</v>
          </cell>
          <cell r="E943">
            <v>3350.52</v>
          </cell>
        </row>
        <row r="944">
          <cell r="A944" t="str">
            <v>11/14/2003 0:00</v>
          </cell>
          <cell r="E944">
            <v>2862.72</v>
          </cell>
        </row>
        <row r="945">
          <cell r="A945" t="str">
            <v>11/26/2003 0:00</v>
          </cell>
          <cell r="E945">
            <v>4036.04</v>
          </cell>
        </row>
        <row r="946">
          <cell r="A946" t="str">
            <v>1/9/2004 0:00</v>
          </cell>
          <cell r="E946">
            <v>2817.92</v>
          </cell>
        </row>
        <row r="947">
          <cell r="A947" t="str">
            <v>2/19/2004 0:00</v>
          </cell>
          <cell r="E947">
            <v>4636.38</v>
          </cell>
        </row>
        <row r="948">
          <cell r="A948" t="str">
            <v>5/7/2004 0:00</v>
          </cell>
          <cell r="E948">
            <v>1553.58</v>
          </cell>
        </row>
        <row r="949">
          <cell r="A949" t="str">
            <v>6/24/2004 0:00</v>
          </cell>
          <cell r="E949">
            <v>2697.6</v>
          </cell>
        </row>
        <row r="950">
          <cell r="A950" t="str">
            <v>7/21/2004 0:00</v>
          </cell>
          <cell r="E950">
            <v>3334.04</v>
          </cell>
        </row>
        <row r="951">
          <cell r="A951" t="str">
            <v>8/20/2004 0:00</v>
          </cell>
          <cell r="E951">
            <v>2059.2600000000002</v>
          </cell>
        </row>
        <row r="952">
          <cell r="A952" t="str">
            <v>9/15/2004 0:00</v>
          </cell>
          <cell r="E952">
            <v>2023.14</v>
          </cell>
        </row>
        <row r="953">
          <cell r="A953" t="str">
            <v>10/14/2004 0:00</v>
          </cell>
          <cell r="E953">
            <v>2586.64</v>
          </cell>
        </row>
        <row r="954">
          <cell r="A954" t="str">
            <v>11/1/2004 0:00</v>
          </cell>
          <cell r="E954">
            <v>1987.02</v>
          </cell>
        </row>
        <row r="955">
          <cell r="A955" t="str">
            <v>11/10/2004 0:00</v>
          </cell>
          <cell r="E955">
            <v>1146.5</v>
          </cell>
        </row>
        <row r="956">
          <cell r="A956" t="str">
            <v>11/22/2004 0:00</v>
          </cell>
          <cell r="E956">
            <v>2312.2399999999998</v>
          </cell>
        </row>
        <row r="957">
          <cell r="A957" t="str">
            <v>12/2/2004 0:00</v>
          </cell>
          <cell r="E957">
            <v>2793.71</v>
          </cell>
        </row>
        <row r="958">
          <cell r="A958" t="str">
            <v>1/31/2005 0:00</v>
          </cell>
          <cell r="E958">
            <v>1908.28</v>
          </cell>
        </row>
        <row r="959">
          <cell r="A959" t="str">
            <v>3/1/2005 0:00</v>
          </cell>
          <cell r="E959">
            <v>3441.37</v>
          </cell>
        </row>
        <row r="960">
          <cell r="A960" t="str">
            <v>3/30/2005 0:00</v>
          </cell>
          <cell r="E960">
            <v>2023.28</v>
          </cell>
        </row>
        <row r="961">
          <cell r="A961" t="str">
            <v>4/1/2005 0:00</v>
          </cell>
          <cell r="E961">
            <v>2245.1999999999998</v>
          </cell>
        </row>
        <row r="962">
          <cell r="A962" t="str">
            <v>5/6/2005 0:00</v>
          </cell>
          <cell r="E962">
            <v>3255.12</v>
          </cell>
        </row>
        <row r="963">
          <cell r="A963" t="str">
            <v>1/29/2003 0:00</v>
          </cell>
          <cell r="E963">
            <v>2539.5</v>
          </cell>
        </row>
        <row r="964">
          <cell r="A964" t="str">
            <v>3/25/2003 0:00</v>
          </cell>
          <cell r="E964">
            <v>4818.1499999999996</v>
          </cell>
        </row>
        <row r="965">
          <cell r="A965" t="str">
            <v>5/28/2003 0:00</v>
          </cell>
          <cell r="E965">
            <v>2921.7</v>
          </cell>
        </row>
        <row r="966">
          <cell r="A966" t="str">
            <v>7/16/2003 0:00</v>
          </cell>
          <cell r="E966">
            <v>1801.2</v>
          </cell>
        </row>
        <row r="967">
          <cell r="A967" t="str">
            <v>9/19/2003 0:00</v>
          </cell>
          <cell r="E967">
            <v>2804.36</v>
          </cell>
        </row>
        <row r="968">
          <cell r="A968" t="str">
            <v>10/20/2003 0:00</v>
          </cell>
          <cell r="E968">
            <v>4900.8</v>
          </cell>
        </row>
        <row r="969">
          <cell r="A969" t="str">
            <v>11/5/2003 0:00</v>
          </cell>
          <cell r="E969">
            <v>2759.31</v>
          </cell>
        </row>
        <row r="970">
          <cell r="A970" t="str">
            <v>11/13/2003 0:00</v>
          </cell>
          <cell r="E970">
            <v>2488.1999999999998</v>
          </cell>
        </row>
        <row r="971">
          <cell r="A971" t="str">
            <v>11/21/2003 0:00</v>
          </cell>
          <cell r="E971">
            <v>2769.89</v>
          </cell>
        </row>
        <row r="972">
          <cell r="A972" t="str">
            <v>12/5/2003 0:00</v>
          </cell>
          <cell r="E972">
            <v>3581.4</v>
          </cell>
        </row>
        <row r="973">
          <cell r="A973" t="str">
            <v>1/29/2004 0:00</v>
          </cell>
          <cell r="E973">
            <v>5285.14</v>
          </cell>
        </row>
        <row r="974">
          <cell r="A974" t="str">
            <v>3/10/2004 0:00</v>
          </cell>
          <cell r="E974">
            <v>3181.53</v>
          </cell>
        </row>
        <row r="975">
          <cell r="A975" t="str">
            <v>4/29/2004 0:00</v>
          </cell>
          <cell r="E975">
            <v>3340.51</v>
          </cell>
        </row>
        <row r="976">
          <cell r="A976" t="str">
            <v>6/14/2004 0:00</v>
          </cell>
          <cell r="E976">
            <v>3138.34</v>
          </cell>
        </row>
        <row r="977">
          <cell r="A977" t="str">
            <v>7/19/2004 0:00</v>
          </cell>
          <cell r="E977">
            <v>4775.08</v>
          </cell>
        </row>
        <row r="978">
          <cell r="A978" t="str">
            <v>8/17/2004 0:00</v>
          </cell>
          <cell r="E978">
            <v>3006.43</v>
          </cell>
        </row>
        <row r="979">
          <cell r="A979" t="str">
            <v>9/8/2004 0:00</v>
          </cell>
          <cell r="E979">
            <v>2866.26</v>
          </cell>
        </row>
        <row r="980">
          <cell r="A980" t="str">
            <v>10/11/2004 0:00</v>
          </cell>
          <cell r="E980">
            <v>2232.62</v>
          </cell>
        </row>
        <row r="981">
          <cell r="A981" t="str">
            <v>10/21/2004 0:00</v>
          </cell>
          <cell r="E981">
            <v>4457.0200000000004</v>
          </cell>
        </row>
        <row r="982">
          <cell r="A982" t="str">
            <v>11/4/2004 0:00</v>
          </cell>
          <cell r="E982">
            <v>2257.92</v>
          </cell>
        </row>
        <row r="983">
          <cell r="A983" t="str">
            <v>11/17/2004 0:00</v>
          </cell>
          <cell r="E983">
            <v>1592</v>
          </cell>
        </row>
        <row r="984">
          <cell r="A984" t="str">
            <v>11/29/2004 0:00</v>
          </cell>
          <cell r="E984">
            <v>4948.2</v>
          </cell>
        </row>
        <row r="985">
          <cell r="A985" t="str">
            <v>12/10/2004 0:00</v>
          </cell>
          <cell r="E985">
            <v>5160.76</v>
          </cell>
        </row>
        <row r="986">
          <cell r="A986" t="str">
            <v>1/20/2005 0:00</v>
          </cell>
          <cell r="E986">
            <v>1978.62</v>
          </cell>
        </row>
        <row r="987">
          <cell r="A987" t="str">
            <v>2/17/2005 0:00</v>
          </cell>
          <cell r="E987">
            <v>4288.2</v>
          </cell>
        </row>
        <row r="988">
          <cell r="A988" t="str">
            <v>3/10/2005 0:00</v>
          </cell>
          <cell r="E988">
            <v>2520.6799999999998</v>
          </cell>
        </row>
        <row r="989">
          <cell r="A989" t="str">
            <v>5/30/2005 0:00</v>
          </cell>
          <cell r="E989">
            <v>1781.22</v>
          </cell>
        </row>
        <row r="990">
          <cell r="A990" t="str">
            <v>2/11/2003 0:00</v>
          </cell>
          <cell r="E990">
            <v>3065.04</v>
          </cell>
        </row>
        <row r="991">
          <cell r="A991" t="str">
            <v>4/16/2003 0:00</v>
          </cell>
          <cell r="E991">
            <v>3551.34</v>
          </cell>
        </row>
        <row r="992">
          <cell r="A992" t="str">
            <v>6/6/2003 0:00</v>
          </cell>
          <cell r="E992">
            <v>5544.02</v>
          </cell>
        </row>
        <row r="993">
          <cell r="A993" t="str">
            <v>8/8/2003 0:00</v>
          </cell>
          <cell r="E993">
            <v>6034.33</v>
          </cell>
        </row>
        <row r="994">
          <cell r="A994" t="str">
            <v>9/28/2003 0:00</v>
          </cell>
          <cell r="E994">
            <v>3641.57</v>
          </cell>
        </row>
        <row r="995">
          <cell r="A995" t="str">
            <v>10/21/2003 0:00</v>
          </cell>
          <cell r="E995">
            <v>6930.74</v>
          </cell>
        </row>
        <row r="996">
          <cell r="A996" t="str">
            <v>11/7/2003 0:00</v>
          </cell>
          <cell r="E996">
            <v>3675.63</v>
          </cell>
        </row>
        <row r="997">
          <cell r="A997" t="str">
            <v>11/14/2003 0:00</v>
          </cell>
          <cell r="E997">
            <v>3442.04</v>
          </cell>
        </row>
        <row r="998">
          <cell r="A998" t="str">
            <v>11/26/2003 0:00</v>
          </cell>
          <cell r="E998">
            <v>6893.81</v>
          </cell>
        </row>
        <row r="999">
          <cell r="A999" t="str">
            <v>1/2/2004 0:00</v>
          </cell>
          <cell r="E999">
            <v>2622.48</v>
          </cell>
        </row>
        <row r="1000">
          <cell r="A1000" t="str">
            <v>2/18/2004 0:00</v>
          </cell>
          <cell r="E1000">
            <v>4417.38</v>
          </cell>
        </row>
        <row r="1001">
          <cell r="A1001" t="str">
            <v>3/20/2004 0:00</v>
          </cell>
          <cell r="E1001">
            <v>3606.02</v>
          </cell>
        </row>
        <row r="1002">
          <cell r="A1002" t="str">
            <v>5/7/2004 0:00</v>
          </cell>
          <cell r="E1002">
            <v>3802.56</v>
          </cell>
        </row>
        <row r="1003">
          <cell r="A1003" t="str">
            <v>7/21/2004 0:00</v>
          </cell>
          <cell r="E1003">
            <v>5026.3999999999996</v>
          </cell>
        </row>
        <row r="1004">
          <cell r="A1004" t="str">
            <v>8/20/2004 0:00</v>
          </cell>
          <cell r="E1004">
            <v>6695.53</v>
          </cell>
        </row>
        <row r="1005">
          <cell r="A1005" t="str">
            <v>9/9/2004 0:00</v>
          </cell>
          <cell r="E1005">
            <v>2819.28</v>
          </cell>
        </row>
        <row r="1006">
          <cell r="A1006" t="str">
            <v>10/14/2004 0:00</v>
          </cell>
          <cell r="E1006">
            <v>3759.04</v>
          </cell>
        </row>
        <row r="1007">
          <cell r="A1007" t="str">
            <v>10/22/2004 0:00</v>
          </cell>
          <cell r="E1007">
            <v>2731.8</v>
          </cell>
        </row>
        <row r="1008">
          <cell r="A1008" t="str">
            <v>11/5/2004 0:00</v>
          </cell>
          <cell r="E1008">
            <v>1658.88</v>
          </cell>
        </row>
        <row r="1009">
          <cell r="A1009" t="str">
            <v>11/20/2004 0:00</v>
          </cell>
          <cell r="E1009">
            <v>5778.24</v>
          </cell>
        </row>
        <row r="1010">
          <cell r="A1010" t="str">
            <v>12/2/2004 0:00</v>
          </cell>
          <cell r="E1010">
            <v>5191.12</v>
          </cell>
        </row>
        <row r="1011">
          <cell r="A1011" t="str">
            <v>1/26/2005 0:00</v>
          </cell>
          <cell r="E1011">
            <v>3862.88</v>
          </cell>
        </row>
        <row r="1012">
          <cell r="A1012" t="str">
            <v>2/22/2005 0:00</v>
          </cell>
          <cell r="E1012">
            <v>1476.48</v>
          </cell>
        </row>
        <row r="1013">
          <cell r="A1013" t="str">
            <v>3/23/2005 0:00</v>
          </cell>
          <cell r="E1013">
            <v>5273.73</v>
          </cell>
        </row>
        <row r="1014">
          <cell r="A1014" t="str">
            <v>5/6/2005 0:00</v>
          </cell>
          <cell r="E1014">
            <v>4872.03</v>
          </cell>
        </row>
        <row r="1015">
          <cell r="A1015" t="str">
            <v>1/31/2003 0:00</v>
          </cell>
          <cell r="E1015">
            <v>4556.99</v>
          </cell>
        </row>
        <row r="1016">
          <cell r="A1016" t="str">
            <v>3/10/2003 0:00</v>
          </cell>
          <cell r="E1016">
            <v>8257</v>
          </cell>
        </row>
        <row r="1017">
          <cell r="A1017" t="str">
            <v>4/1/2003 0:00</v>
          </cell>
          <cell r="E1017">
            <v>8209.44</v>
          </cell>
        </row>
        <row r="1018">
          <cell r="A1018" t="str">
            <v>5/8/2003 0:00</v>
          </cell>
          <cell r="E1018">
            <v>3598.5</v>
          </cell>
        </row>
        <row r="1019">
          <cell r="A1019" t="str">
            <v>6/3/2003 0:00</v>
          </cell>
          <cell r="E1019">
            <v>3837.24</v>
          </cell>
        </row>
        <row r="1020">
          <cell r="A1020" t="str">
            <v>7/4/2003 0:00</v>
          </cell>
          <cell r="E1020">
            <v>8331.61</v>
          </cell>
        </row>
        <row r="1021">
          <cell r="A1021" t="str">
            <v>8/1/2003 0:00</v>
          </cell>
          <cell r="E1021">
            <v>4836.5</v>
          </cell>
        </row>
        <row r="1022">
          <cell r="A1022" t="str">
            <v>9/11/2003 0:00</v>
          </cell>
          <cell r="E1022">
            <v>5418.88</v>
          </cell>
        </row>
        <row r="1023">
          <cell r="A1023" t="str">
            <v>9/21/2003 0:00</v>
          </cell>
          <cell r="E1023">
            <v>3734.01</v>
          </cell>
        </row>
        <row r="1024">
          <cell r="A1024" t="str">
            <v>10/11/2003 0:00</v>
          </cell>
          <cell r="E1024">
            <v>3996.4</v>
          </cell>
        </row>
        <row r="1025">
          <cell r="A1025" t="str">
            <v>10/22/2003 0:00</v>
          </cell>
          <cell r="E1025">
            <v>8754.69</v>
          </cell>
        </row>
        <row r="1026">
          <cell r="A1026" t="str">
            <v>11/5/2003 0:00</v>
          </cell>
          <cell r="E1026">
            <v>5481.45</v>
          </cell>
        </row>
        <row r="1027">
          <cell r="A1027" t="str">
            <v>11/6/2003 0:00</v>
          </cell>
          <cell r="E1027">
            <v>4419.8900000000003</v>
          </cell>
        </row>
        <row r="1028">
          <cell r="A1028" t="str">
            <v>11/12/2003 0:00</v>
          </cell>
          <cell r="E1028">
            <v>6324.75</v>
          </cell>
        </row>
        <row r="1029">
          <cell r="A1029" t="str">
            <v>11/14/2003 0:00</v>
          </cell>
          <cell r="E1029">
            <v>4409.72</v>
          </cell>
        </row>
        <row r="1030">
          <cell r="A1030" t="str">
            <v>11/20/2003 0:00</v>
          </cell>
          <cell r="E1030">
            <v>3918.46</v>
          </cell>
        </row>
        <row r="1031">
          <cell r="A1031" t="str">
            <v>11/25/2003 0:00</v>
          </cell>
          <cell r="E1031">
            <v>7620.5</v>
          </cell>
        </row>
        <row r="1032">
          <cell r="A1032" t="str">
            <v>12/2/2003 0:00</v>
          </cell>
          <cell r="E1032">
            <v>8291.0400000000009</v>
          </cell>
        </row>
        <row r="1033">
          <cell r="A1033" t="str">
            <v>12/9/2003 0:00</v>
          </cell>
          <cell r="E1033">
            <v>3937.25</v>
          </cell>
        </row>
        <row r="1034">
          <cell r="A1034" t="str">
            <v>1/16/2004 0:00</v>
          </cell>
          <cell r="E1034">
            <v>5554.4</v>
          </cell>
        </row>
        <row r="1035">
          <cell r="A1035" t="str">
            <v>2/22/2004 0:00</v>
          </cell>
          <cell r="E1035">
            <v>6407.86</v>
          </cell>
        </row>
        <row r="1036">
          <cell r="A1036" t="str">
            <v>3/11/2004 0:00</v>
          </cell>
          <cell r="E1036">
            <v>4172.5200000000004</v>
          </cell>
        </row>
        <row r="1037">
          <cell r="A1037" t="str">
            <v>4/12/2004 0:00</v>
          </cell>
          <cell r="E1037">
            <v>7083.37</v>
          </cell>
        </row>
        <row r="1038">
          <cell r="A1038" t="str">
            <v>5/5/2004 0:00</v>
          </cell>
          <cell r="E1038">
            <v>7132.68</v>
          </cell>
        </row>
        <row r="1039">
          <cell r="A1039" t="str">
            <v>6/1/2004 0:00</v>
          </cell>
          <cell r="E1039">
            <v>6773.6</v>
          </cell>
        </row>
        <row r="1040">
          <cell r="A1040" t="str">
            <v>6/15/2004 0:00</v>
          </cell>
          <cell r="E1040">
            <v>3657.69</v>
          </cell>
        </row>
        <row r="1041">
          <cell r="A1041" t="str">
            <v>7/6/2004 0:00</v>
          </cell>
          <cell r="E1041">
            <v>4812.55</v>
          </cell>
        </row>
        <row r="1042">
          <cell r="A1042" t="str">
            <v>7/20/2004 0:00</v>
          </cell>
          <cell r="E1042">
            <v>3928.6</v>
          </cell>
        </row>
        <row r="1043">
          <cell r="A1043" t="str">
            <v>8/6/2004 0:00</v>
          </cell>
          <cell r="E1043">
            <v>6401.22</v>
          </cell>
        </row>
        <row r="1044">
          <cell r="A1044" t="str">
            <v>8/19/2004 0:00</v>
          </cell>
          <cell r="E1044">
            <v>4191.25</v>
          </cell>
        </row>
        <row r="1045">
          <cell r="A1045" t="str">
            <v>8/30/2004 0:00</v>
          </cell>
          <cell r="E1045">
            <v>5852.52</v>
          </cell>
        </row>
        <row r="1046">
          <cell r="A1046" t="str">
            <v>9/8/2004 0:00</v>
          </cell>
          <cell r="E1046">
            <v>2844.87</v>
          </cell>
        </row>
        <row r="1047">
          <cell r="A1047" t="str">
            <v>10/5/2003 0:00</v>
          </cell>
          <cell r="E1047">
            <v>4011.66</v>
          </cell>
        </row>
        <row r="1048">
          <cell r="A1048" t="str">
            <v>10/13/2004 0:00</v>
          </cell>
          <cell r="E1048">
            <v>7455.87</v>
          </cell>
        </row>
        <row r="1049">
          <cell r="A1049" t="str">
            <v>10/16/2004 0:00</v>
          </cell>
          <cell r="E1049">
            <v>8940.9599999999991</v>
          </cell>
        </row>
        <row r="1050">
          <cell r="A1050" t="str">
            <v>10/22/2004 0:00</v>
          </cell>
          <cell r="E1050">
            <v>4572.25</v>
          </cell>
        </row>
        <row r="1051">
          <cell r="A1051" t="str">
            <v>11/4/2004 0:00</v>
          </cell>
          <cell r="E1051">
            <v>5700.09</v>
          </cell>
        </row>
        <row r="1052">
          <cell r="A1052" t="str">
            <v>11/5/2004 0:00</v>
          </cell>
          <cell r="E1052">
            <v>3155.49</v>
          </cell>
        </row>
        <row r="1053">
          <cell r="A1053" t="str">
            <v>11/17/2004 0:00</v>
          </cell>
          <cell r="E1053">
            <v>4170.6899999999996</v>
          </cell>
        </row>
        <row r="1054">
          <cell r="A1054" t="str">
            <v>11/19/2004 0:00</v>
          </cell>
          <cell r="E1054">
            <v>2878.8</v>
          </cell>
        </row>
        <row r="1055">
          <cell r="A1055" t="str">
            <v>11/24/2004 0:00</v>
          </cell>
          <cell r="E1055">
            <v>5029.5</v>
          </cell>
        </row>
        <row r="1056">
          <cell r="A1056" t="str">
            <v>12/1/2004 0:00</v>
          </cell>
          <cell r="E1056">
            <v>7396.8</v>
          </cell>
        </row>
        <row r="1057">
          <cell r="A1057" t="str">
            <v>12/10/2004 0:00</v>
          </cell>
          <cell r="E1057">
            <v>2991.68</v>
          </cell>
        </row>
        <row r="1058">
          <cell r="A1058" t="str">
            <v>1/10/2005 0:00</v>
          </cell>
          <cell r="E1058">
            <v>6275.72</v>
          </cell>
        </row>
        <row r="1059">
          <cell r="A1059" t="str">
            <v>1/20/2005 0:00</v>
          </cell>
          <cell r="E1059">
            <v>1534.95</v>
          </cell>
        </row>
        <row r="1060">
          <cell r="A1060" t="str">
            <v>2/9/2005 0:00</v>
          </cell>
          <cell r="E1060">
            <v>7264.53</v>
          </cell>
        </row>
        <row r="1061">
          <cell r="A1061" t="str">
            <v>2/22/2005 0:00</v>
          </cell>
          <cell r="E1061">
            <v>6869.05</v>
          </cell>
        </row>
        <row r="1062">
          <cell r="A1062" t="str">
            <v>3/15/2005 0:00</v>
          </cell>
          <cell r="E1062">
            <v>3353.02</v>
          </cell>
        </row>
        <row r="1063">
          <cell r="A1063" t="str">
            <v>4/14/2005 0:00</v>
          </cell>
          <cell r="E1063">
            <v>8289.0499999999993</v>
          </cell>
        </row>
        <row r="1064">
          <cell r="A1064" t="str">
            <v>5/3/2005 0:00</v>
          </cell>
          <cell r="E1064">
            <v>11887.8</v>
          </cell>
        </row>
        <row r="1065">
          <cell r="A1065" t="str">
            <v>5/17/2005 0:00</v>
          </cell>
          <cell r="E1065">
            <v>5926.9</v>
          </cell>
        </row>
        <row r="1066">
          <cell r="A1066" t="str">
            <v>5/31/2005 0:00</v>
          </cell>
          <cell r="E1066">
            <v>3793.16</v>
          </cell>
        </row>
        <row r="1067">
          <cell r="A1067" t="str">
            <v>2/11/2003 0:00</v>
          </cell>
          <cell r="E1067">
            <v>4330.1000000000004</v>
          </cell>
        </row>
        <row r="1068">
          <cell r="A1068" t="str">
            <v>4/16/2003 0:00</v>
          </cell>
          <cell r="E1068">
            <v>2011.8</v>
          </cell>
        </row>
        <row r="1069">
          <cell r="A1069" t="str">
            <v>6/6/2003 0:00</v>
          </cell>
          <cell r="E1069">
            <v>4837.18</v>
          </cell>
        </row>
        <row r="1070">
          <cell r="A1070" t="str">
            <v>8/8/2003 0:00</v>
          </cell>
          <cell r="E1070">
            <v>2151.8200000000002</v>
          </cell>
        </row>
        <row r="1071">
          <cell r="A1071" t="str">
            <v>9/28/2003 0:00</v>
          </cell>
          <cell r="E1071">
            <v>2573.46</v>
          </cell>
        </row>
        <row r="1072">
          <cell r="A1072" t="str">
            <v>10/22/2003 0:00</v>
          </cell>
          <cell r="E1072">
            <v>5344.5</v>
          </cell>
        </row>
        <row r="1073">
          <cell r="A1073" t="str">
            <v>11/7/2003 0:00</v>
          </cell>
          <cell r="E1073">
            <v>3070.52</v>
          </cell>
        </row>
        <row r="1074">
          <cell r="A1074" t="str">
            <v>11/14/2003 0:00</v>
          </cell>
          <cell r="E1074">
            <v>3952.83</v>
          </cell>
        </row>
        <row r="1075">
          <cell r="A1075" t="str">
            <v>11/26/2003 0:00</v>
          </cell>
          <cell r="E1075">
            <v>3564.75</v>
          </cell>
        </row>
        <row r="1076">
          <cell r="A1076" t="str">
            <v>1/2/2004 0:00</v>
          </cell>
          <cell r="E1076">
            <v>5614.56</v>
          </cell>
        </row>
        <row r="1077">
          <cell r="A1077" t="str">
            <v>2/18/2004 0:00</v>
          </cell>
          <cell r="E1077">
            <v>1855.41</v>
          </cell>
        </row>
        <row r="1078">
          <cell r="A1078" t="str">
            <v>3/20/2004 0:00</v>
          </cell>
          <cell r="E1078">
            <v>4598.3999999999996</v>
          </cell>
        </row>
        <row r="1079">
          <cell r="A1079" t="str">
            <v>5/7/2004 0:00</v>
          </cell>
          <cell r="E1079">
            <v>5082.42</v>
          </cell>
        </row>
        <row r="1080">
          <cell r="A1080" t="str">
            <v>7/21/2004 0:00</v>
          </cell>
          <cell r="E1080">
            <v>5450.59</v>
          </cell>
        </row>
        <row r="1081">
          <cell r="A1081" t="str">
            <v>8/20/2004 0:00</v>
          </cell>
          <cell r="E1081">
            <v>4174.92</v>
          </cell>
        </row>
        <row r="1082">
          <cell r="A1082" t="str">
            <v>9/9/2004 0:00</v>
          </cell>
          <cell r="E1082">
            <v>2418.2399999999998</v>
          </cell>
        </row>
        <row r="1083">
          <cell r="A1083" t="str">
            <v>10/14/2004 0:00</v>
          </cell>
          <cell r="E1083">
            <v>3670.4</v>
          </cell>
        </row>
        <row r="1084">
          <cell r="A1084" t="str">
            <v>10/22/2004 0:00</v>
          </cell>
          <cell r="E1084">
            <v>2481.6999999999998</v>
          </cell>
        </row>
        <row r="1085">
          <cell r="A1085" t="str">
            <v>11/9/2004 0:00</v>
          </cell>
          <cell r="E1085">
            <v>3807.68</v>
          </cell>
        </row>
        <row r="1086">
          <cell r="A1086" t="str">
            <v>11/20/2004 0:00</v>
          </cell>
          <cell r="E1086">
            <v>2230.41</v>
          </cell>
        </row>
        <row r="1087">
          <cell r="A1087" t="str">
            <v>12/2/2004 0:00</v>
          </cell>
          <cell r="E1087">
            <v>3814.64</v>
          </cell>
        </row>
        <row r="1088">
          <cell r="A1088" t="str">
            <v>1/26/2005 0:00</v>
          </cell>
          <cell r="E1088">
            <v>2117.75</v>
          </cell>
        </row>
        <row r="1089">
          <cell r="A1089" t="str">
            <v>2/22/2005 0:00</v>
          </cell>
          <cell r="E1089">
            <v>3340.48</v>
          </cell>
        </row>
        <row r="1090">
          <cell r="A1090" t="str">
            <v>3/23/2005 0:00</v>
          </cell>
          <cell r="E1090">
            <v>2154</v>
          </cell>
        </row>
        <row r="1091">
          <cell r="A1091" t="str">
            <v>5/6/2005 0:00</v>
          </cell>
          <cell r="E1091">
            <v>5808.48</v>
          </cell>
        </row>
        <row r="1092">
          <cell r="A1092" t="str">
            <v>3/3/2003 0:00</v>
          </cell>
          <cell r="E1092">
            <v>1777.1</v>
          </cell>
        </row>
        <row r="1093">
          <cell r="A1093" t="str">
            <v>5/8/2003 0:00</v>
          </cell>
          <cell r="E1093">
            <v>1536.57</v>
          </cell>
        </row>
        <row r="1094">
          <cell r="A1094" t="str">
            <v>7/2/2003 0:00</v>
          </cell>
          <cell r="E1094">
            <v>3510</v>
          </cell>
        </row>
        <row r="1095">
          <cell r="A1095" t="str">
            <v>9/5/2003 0:00</v>
          </cell>
          <cell r="E1095">
            <v>3097.44</v>
          </cell>
        </row>
        <row r="1096">
          <cell r="A1096" t="str">
            <v>10/10/2003 0:00</v>
          </cell>
          <cell r="E1096">
            <v>1705.41</v>
          </cell>
        </row>
        <row r="1097">
          <cell r="A1097" t="str">
            <v>11/4/2003 0:00</v>
          </cell>
          <cell r="E1097">
            <v>2264.3200000000002</v>
          </cell>
        </row>
        <row r="1098">
          <cell r="A1098" t="str">
            <v>11/12/2003 0:00</v>
          </cell>
          <cell r="E1098">
            <v>2484.6</v>
          </cell>
        </row>
        <row r="1099">
          <cell r="A1099" t="str">
            <v>11/20/2003 0:00</v>
          </cell>
          <cell r="E1099">
            <v>3415.68</v>
          </cell>
        </row>
        <row r="1100">
          <cell r="A1100" t="str">
            <v>12/2/2003 0:00</v>
          </cell>
          <cell r="E1100">
            <v>2839.32</v>
          </cell>
        </row>
        <row r="1101">
          <cell r="A1101" t="str">
            <v>1/15/2004 0:00</v>
          </cell>
          <cell r="E1101">
            <v>2730</v>
          </cell>
        </row>
        <row r="1102">
          <cell r="A1102" t="str">
            <v>2/22/2004 0:00</v>
          </cell>
          <cell r="E1102">
            <v>3540.53</v>
          </cell>
        </row>
        <row r="1103">
          <cell r="A1103" t="str">
            <v>4/9/2004 0:00</v>
          </cell>
          <cell r="E1103">
            <v>2999.97</v>
          </cell>
        </row>
        <row r="1104">
          <cell r="A1104" t="str">
            <v>5/26/2004 0:00</v>
          </cell>
          <cell r="E1104">
            <v>1527.8</v>
          </cell>
        </row>
        <row r="1105">
          <cell r="A1105" t="str">
            <v>7/2/2004 0:00</v>
          </cell>
          <cell r="E1105">
            <v>3907.8</v>
          </cell>
        </row>
        <row r="1106">
          <cell r="A1106" t="str">
            <v>8/2/2004 0:00</v>
          </cell>
          <cell r="E1106">
            <v>2658.48</v>
          </cell>
        </row>
        <row r="1107">
          <cell r="A1107" t="str">
            <v>8/30/2004 0:00</v>
          </cell>
          <cell r="E1107">
            <v>3042.68</v>
          </cell>
        </row>
        <row r="1108">
          <cell r="A1108" t="str">
            <v>10/4/2003 0:00</v>
          </cell>
          <cell r="E1108">
            <v>3861.2</v>
          </cell>
        </row>
        <row r="1109">
          <cell r="A1109" t="str">
            <v>10/16/2004 0:00</v>
          </cell>
          <cell r="E1109">
            <v>2171.0700000000002</v>
          </cell>
        </row>
        <row r="1110">
          <cell r="A1110" t="str">
            <v>11/3/2004 0:00</v>
          </cell>
          <cell r="E1110">
            <v>3403.08</v>
          </cell>
        </row>
        <row r="1111">
          <cell r="A1111" t="str">
            <v>11/15/2004 0:00</v>
          </cell>
          <cell r="E1111">
            <v>2245.8000000000002</v>
          </cell>
        </row>
        <row r="1112">
          <cell r="A1112" t="str">
            <v>11/24/2004 0:00</v>
          </cell>
          <cell r="E1112">
            <v>1668.5</v>
          </cell>
        </row>
        <row r="1113">
          <cell r="A1113" t="str">
            <v>1/6/2005 0:00</v>
          </cell>
          <cell r="E1113">
            <v>2773.8</v>
          </cell>
        </row>
        <row r="1114">
          <cell r="A1114" t="str">
            <v>2/10/2005 0:00</v>
          </cell>
          <cell r="E1114">
            <v>2464</v>
          </cell>
        </row>
        <row r="1115">
          <cell r="A1115" t="str">
            <v>3/4/2005 0:00</v>
          </cell>
          <cell r="E1115">
            <v>5491.6</v>
          </cell>
        </row>
        <row r="1116">
          <cell r="A1116" t="str">
            <v>1/29/2003 0:00</v>
          </cell>
          <cell r="E1116">
            <v>4791.82</v>
          </cell>
        </row>
        <row r="1117">
          <cell r="A1117" t="str">
            <v>3/25/2003 0:00</v>
          </cell>
          <cell r="E1117">
            <v>4178.8500000000004</v>
          </cell>
        </row>
        <row r="1118">
          <cell r="A1118" t="str">
            <v>5/28/2003 0:00</v>
          </cell>
          <cell r="E1118">
            <v>3128.92</v>
          </cell>
        </row>
        <row r="1119">
          <cell r="A1119" t="str">
            <v>7/16/2003 0:00</v>
          </cell>
          <cell r="E1119">
            <v>3095.4</v>
          </cell>
        </row>
        <row r="1120">
          <cell r="A1120" t="str">
            <v>9/12/2003 0:00</v>
          </cell>
          <cell r="E1120">
            <v>3958.5</v>
          </cell>
        </row>
        <row r="1121">
          <cell r="A1121" t="str">
            <v>10/20/2003 0:00</v>
          </cell>
          <cell r="E1121">
            <v>4991.4399999999996</v>
          </cell>
        </row>
        <row r="1122">
          <cell r="A1122" t="str">
            <v>11/5/2003 0:00</v>
          </cell>
          <cell r="E1122">
            <v>2761.96</v>
          </cell>
        </row>
        <row r="1123">
          <cell r="A1123" t="str">
            <v>11/12/2003 0:00</v>
          </cell>
          <cell r="E1123">
            <v>2848.23</v>
          </cell>
        </row>
        <row r="1124">
          <cell r="A1124" t="str">
            <v>11/21/2003 0:00</v>
          </cell>
          <cell r="E1124">
            <v>2539.84</v>
          </cell>
        </row>
        <row r="1125">
          <cell r="A1125" t="str">
            <v>12/5/2003 0:00</v>
          </cell>
          <cell r="E1125">
            <v>2444.4</v>
          </cell>
        </row>
        <row r="1126">
          <cell r="A1126" t="str">
            <v>1/29/2004 0:00</v>
          </cell>
          <cell r="E1126">
            <v>4555.92</v>
          </cell>
        </row>
        <row r="1127">
          <cell r="A1127" t="str">
            <v>3/2/2004 0:00</v>
          </cell>
          <cell r="E1127">
            <v>3666.96</v>
          </cell>
        </row>
        <row r="1128">
          <cell r="A1128" t="str">
            <v>4/29/2004 0:00</v>
          </cell>
          <cell r="E1128">
            <v>3035.88</v>
          </cell>
        </row>
        <row r="1129">
          <cell r="A1129" t="str">
            <v>6/14/2004 0:00</v>
          </cell>
          <cell r="E1129">
            <v>2321.54</v>
          </cell>
        </row>
        <row r="1130">
          <cell r="A1130" t="str">
            <v>8/17/2004 0:00</v>
          </cell>
          <cell r="E1130">
            <v>3474.46</v>
          </cell>
        </row>
        <row r="1131">
          <cell r="A1131" t="str">
            <v>9/7/2004 0:00</v>
          </cell>
          <cell r="E1131">
            <v>2501.98</v>
          </cell>
        </row>
        <row r="1132">
          <cell r="A1132" t="str">
            <v>10/11/2004 0:00</v>
          </cell>
          <cell r="E1132">
            <v>3958.46</v>
          </cell>
        </row>
        <row r="1133">
          <cell r="A1133" t="str">
            <v>10/21/2004 0:00</v>
          </cell>
          <cell r="E1133">
            <v>3535.95</v>
          </cell>
        </row>
        <row r="1134">
          <cell r="A1134" t="str">
            <v>11/5/2004 0:00</v>
          </cell>
          <cell r="E1134">
            <v>3011.91</v>
          </cell>
        </row>
        <row r="1135">
          <cell r="A1135" t="str">
            <v>11/18/2004 0:00</v>
          </cell>
          <cell r="E1135">
            <v>11336.7</v>
          </cell>
        </row>
        <row r="1136">
          <cell r="A1136" t="str">
            <v>11/29/2004 0:00</v>
          </cell>
          <cell r="E1136">
            <v>2656.94</v>
          </cell>
        </row>
        <row r="1137">
          <cell r="A1137" t="str">
            <v>12/10/2004 0:00</v>
          </cell>
          <cell r="E1137">
            <v>2604.25</v>
          </cell>
        </row>
        <row r="1138">
          <cell r="A1138" t="str">
            <v>1/20/2005 0:00</v>
          </cell>
          <cell r="E1138">
            <v>3288.6</v>
          </cell>
        </row>
        <row r="1139">
          <cell r="A1139" t="str">
            <v>2/17/2005 0:00</v>
          </cell>
          <cell r="E1139">
            <v>8935.5</v>
          </cell>
        </row>
        <row r="1140">
          <cell r="A1140" t="str">
            <v>3/10/2005 0:00</v>
          </cell>
          <cell r="E1140">
            <v>4035.96</v>
          </cell>
        </row>
        <row r="1141">
          <cell r="A1141" t="str">
            <v>5/30/2005 0:00</v>
          </cell>
          <cell r="E1141">
            <v>1875.09</v>
          </cell>
        </row>
        <row r="1142">
          <cell r="A1142" t="str">
            <v>3/3/2003 0:00</v>
          </cell>
          <cell r="E1142">
            <v>4049.56</v>
          </cell>
        </row>
        <row r="1143">
          <cell r="A1143" t="str">
            <v>5/8/2003 0:00</v>
          </cell>
          <cell r="E1143">
            <v>2469.39</v>
          </cell>
        </row>
        <row r="1144">
          <cell r="A1144" t="str">
            <v>7/2/2003 0:00</v>
          </cell>
          <cell r="E1144">
            <v>5432.7</v>
          </cell>
        </row>
        <row r="1145">
          <cell r="A1145" t="str">
            <v>9/5/2003 0:00</v>
          </cell>
          <cell r="E1145">
            <v>4405.22</v>
          </cell>
        </row>
        <row r="1146">
          <cell r="A1146" t="str">
            <v>10/10/2003 0:00</v>
          </cell>
          <cell r="E1146">
            <v>3638</v>
          </cell>
        </row>
        <row r="1147">
          <cell r="A1147" t="str">
            <v>11/4/2003 0:00</v>
          </cell>
          <cell r="E1147">
            <v>4444.92</v>
          </cell>
        </row>
        <row r="1148">
          <cell r="A1148" t="str">
            <v>11/12/2003 0:00</v>
          </cell>
          <cell r="E1148">
            <v>3395.48</v>
          </cell>
        </row>
        <row r="1149">
          <cell r="A1149" t="str">
            <v>11/20/2003 0:00</v>
          </cell>
          <cell r="E1149">
            <v>3414.58</v>
          </cell>
        </row>
        <row r="1150">
          <cell r="A1150" t="str">
            <v>12/2/2003 0:00</v>
          </cell>
          <cell r="E1150">
            <v>5127.04</v>
          </cell>
        </row>
        <row r="1151">
          <cell r="A1151" t="str">
            <v>1/15/2004 0:00</v>
          </cell>
          <cell r="E1151">
            <v>3745.28</v>
          </cell>
        </row>
        <row r="1152">
          <cell r="A1152" t="str">
            <v>2/22/2004 0:00</v>
          </cell>
          <cell r="E1152">
            <v>4564.08</v>
          </cell>
        </row>
        <row r="1153">
          <cell r="A1153" t="str">
            <v>4/9/2004 0:00</v>
          </cell>
          <cell r="E1153">
            <v>6554.24</v>
          </cell>
        </row>
        <row r="1154">
          <cell r="A1154" t="str">
            <v>5/26/2004 0:00</v>
          </cell>
          <cell r="E1154">
            <v>6749.83</v>
          </cell>
        </row>
        <row r="1155">
          <cell r="A1155" t="str">
            <v>7/2/2004 0:00</v>
          </cell>
          <cell r="E1155">
            <v>8427.02</v>
          </cell>
        </row>
        <row r="1156">
          <cell r="A1156" t="str">
            <v>8/2/2004 0:00</v>
          </cell>
          <cell r="E1156">
            <v>3924.6</v>
          </cell>
        </row>
        <row r="1157">
          <cell r="A1157" t="str">
            <v>8/30/2004 0:00</v>
          </cell>
          <cell r="E1157">
            <v>6761.6</v>
          </cell>
        </row>
        <row r="1158">
          <cell r="A1158" t="str">
            <v>10/4/2003 0:00</v>
          </cell>
          <cell r="E1158">
            <v>3786.49</v>
          </cell>
        </row>
        <row r="1159">
          <cell r="A1159" t="str">
            <v>10/16/2004 0:00</v>
          </cell>
          <cell r="E1159">
            <v>6266.12</v>
          </cell>
        </row>
        <row r="1160">
          <cell r="A1160" t="str">
            <v>11/3/2004 0:00</v>
          </cell>
          <cell r="E1160">
            <v>3491</v>
          </cell>
        </row>
        <row r="1161">
          <cell r="A1161" t="str">
            <v>11/16/2004 0:00</v>
          </cell>
          <cell r="E1161">
            <v>4405.22</v>
          </cell>
        </row>
        <row r="1162">
          <cell r="A1162" t="str">
            <v>11/24/2004 0:00</v>
          </cell>
          <cell r="E1162">
            <v>6548.3</v>
          </cell>
        </row>
        <row r="1163">
          <cell r="A1163" t="str">
            <v>12/7/2004 0:00</v>
          </cell>
          <cell r="E1163">
            <v>3177.91</v>
          </cell>
        </row>
        <row r="1164">
          <cell r="A1164" t="str">
            <v>1/6/2005 0:00</v>
          </cell>
          <cell r="E1164">
            <v>4142.6400000000003</v>
          </cell>
        </row>
        <row r="1165">
          <cell r="A1165" t="str">
            <v>2/10/2005 0:00</v>
          </cell>
          <cell r="E1165">
            <v>4149.07</v>
          </cell>
        </row>
        <row r="1166">
          <cell r="A1166" t="str">
            <v>3/4/2005 0:00</v>
          </cell>
          <cell r="E1166">
            <v>7397</v>
          </cell>
        </row>
        <row r="1167">
          <cell r="A1167" t="str">
            <v>3/10/2003 0:00</v>
          </cell>
          <cell r="E1167">
            <v>6241.6</v>
          </cell>
        </row>
        <row r="1168">
          <cell r="A1168" t="str">
            <v>5/20/2003 0:00</v>
          </cell>
          <cell r="E1168">
            <v>5331.88</v>
          </cell>
        </row>
        <row r="1169">
          <cell r="A1169" t="str">
            <v>7/10/2003 0:00</v>
          </cell>
          <cell r="E1169">
            <v>5124.3</v>
          </cell>
        </row>
        <row r="1170">
          <cell r="A1170" t="str">
            <v>9/11/2003 0:00</v>
          </cell>
          <cell r="E1170">
            <v>3639.44</v>
          </cell>
        </row>
        <row r="1171">
          <cell r="A1171" t="str">
            <v>10/17/2003 0:00</v>
          </cell>
          <cell r="E1171">
            <v>5544</v>
          </cell>
        </row>
        <row r="1172">
          <cell r="A1172" t="str">
            <v>11/5/2003 0:00</v>
          </cell>
          <cell r="E1172">
            <v>5493.12</v>
          </cell>
        </row>
        <row r="1173">
          <cell r="A1173" t="str">
            <v>11/12/2003 0:00</v>
          </cell>
          <cell r="E1173">
            <v>5785.26</v>
          </cell>
        </row>
        <row r="1174">
          <cell r="A1174" t="str">
            <v>11/20/2003 0:00</v>
          </cell>
          <cell r="E1174">
            <v>5340.6</v>
          </cell>
        </row>
        <row r="1175">
          <cell r="A1175" t="str">
            <v>12/2/2003 0:00</v>
          </cell>
          <cell r="E1175">
            <v>5735.8</v>
          </cell>
        </row>
        <row r="1176">
          <cell r="A1176" t="str">
            <v>1/16/2004 0:00</v>
          </cell>
          <cell r="E1176">
            <v>6357.6</v>
          </cell>
        </row>
        <row r="1177">
          <cell r="A1177" t="str">
            <v>2/26/2004 0:00</v>
          </cell>
          <cell r="E1177">
            <v>7343.9</v>
          </cell>
        </row>
        <row r="1178">
          <cell r="A1178" t="str">
            <v>4/13/2004 0:00</v>
          </cell>
          <cell r="E1178">
            <v>5959.22</v>
          </cell>
        </row>
        <row r="1179">
          <cell r="A1179" t="str">
            <v>6/1/2004 0:00</v>
          </cell>
          <cell r="E1179">
            <v>4029.38</v>
          </cell>
        </row>
        <row r="1180">
          <cell r="A1180" t="str">
            <v>7/6/2004 0:00</v>
          </cell>
          <cell r="E1180">
            <v>5035.1400000000003</v>
          </cell>
        </row>
        <row r="1181">
          <cell r="A1181" t="str">
            <v>8/6/2004 0:00</v>
          </cell>
          <cell r="E1181">
            <v>4116.8</v>
          </cell>
        </row>
        <row r="1182">
          <cell r="A1182" t="str">
            <v>8/30/2004 0:00</v>
          </cell>
          <cell r="E1182">
            <v>4310.55</v>
          </cell>
        </row>
        <row r="1183">
          <cell r="A1183" t="str">
            <v>10/5/2003 0:00</v>
          </cell>
          <cell r="E1183">
            <v>6446.7</v>
          </cell>
        </row>
        <row r="1184">
          <cell r="A1184" t="str">
            <v>10/16/2004 0:00</v>
          </cell>
          <cell r="E1184">
            <v>3616.64</v>
          </cell>
        </row>
        <row r="1185">
          <cell r="A1185" t="str">
            <v>11/4/2004 0:00</v>
          </cell>
          <cell r="E1185">
            <v>4232.76</v>
          </cell>
        </row>
        <row r="1186">
          <cell r="A1186" t="str">
            <v>11/17/2004 0:00</v>
          </cell>
          <cell r="E1186">
            <v>1765.66</v>
          </cell>
        </row>
        <row r="1187">
          <cell r="A1187" t="str">
            <v>11/24/2004 0:00</v>
          </cell>
          <cell r="E1187">
            <v>3734.72</v>
          </cell>
        </row>
        <row r="1188">
          <cell r="A1188" t="str">
            <v>1/12/2005 0:00</v>
          </cell>
          <cell r="E1188">
            <v>4808.38</v>
          </cell>
        </row>
        <row r="1189">
          <cell r="A1189" t="str">
            <v>2/10/2005 0:00</v>
          </cell>
          <cell r="E1189">
            <v>2266.56</v>
          </cell>
        </row>
        <row r="1190">
          <cell r="A1190" t="str">
            <v>4/15/2005 0:00</v>
          </cell>
          <cell r="E1190">
            <v>10468.9</v>
          </cell>
        </row>
        <row r="1191">
          <cell r="A1191" t="str">
            <v>5/17/2005 0:00</v>
          </cell>
          <cell r="E1191">
            <v>5589.14</v>
          </cell>
        </row>
        <row r="1192">
          <cell r="A1192" t="str">
            <v>3/3/2003 0:00</v>
          </cell>
          <cell r="E1192">
            <v>2914.11</v>
          </cell>
        </row>
        <row r="1193">
          <cell r="A1193" t="str">
            <v>5/8/2003 0:00</v>
          </cell>
          <cell r="E1193">
            <v>1740.9</v>
          </cell>
        </row>
        <row r="1194">
          <cell r="A1194" t="str">
            <v>7/2/2003 0:00</v>
          </cell>
          <cell r="E1194">
            <v>2266.1999999999998</v>
          </cell>
        </row>
        <row r="1195">
          <cell r="A1195" t="str">
            <v>9/3/2003 0:00</v>
          </cell>
          <cell r="E1195">
            <v>3155.58</v>
          </cell>
        </row>
        <row r="1196">
          <cell r="A1196" t="str">
            <v>10/10/2003 0:00</v>
          </cell>
          <cell r="E1196">
            <v>1357.86</v>
          </cell>
        </row>
        <row r="1197">
          <cell r="A1197" t="str">
            <v>11/4/2003 0:00</v>
          </cell>
          <cell r="E1197">
            <v>2598.8200000000002</v>
          </cell>
        </row>
        <row r="1198">
          <cell r="A1198" t="str">
            <v>11/11/2003 0:00</v>
          </cell>
          <cell r="E1198">
            <v>1057.56</v>
          </cell>
        </row>
        <row r="1199">
          <cell r="A1199" t="str">
            <v>11/20/2003 0:00</v>
          </cell>
          <cell r="E1199">
            <v>3127.82</v>
          </cell>
        </row>
        <row r="1200">
          <cell r="A1200" t="str">
            <v>1/15/2004 0:00</v>
          </cell>
          <cell r="E1200">
            <v>2488.14</v>
          </cell>
        </row>
        <row r="1201">
          <cell r="A1201" t="str">
            <v>2/21/2004 0:00</v>
          </cell>
          <cell r="E1201">
            <v>2220.7199999999998</v>
          </cell>
        </row>
        <row r="1202">
          <cell r="A1202" t="str">
            <v>4/5/2004 0:00</v>
          </cell>
          <cell r="E1202">
            <v>1357.72</v>
          </cell>
        </row>
        <row r="1203">
          <cell r="A1203" t="str">
            <v>5/26/2004 0:00</v>
          </cell>
          <cell r="E1203">
            <v>1638.04</v>
          </cell>
        </row>
        <row r="1204">
          <cell r="A1204" t="str">
            <v>6/30/2004 0:00</v>
          </cell>
          <cell r="E1204">
            <v>2626.08</v>
          </cell>
        </row>
        <row r="1205">
          <cell r="A1205" t="str">
            <v>8/2/2004 0:00</v>
          </cell>
          <cell r="E1205">
            <v>1661.88</v>
          </cell>
        </row>
        <row r="1206">
          <cell r="A1206" t="str">
            <v>8/28/2004 0:00</v>
          </cell>
          <cell r="E1206">
            <v>2173.6</v>
          </cell>
        </row>
        <row r="1207">
          <cell r="A1207" t="str">
            <v>9/30/2004 0:00</v>
          </cell>
          <cell r="E1207">
            <v>2182.0500000000002</v>
          </cell>
        </row>
        <row r="1208">
          <cell r="A1208" t="str">
            <v>10/16/2004 0:00</v>
          </cell>
          <cell r="E1208">
            <v>2819.88</v>
          </cell>
        </row>
        <row r="1209">
          <cell r="A1209" t="str">
            <v>11/3/2004 0:00</v>
          </cell>
          <cell r="E1209">
            <v>2598.64</v>
          </cell>
        </row>
        <row r="1210">
          <cell r="A1210" t="str">
            <v>11/16/2004 0:00</v>
          </cell>
          <cell r="E1210">
            <v>2019.27</v>
          </cell>
        </row>
        <row r="1211">
          <cell r="A1211" t="str">
            <v>11/24/2004 0:00</v>
          </cell>
          <cell r="E1211">
            <v>1454.7</v>
          </cell>
        </row>
        <row r="1212">
          <cell r="A1212" t="str">
            <v>12/7/2004 0:00</v>
          </cell>
          <cell r="E1212">
            <v>1657.57</v>
          </cell>
        </row>
        <row r="1213">
          <cell r="A1213" t="str">
            <v>1/6/2005 0:00</v>
          </cell>
          <cell r="E1213">
            <v>2851.84</v>
          </cell>
        </row>
        <row r="1214">
          <cell r="A1214" t="str">
            <v>2/10/2005 0:00</v>
          </cell>
          <cell r="E1214">
            <v>4609.6400000000003</v>
          </cell>
        </row>
        <row r="1215">
          <cell r="A1215" t="str">
            <v>3/4/2005 0:00</v>
          </cell>
          <cell r="E1215">
            <v>5079.96</v>
          </cell>
        </row>
        <row r="1216">
          <cell r="A1216" t="str">
            <v>4/8/2005 0:00</v>
          </cell>
          <cell r="E1216">
            <v>1879.92</v>
          </cell>
        </row>
        <row r="1217">
          <cell r="A1217" t="str">
            <v>2/17/2003 0:00</v>
          </cell>
          <cell r="E1217">
            <v>4774.8599999999997</v>
          </cell>
        </row>
        <row r="1218">
          <cell r="A1218" t="str">
            <v>4/28/2003 0:00</v>
          </cell>
          <cell r="E1218">
            <v>2687.04</v>
          </cell>
        </row>
        <row r="1219">
          <cell r="A1219" t="str">
            <v>6/16/2003 0:00</v>
          </cell>
          <cell r="E1219">
            <v>3423.75</v>
          </cell>
        </row>
        <row r="1220">
          <cell r="A1220" t="str">
            <v>8/10/2003 0:00</v>
          </cell>
          <cell r="E1220">
            <v>3455.76</v>
          </cell>
        </row>
        <row r="1221">
          <cell r="A1221" t="str">
            <v>10/6/2003 0:00</v>
          </cell>
          <cell r="E1221">
            <v>3622.97</v>
          </cell>
        </row>
        <row r="1222">
          <cell r="A1222" t="str">
            <v>10/23/2003 0:00</v>
          </cell>
          <cell r="E1222">
            <v>3599.58</v>
          </cell>
        </row>
        <row r="1223">
          <cell r="A1223" t="str">
            <v>11/8/2003 0:00</v>
          </cell>
          <cell r="E1223">
            <v>5386.56</v>
          </cell>
        </row>
        <row r="1224">
          <cell r="A1224" t="str">
            <v>11/14/2003 0:00</v>
          </cell>
          <cell r="E1224">
            <v>4918.78</v>
          </cell>
        </row>
        <row r="1225">
          <cell r="A1225" t="str">
            <v>11/26/2003 0:00</v>
          </cell>
          <cell r="E1225">
            <v>2538.8000000000002</v>
          </cell>
        </row>
        <row r="1226">
          <cell r="A1226" t="str">
            <v>1/9/2004 0:00</v>
          </cell>
          <cell r="E1226">
            <v>2498.6</v>
          </cell>
        </row>
        <row r="1227">
          <cell r="A1227" t="str">
            <v>2/19/2004 0:00</v>
          </cell>
          <cell r="E1227">
            <v>3858.75</v>
          </cell>
        </row>
        <row r="1228">
          <cell r="A1228" t="str">
            <v>5/8/2004 0:00</v>
          </cell>
          <cell r="E1228">
            <v>5600.5</v>
          </cell>
        </row>
        <row r="1229">
          <cell r="A1229" t="str">
            <v>6/24/2004 0:00</v>
          </cell>
          <cell r="E1229">
            <v>4103.46</v>
          </cell>
        </row>
        <row r="1230">
          <cell r="A1230" t="str">
            <v>7/21/2004 0:00</v>
          </cell>
          <cell r="E1230">
            <v>4287.5</v>
          </cell>
        </row>
        <row r="1231">
          <cell r="A1231" t="str">
            <v>8/20/2004 0:00</v>
          </cell>
          <cell r="E1231">
            <v>5795.54</v>
          </cell>
        </row>
        <row r="1232">
          <cell r="A1232" t="str">
            <v>9/15/2004 0:00</v>
          </cell>
          <cell r="E1232">
            <v>1863.4</v>
          </cell>
        </row>
        <row r="1233">
          <cell r="A1233" t="str">
            <v>10/14/2004 0:00</v>
          </cell>
          <cell r="E1233">
            <v>4166.88</v>
          </cell>
        </row>
        <row r="1234">
          <cell r="A1234" t="str">
            <v>11/1/2004 0:00</v>
          </cell>
          <cell r="E1234">
            <v>4080.07</v>
          </cell>
        </row>
        <row r="1235">
          <cell r="A1235" t="str">
            <v>11/12/2004 0:00</v>
          </cell>
          <cell r="E1235">
            <v>3815.48</v>
          </cell>
        </row>
        <row r="1236">
          <cell r="A1236" t="str">
            <v>11/22/2004 0:00</v>
          </cell>
          <cell r="E1236">
            <v>5526.45</v>
          </cell>
        </row>
        <row r="1237">
          <cell r="A1237" t="str">
            <v>12/3/2004 0:00</v>
          </cell>
          <cell r="E1237">
            <v>3374.6</v>
          </cell>
        </row>
        <row r="1238">
          <cell r="A1238" t="str">
            <v>1/31/2005 0:00</v>
          </cell>
          <cell r="E1238">
            <v>3024.5</v>
          </cell>
        </row>
        <row r="1239">
          <cell r="A1239" t="str">
            <v>3/1/2005 0:00</v>
          </cell>
          <cell r="E1239">
            <v>1266.0999999999999</v>
          </cell>
        </row>
        <row r="1240">
          <cell r="A1240" t="str">
            <v>3/30/2005 0:00</v>
          </cell>
          <cell r="E1240">
            <v>4811.8500000000004</v>
          </cell>
        </row>
        <row r="1241">
          <cell r="A1241" t="str">
            <v>4/1/2005 0:00</v>
          </cell>
          <cell r="E1241">
            <v>7307.42</v>
          </cell>
        </row>
        <row r="1242">
          <cell r="A1242" t="str">
            <v>5/9/2005 0:00</v>
          </cell>
          <cell r="E1242">
            <v>6209.25</v>
          </cell>
        </row>
        <row r="1243">
          <cell r="A1243" t="str">
            <v>1/31/2003 0:00</v>
          </cell>
          <cell r="E1243">
            <v>5348.5</v>
          </cell>
        </row>
        <row r="1244">
          <cell r="A1244" t="str">
            <v>4/16/2003 0:00</v>
          </cell>
          <cell r="E1244">
            <v>2780.58</v>
          </cell>
        </row>
        <row r="1245">
          <cell r="A1245" t="str">
            <v>6/3/2003 0:00</v>
          </cell>
          <cell r="E1245">
            <v>3447</v>
          </cell>
        </row>
        <row r="1246">
          <cell r="A1246" t="str">
            <v>8/8/2003 0:00</v>
          </cell>
          <cell r="E1246">
            <v>3791.52</v>
          </cell>
        </row>
        <row r="1247">
          <cell r="A1247" t="str">
            <v>9/25/2003 0:00</v>
          </cell>
          <cell r="E1247">
            <v>4524.1000000000004</v>
          </cell>
        </row>
        <row r="1248">
          <cell r="A1248" t="str">
            <v>10/22/2003 0:00</v>
          </cell>
          <cell r="E1248">
            <v>3337.6</v>
          </cell>
        </row>
        <row r="1249">
          <cell r="A1249" t="str">
            <v>11/6/2003 0:00</v>
          </cell>
          <cell r="E1249">
            <v>5532.12</v>
          </cell>
        </row>
        <row r="1250">
          <cell r="A1250" t="str">
            <v>11/14/2003 0:00</v>
          </cell>
          <cell r="E1250">
            <v>5096.91</v>
          </cell>
        </row>
        <row r="1251">
          <cell r="A1251" t="str">
            <v>11/26/2003 0:00</v>
          </cell>
          <cell r="E1251">
            <v>4537.08</v>
          </cell>
        </row>
        <row r="1252">
          <cell r="A1252" t="str">
            <v>12/9/2003 0:00</v>
          </cell>
          <cell r="E1252">
            <v>6146.8</v>
          </cell>
        </row>
        <row r="1253">
          <cell r="A1253" t="str">
            <v>2/12/2004 0:00</v>
          </cell>
          <cell r="E1253">
            <v>8258</v>
          </cell>
        </row>
        <row r="1254">
          <cell r="A1254" t="str">
            <v>3/15/2004 0:00</v>
          </cell>
          <cell r="E1254">
            <v>7238.28</v>
          </cell>
        </row>
        <row r="1255">
          <cell r="A1255" t="str">
            <v>5/5/2004 0:00</v>
          </cell>
          <cell r="E1255">
            <v>6756</v>
          </cell>
        </row>
        <row r="1256">
          <cell r="A1256" t="str">
            <v>7/20/2004 0:00</v>
          </cell>
          <cell r="E1256">
            <v>3734</v>
          </cell>
        </row>
        <row r="1257">
          <cell r="A1257" t="str">
            <v>8/20/2004 0:00</v>
          </cell>
          <cell r="E1257">
            <v>4674.8</v>
          </cell>
        </row>
        <row r="1258">
          <cell r="A1258" t="str">
            <v>9/8/2004 0:00</v>
          </cell>
          <cell r="E1258">
            <v>7140.76</v>
          </cell>
        </row>
        <row r="1259">
          <cell r="A1259" t="str">
            <v>10/14/2004 0:00</v>
          </cell>
          <cell r="E1259">
            <v>3600.65</v>
          </cell>
        </row>
        <row r="1260">
          <cell r="A1260" t="str">
            <v>10/22/2004 0:00</v>
          </cell>
          <cell r="E1260">
            <v>4206.74</v>
          </cell>
        </row>
        <row r="1261">
          <cell r="A1261" t="str">
            <v>11/5/2004 0:00</v>
          </cell>
          <cell r="E1261">
            <v>5379.71</v>
          </cell>
        </row>
        <row r="1262">
          <cell r="A1262" t="str">
            <v>11/21/2004 0:00</v>
          </cell>
          <cell r="E1262">
            <v>5679.36</v>
          </cell>
        </row>
        <row r="1263">
          <cell r="A1263" t="str">
            <v>12/1/2004 0:00</v>
          </cell>
          <cell r="E1263">
            <v>4394.84</v>
          </cell>
        </row>
        <row r="1264">
          <cell r="A1264" t="str">
            <v>12/10/2004 0:00</v>
          </cell>
          <cell r="E1264">
            <v>2528.25</v>
          </cell>
        </row>
        <row r="1265">
          <cell r="A1265" t="str">
            <v>1/26/2005 0:00</v>
          </cell>
          <cell r="E1265">
            <v>7031.52</v>
          </cell>
        </row>
        <row r="1266">
          <cell r="A1266" t="str">
            <v>2/22/2005 0:00</v>
          </cell>
          <cell r="E1266">
            <v>5340.9</v>
          </cell>
        </row>
        <row r="1267">
          <cell r="A1267" t="str">
            <v>3/15/2005 0:00</v>
          </cell>
          <cell r="E1267">
            <v>6376.58</v>
          </cell>
        </row>
        <row r="1268">
          <cell r="A1268" t="str">
            <v>5/5/2005 0:00</v>
          </cell>
          <cell r="E1268">
            <v>6896.75</v>
          </cell>
        </row>
        <row r="1269">
          <cell r="A1269" t="str">
            <v>1/6/2003 0:00</v>
          </cell>
          <cell r="E1269">
            <v>1903.22</v>
          </cell>
        </row>
        <row r="1270">
          <cell r="A1270" t="str">
            <v>3/18/2003 0:00</v>
          </cell>
          <cell r="E1270">
            <v>2499.56</v>
          </cell>
        </row>
        <row r="1271">
          <cell r="A1271" t="str">
            <v>5/21/2003 0:00</v>
          </cell>
          <cell r="E1271">
            <v>3081.24</v>
          </cell>
        </row>
        <row r="1272">
          <cell r="A1272" t="str">
            <v>9/11/2003 0:00</v>
          </cell>
          <cell r="E1272">
            <v>3598.22</v>
          </cell>
        </row>
        <row r="1273">
          <cell r="A1273" t="str">
            <v>10/18/2003 0:00</v>
          </cell>
          <cell r="E1273">
            <v>3912.09</v>
          </cell>
        </row>
        <row r="1274">
          <cell r="A1274" t="str">
            <v>11/5/2003 0:00</v>
          </cell>
          <cell r="E1274">
            <v>1584.66</v>
          </cell>
        </row>
        <row r="1275">
          <cell r="A1275" t="str">
            <v>11/12/2003 0:00</v>
          </cell>
          <cell r="E1275">
            <v>3942.72</v>
          </cell>
        </row>
        <row r="1276">
          <cell r="A1276" t="str">
            <v>11/21/2003 0:00</v>
          </cell>
          <cell r="E1276">
            <v>2341.1999999999998</v>
          </cell>
        </row>
        <row r="1277">
          <cell r="A1277" t="str">
            <v>12/2/2003 0:00</v>
          </cell>
          <cell r="E1277">
            <v>2482.11</v>
          </cell>
        </row>
        <row r="1278">
          <cell r="A1278" t="str">
            <v>1/22/2004 0:00</v>
          </cell>
          <cell r="E1278">
            <v>3602.02</v>
          </cell>
        </row>
        <row r="1279">
          <cell r="A1279" t="str">
            <v>3/2/2004 0:00</v>
          </cell>
          <cell r="E1279">
            <v>3566.94</v>
          </cell>
        </row>
        <row r="1280">
          <cell r="A1280" t="str">
            <v>4/13/2004 0:00</v>
          </cell>
          <cell r="E1280">
            <v>3787.98</v>
          </cell>
        </row>
        <row r="1281">
          <cell r="A1281" t="str">
            <v>8/17/2004 0:00</v>
          </cell>
          <cell r="E1281">
            <v>3704.05</v>
          </cell>
        </row>
        <row r="1282">
          <cell r="A1282" t="str">
            <v>9/1/2004 0:00</v>
          </cell>
          <cell r="E1282">
            <v>2834.65</v>
          </cell>
        </row>
        <row r="1283">
          <cell r="A1283" t="str">
            <v>10/6/2003 0:00</v>
          </cell>
          <cell r="E1283">
            <v>3392.26</v>
          </cell>
        </row>
        <row r="1284">
          <cell r="A1284" t="str">
            <v>10/16/2004 0:00</v>
          </cell>
          <cell r="E1284">
            <v>3358.31</v>
          </cell>
        </row>
        <row r="1285">
          <cell r="A1285" t="str">
            <v>11/17/2004 0:00</v>
          </cell>
          <cell r="E1285">
            <v>7310</v>
          </cell>
        </row>
        <row r="1286">
          <cell r="A1286" t="str">
            <v>11/25/2004 0:00</v>
          </cell>
          <cell r="E1286">
            <v>2203.11</v>
          </cell>
        </row>
        <row r="1287">
          <cell r="A1287" t="str">
            <v>1/12/2005 0:00</v>
          </cell>
          <cell r="E1287">
            <v>2696.96</v>
          </cell>
        </row>
        <row r="1288">
          <cell r="A1288" t="str">
            <v>2/16/2005 0:00</v>
          </cell>
          <cell r="E1288">
            <v>3376.64</v>
          </cell>
        </row>
        <row r="1289">
          <cell r="A1289" t="str">
            <v>4/22/2005 0:00</v>
          </cell>
          <cell r="E1289">
            <v>541.14</v>
          </cell>
        </row>
        <row r="1290">
          <cell r="A1290" t="str">
            <v>5/29/2005 0:00</v>
          </cell>
          <cell r="E1290">
            <v>6134.7</v>
          </cell>
        </row>
        <row r="1291">
          <cell r="A1291" t="str">
            <v>2/11/2003 0:00</v>
          </cell>
          <cell r="E1291">
            <v>3382.5</v>
          </cell>
        </row>
        <row r="1292">
          <cell r="A1292" t="str">
            <v>4/16/2003 0:00</v>
          </cell>
          <cell r="E1292">
            <v>2240.66</v>
          </cell>
        </row>
        <row r="1293">
          <cell r="A1293" t="str">
            <v>6/6/2003 0:00</v>
          </cell>
          <cell r="E1293">
            <v>3962.88</v>
          </cell>
        </row>
        <row r="1294">
          <cell r="A1294" t="str">
            <v>8/8/2003 0:00</v>
          </cell>
          <cell r="E1294">
            <v>1685.28</v>
          </cell>
        </row>
        <row r="1295">
          <cell r="A1295" t="str">
            <v>9/28/2003 0:00</v>
          </cell>
          <cell r="E1295">
            <v>1834.36</v>
          </cell>
        </row>
        <row r="1296">
          <cell r="A1296" t="str">
            <v>10/21/2003 0:00</v>
          </cell>
          <cell r="E1296">
            <v>1916.98</v>
          </cell>
        </row>
        <row r="1297">
          <cell r="A1297" t="str">
            <v>11/7/2003 0:00</v>
          </cell>
          <cell r="E1297">
            <v>2611</v>
          </cell>
        </row>
        <row r="1298">
          <cell r="A1298" t="str">
            <v>11/14/2003 0:00</v>
          </cell>
          <cell r="E1298">
            <v>3630.28</v>
          </cell>
        </row>
        <row r="1299">
          <cell r="A1299" t="str">
            <v>11/26/2003 0:00</v>
          </cell>
          <cell r="E1299">
            <v>5090.5</v>
          </cell>
        </row>
        <row r="1300">
          <cell r="A1300" t="str">
            <v>1/2/2004 0:00</v>
          </cell>
          <cell r="E1300">
            <v>3949.65</v>
          </cell>
        </row>
        <row r="1301">
          <cell r="A1301" t="str">
            <v>2/18/2004 0:00</v>
          </cell>
          <cell r="E1301">
            <v>3491.67</v>
          </cell>
        </row>
        <row r="1302">
          <cell r="A1302" t="str">
            <v>3/20/2004 0:00</v>
          </cell>
          <cell r="E1302">
            <v>2059.19</v>
          </cell>
        </row>
        <row r="1303">
          <cell r="A1303" t="str">
            <v>5/7/2004 0:00</v>
          </cell>
          <cell r="E1303">
            <v>3170.16</v>
          </cell>
        </row>
        <row r="1304">
          <cell r="A1304" t="str">
            <v>6/17/2004 0:00</v>
          </cell>
          <cell r="E1304">
            <v>1790.6</v>
          </cell>
        </row>
        <row r="1305">
          <cell r="A1305" t="str">
            <v>7/21/2004 0:00</v>
          </cell>
          <cell r="E1305">
            <v>2345.9699999999998</v>
          </cell>
        </row>
        <row r="1306">
          <cell r="A1306" t="str">
            <v>8/20/2004 0:00</v>
          </cell>
          <cell r="E1306">
            <v>3580.88</v>
          </cell>
        </row>
        <row r="1307">
          <cell r="A1307" t="str">
            <v>9/9/2004 0:00</v>
          </cell>
          <cell r="E1307">
            <v>4946.0600000000004</v>
          </cell>
        </row>
        <row r="1308">
          <cell r="A1308" t="str">
            <v>10/14/2004 0:00</v>
          </cell>
          <cell r="E1308">
            <v>3525.6</v>
          </cell>
        </row>
        <row r="1309">
          <cell r="A1309" t="str">
            <v>10/29/2004 0:00</v>
          </cell>
          <cell r="E1309">
            <v>3602.16</v>
          </cell>
        </row>
        <row r="1310">
          <cell r="A1310" t="str">
            <v>11/9/2004 0:00</v>
          </cell>
          <cell r="E1310">
            <v>4300.5</v>
          </cell>
        </row>
        <row r="1311">
          <cell r="A1311" t="str">
            <v>11/21/2004 0:00</v>
          </cell>
          <cell r="E1311">
            <v>4498.1899999999996</v>
          </cell>
        </row>
        <row r="1312">
          <cell r="A1312" t="str">
            <v>12/2/2004 0:00</v>
          </cell>
          <cell r="E1312">
            <v>3023.1</v>
          </cell>
        </row>
        <row r="1313">
          <cell r="A1313" t="str">
            <v>1/26/2005 0:00</v>
          </cell>
          <cell r="E1313">
            <v>3562.49</v>
          </cell>
        </row>
        <row r="1314">
          <cell r="A1314" t="str">
            <v>2/22/2005 0:00</v>
          </cell>
          <cell r="E1314">
            <v>1640.24</v>
          </cell>
        </row>
        <row r="1315">
          <cell r="A1315" t="str">
            <v>3/23/2005 0:00</v>
          </cell>
          <cell r="E1315">
            <v>4739.3999999999996</v>
          </cell>
        </row>
        <row r="1316">
          <cell r="A1316" t="str">
            <v>5/6/2005 0:00</v>
          </cell>
          <cell r="E1316">
            <v>1207.68</v>
          </cell>
        </row>
        <row r="1317">
          <cell r="A1317" t="str">
            <v>1/29/2003 0:00</v>
          </cell>
          <cell r="E1317">
            <v>4228.2</v>
          </cell>
        </row>
        <row r="1318">
          <cell r="A1318" t="str">
            <v>4/1/2003 0:00</v>
          </cell>
          <cell r="E1318">
            <v>4815.45</v>
          </cell>
        </row>
        <row r="1319">
          <cell r="A1319" t="str">
            <v>5/28/2003 0:00</v>
          </cell>
          <cell r="E1319">
            <v>7083</v>
          </cell>
        </row>
        <row r="1320">
          <cell r="A1320" t="str">
            <v>7/24/2003 0:00</v>
          </cell>
          <cell r="E1320">
            <v>4601.2</v>
          </cell>
        </row>
        <row r="1321">
          <cell r="A1321" t="str">
            <v>9/19/2003 0:00</v>
          </cell>
          <cell r="E1321">
            <v>6467.02</v>
          </cell>
        </row>
        <row r="1322">
          <cell r="A1322" t="str">
            <v>10/21/2003 0:00</v>
          </cell>
          <cell r="E1322">
            <v>5012.55</v>
          </cell>
        </row>
        <row r="1323">
          <cell r="A1323" t="str">
            <v>11/6/2003 0:00</v>
          </cell>
          <cell r="E1323">
            <v>5121.59</v>
          </cell>
        </row>
        <row r="1324">
          <cell r="A1324" t="str">
            <v>11/13/2003 0:00</v>
          </cell>
          <cell r="E1324">
            <v>2441.04</v>
          </cell>
        </row>
        <row r="1325">
          <cell r="A1325" t="str">
            <v>11/25/2003 0:00</v>
          </cell>
          <cell r="E1325">
            <v>4262.08</v>
          </cell>
        </row>
        <row r="1326">
          <cell r="A1326" t="str">
            <v>12/9/2003 0:00</v>
          </cell>
          <cell r="E1326">
            <v>6658.02</v>
          </cell>
        </row>
        <row r="1327">
          <cell r="A1327" t="str">
            <v>2/4/2004 0:00</v>
          </cell>
          <cell r="E1327">
            <v>4509.08</v>
          </cell>
        </row>
        <row r="1328">
          <cell r="A1328" t="str">
            <v>3/11/2004 0:00</v>
          </cell>
          <cell r="E1328">
            <v>4716.2299999999996</v>
          </cell>
        </row>
        <row r="1329">
          <cell r="A1329" t="str">
            <v>5/4/2004 0:00</v>
          </cell>
          <cell r="E1329">
            <v>2390.2199999999998</v>
          </cell>
        </row>
        <row r="1330">
          <cell r="A1330" t="str">
            <v>6/15/2004 0:00</v>
          </cell>
          <cell r="E1330">
            <v>4666.62</v>
          </cell>
        </row>
        <row r="1331">
          <cell r="A1331" t="str">
            <v>7/19/2004 0:00</v>
          </cell>
          <cell r="E1331">
            <v>5383.08</v>
          </cell>
        </row>
        <row r="1332">
          <cell r="A1332" t="str">
            <v>8/19/2004 0:00</v>
          </cell>
          <cell r="E1332">
            <v>2482.25</v>
          </cell>
        </row>
        <row r="1333">
          <cell r="A1333" t="str">
            <v>9/8/2004 0:00</v>
          </cell>
          <cell r="E1333">
            <v>5288.64</v>
          </cell>
        </row>
        <row r="1334">
          <cell r="A1334" t="str">
            <v>10/13/2004 0:00</v>
          </cell>
          <cell r="E1334">
            <v>2184.38</v>
          </cell>
        </row>
        <row r="1335">
          <cell r="A1335" t="str">
            <v>10/22/2004 0:00</v>
          </cell>
          <cell r="E1335">
            <v>2881.76</v>
          </cell>
        </row>
        <row r="1336">
          <cell r="A1336" t="str">
            <v>11/5/2004 0:00</v>
          </cell>
          <cell r="E1336">
            <v>6203.06</v>
          </cell>
        </row>
        <row r="1337">
          <cell r="A1337" t="str">
            <v>11/19/2004 0:00</v>
          </cell>
          <cell r="E1337">
            <v>6763.47</v>
          </cell>
        </row>
        <row r="1338">
          <cell r="A1338" t="str">
            <v>11/29/2004 0:00</v>
          </cell>
          <cell r="E1338">
            <v>5884.65</v>
          </cell>
        </row>
        <row r="1339">
          <cell r="A1339" t="str">
            <v>12/10/2004 0:00</v>
          </cell>
          <cell r="E1339">
            <v>3559.64</v>
          </cell>
        </row>
        <row r="1340">
          <cell r="A1340" t="str">
            <v>1/20/2005 0:00</v>
          </cell>
          <cell r="E1340">
            <v>1668.37</v>
          </cell>
        </row>
        <row r="1341">
          <cell r="A1341" t="str">
            <v>2/17/2005 0:00</v>
          </cell>
          <cell r="E1341">
            <v>4890.6000000000004</v>
          </cell>
        </row>
        <row r="1342">
          <cell r="A1342" t="str">
            <v>5/1/2005 0:00</v>
          </cell>
          <cell r="E1342">
            <v>5235.72</v>
          </cell>
        </row>
        <row r="1343">
          <cell r="A1343" t="str">
            <v>5/31/2005 0:00</v>
          </cell>
          <cell r="E1343">
            <v>4325.16</v>
          </cell>
        </row>
        <row r="1344">
          <cell r="A1344" t="str">
            <v>1/29/2003 0:00</v>
          </cell>
          <cell r="E1344">
            <v>1938.89</v>
          </cell>
        </row>
        <row r="1345">
          <cell r="A1345" t="str">
            <v>3/26/2003 0:00</v>
          </cell>
          <cell r="E1345">
            <v>2490.5</v>
          </cell>
        </row>
        <row r="1346">
          <cell r="A1346" t="str">
            <v>5/28/2003 0:00</v>
          </cell>
          <cell r="E1346">
            <v>2314.69</v>
          </cell>
        </row>
        <row r="1347">
          <cell r="A1347" t="str">
            <v>7/24/2003 0:00</v>
          </cell>
          <cell r="E1347">
            <v>1254.83</v>
          </cell>
        </row>
        <row r="1348">
          <cell r="A1348" t="str">
            <v>9/19/2003 0:00</v>
          </cell>
          <cell r="E1348">
            <v>1282.8</v>
          </cell>
        </row>
        <row r="1349">
          <cell r="A1349" t="str">
            <v>10/21/2003 0:00</v>
          </cell>
          <cell r="E1349">
            <v>1345.75</v>
          </cell>
        </row>
        <row r="1350">
          <cell r="A1350" t="str">
            <v>11/6/2003 0:00</v>
          </cell>
          <cell r="E1350">
            <v>2194.2199999999998</v>
          </cell>
        </row>
        <row r="1351">
          <cell r="A1351" t="str">
            <v>11/13/2003 0:00</v>
          </cell>
          <cell r="E1351">
            <v>1972</v>
          </cell>
        </row>
        <row r="1352">
          <cell r="A1352" t="str">
            <v>11/25/2003 0:00</v>
          </cell>
          <cell r="E1352">
            <v>1835.98</v>
          </cell>
        </row>
        <row r="1353">
          <cell r="A1353" t="str">
            <v>12/5/2003 0:00</v>
          </cell>
          <cell r="E1353">
            <v>1119.93</v>
          </cell>
        </row>
        <row r="1354">
          <cell r="A1354" t="str">
            <v>1/29/2004 0:00</v>
          </cell>
          <cell r="E1354">
            <v>2082.88</v>
          </cell>
        </row>
        <row r="1355">
          <cell r="A1355" t="str">
            <v>3/11/2004 0:00</v>
          </cell>
          <cell r="E1355">
            <v>1569.75</v>
          </cell>
        </row>
        <row r="1356">
          <cell r="A1356" t="str">
            <v>5/4/2004 0:00</v>
          </cell>
          <cell r="E1356">
            <v>2694.15</v>
          </cell>
        </row>
        <row r="1357">
          <cell r="A1357" t="str">
            <v>6/15/2004 0:00</v>
          </cell>
          <cell r="E1357">
            <v>1257.27</v>
          </cell>
        </row>
        <row r="1358">
          <cell r="A1358" t="str">
            <v>7/19/2004 0:00</v>
          </cell>
          <cell r="E1358">
            <v>2567.84</v>
          </cell>
        </row>
        <row r="1359">
          <cell r="A1359" t="str">
            <v>8/19/2004 0:00</v>
          </cell>
          <cell r="E1359">
            <v>2634.28</v>
          </cell>
        </row>
        <row r="1360">
          <cell r="A1360" t="str">
            <v>9/8/2004 0:00</v>
          </cell>
          <cell r="E1360">
            <v>1502.78</v>
          </cell>
        </row>
        <row r="1361">
          <cell r="A1361" t="str">
            <v>10/11/2004 0:00</v>
          </cell>
          <cell r="E1361">
            <v>1676.2</v>
          </cell>
        </row>
        <row r="1362">
          <cell r="A1362" t="str">
            <v>10/21/2004 0:00</v>
          </cell>
          <cell r="E1362">
            <v>2217.15</v>
          </cell>
        </row>
        <row r="1363">
          <cell r="A1363" t="str">
            <v>11/5/2004 0:00</v>
          </cell>
          <cell r="E1363">
            <v>6832.02</v>
          </cell>
        </row>
        <row r="1364">
          <cell r="A1364" t="str">
            <v>11/18/2004 0:00</v>
          </cell>
          <cell r="E1364">
            <v>1916.64</v>
          </cell>
        </row>
        <row r="1365">
          <cell r="A1365" t="str">
            <v>11/1/2004 0:00</v>
          </cell>
          <cell r="E1365">
            <v>7110.8</v>
          </cell>
        </row>
        <row r="1366">
          <cell r="A1366" t="str">
            <v>12/10/2004 0:00</v>
          </cell>
          <cell r="E1366">
            <v>5302.8</v>
          </cell>
        </row>
        <row r="1367">
          <cell r="A1367" t="str">
            <v>1/20/2005 0:00</v>
          </cell>
          <cell r="E1367">
            <v>2730</v>
          </cell>
        </row>
        <row r="1368">
          <cell r="A1368" t="str">
            <v>2/17/2005 0:00</v>
          </cell>
          <cell r="E1368">
            <v>7827.3</v>
          </cell>
        </row>
        <row r="1369">
          <cell r="A1369" t="str">
            <v>5/1/2005 0:00</v>
          </cell>
          <cell r="E1369">
            <v>2095.4499999999998</v>
          </cell>
        </row>
        <row r="1370">
          <cell r="A1370" t="str">
            <v>5/31/2005 0:00</v>
          </cell>
          <cell r="E1370">
            <v>1556.62</v>
          </cell>
        </row>
        <row r="1371">
          <cell r="A1371" t="str">
            <v>3/3/2003 0:00</v>
          </cell>
          <cell r="E1371">
            <v>5565.12</v>
          </cell>
        </row>
        <row r="1372">
          <cell r="A1372" t="str">
            <v>5/8/2003 0:00</v>
          </cell>
          <cell r="E1372">
            <v>3583.16</v>
          </cell>
        </row>
        <row r="1373">
          <cell r="A1373" t="str">
            <v>7/2/2003 0:00</v>
          </cell>
          <cell r="E1373">
            <v>4705.18</v>
          </cell>
        </row>
        <row r="1374">
          <cell r="A1374" t="str">
            <v>9/3/2003 0:00</v>
          </cell>
          <cell r="E1374">
            <v>4444.54</v>
          </cell>
        </row>
        <row r="1375">
          <cell r="A1375" t="str">
            <v>10/10/2003 0:00</v>
          </cell>
          <cell r="E1375">
            <v>4618.88</v>
          </cell>
        </row>
        <row r="1376">
          <cell r="A1376" t="str">
            <v>11/4/2003 0:00</v>
          </cell>
          <cell r="E1376">
            <v>4910.3999999999996</v>
          </cell>
        </row>
        <row r="1377">
          <cell r="A1377" t="str">
            <v>11/11/2003 0:00</v>
          </cell>
          <cell r="E1377">
            <v>5565.12</v>
          </cell>
        </row>
        <row r="1378">
          <cell r="A1378" t="str">
            <v>11/20/2003 0:00</v>
          </cell>
          <cell r="E1378">
            <v>4237.76</v>
          </cell>
        </row>
        <row r="1379">
          <cell r="A1379" t="str">
            <v>1/15/2004 0:00</v>
          </cell>
          <cell r="E1379">
            <v>5673.58</v>
          </cell>
        </row>
        <row r="1380">
          <cell r="A1380" t="str">
            <v>2/22/2004 0:00</v>
          </cell>
          <cell r="E1380">
            <v>5260.15</v>
          </cell>
        </row>
        <row r="1381">
          <cell r="A1381" t="str">
            <v>4/9/2004 0:00</v>
          </cell>
          <cell r="E1381">
            <v>6350.96</v>
          </cell>
        </row>
        <row r="1382">
          <cell r="A1382" t="str">
            <v>5/26/2004 0:00</v>
          </cell>
          <cell r="E1382">
            <v>3559.4</v>
          </cell>
        </row>
        <row r="1383">
          <cell r="A1383" t="str">
            <v>6/30/2004 0:00</v>
          </cell>
          <cell r="E1383">
            <v>2410.6</v>
          </cell>
        </row>
        <row r="1384">
          <cell r="A1384" t="str">
            <v>8/2/2004 0:00</v>
          </cell>
          <cell r="E1384">
            <v>5713.92</v>
          </cell>
        </row>
        <row r="1385">
          <cell r="A1385" t="str">
            <v>8/30/2004 0:00</v>
          </cell>
          <cell r="E1385">
            <v>4300.32</v>
          </cell>
        </row>
        <row r="1386">
          <cell r="A1386" t="str">
            <v>9/30/2004 0:00</v>
          </cell>
          <cell r="E1386">
            <v>7947.31</v>
          </cell>
        </row>
        <row r="1387">
          <cell r="A1387" t="str">
            <v>10/16/2004 0:00</v>
          </cell>
          <cell r="E1387">
            <v>5356.8</v>
          </cell>
        </row>
        <row r="1388">
          <cell r="A1388" t="str">
            <v>11/3/2004 0:00</v>
          </cell>
          <cell r="E1388">
            <v>7901.1</v>
          </cell>
        </row>
        <row r="1389">
          <cell r="A1389" t="str">
            <v>11/16/2004 0:00</v>
          </cell>
          <cell r="E1389">
            <v>6101</v>
          </cell>
        </row>
        <row r="1390">
          <cell r="A1390" t="str">
            <v>11/24/2004 0:00</v>
          </cell>
          <cell r="E1390">
            <v>6276.46</v>
          </cell>
        </row>
        <row r="1391">
          <cell r="A1391" t="str">
            <v>12/7/2004 0:00</v>
          </cell>
          <cell r="E1391">
            <v>4203.5</v>
          </cell>
        </row>
        <row r="1392">
          <cell r="A1392" t="str">
            <v>1/6/2005 0:00</v>
          </cell>
          <cell r="E1392">
            <v>1629.04</v>
          </cell>
        </row>
        <row r="1393">
          <cell r="A1393" t="str">
            <v>2/10/2005 0:00</v>
          </cell>
          <cell r="E1393">
            <v>3289.86</v>
          </cell>
        </row>
        <row r="1394">
          <cell r="A1394" t="str">
            <v>3/4/2005 0:00</v>
          </cell>
          <cell r="E1394">
            <v>6862.94</v>
          </cell>
        </row>
        <row r="1395">
          <cell r="A1395" t="str">
            <v>3/18/2003 0:00</v>
          </cell>
          <cell r="E1395">
            <v>2574.1799999999998</v>
          </cell>
        </row>
        <row r="1396">
          <cell r="A1396" t="str">
            <v>5/21/2003 0:00</v>
          </cell>
          <cell r="E1396">
            <v>1327.79</v>
          </cell>
        </row>
        <row r="1397">
          <cell r="A1397" t="str">
            <v>9/11/2003 0:00</v>
          </cell>
          <cell r="E1397">
            <v>2356.25</v>
          </cell>
        </row>
        <row r="1398">
          <cell r="A1398" t="str">
            <v>10/17/2003 0:00</v>
          </cell>
          <cell r="E1398">
            <v>2013.5</v>
          </cell>
        </row>
        <row r="1399">
          <cell r="A1399" t="str">
            <v>11/5/2003 0:00</v>
          </cell>
          <cell r="E1399">
            <v>2807.22</v>
          </cell>
        </row>
        <row r="1400">
          <cell r="A1400" t="str">
            <v>11/12/2003 0:00</v>
          </cell>
          <cell r="E1400">
            <v>3072.96</v>
          </cell>
        </row>
        <row r="1401">
          <cell r="A1401" t="str">
            <v>11/21/2003 0:00</v>
          </cell>
          <cell r="E1401">
            <v>1906.5</v>
          </cell>
        </row>
        <row r="1402">
          <cell r="A1402" t="str">
            <v>12/2/2003 0:00</v>
          </cell>
          <cell r="E1402">
            <v>3431.7</v>
          </cell>
        </row>
        <row r="1403">
          <cell r="A1403" t="str">
            <v>1/22/2004 0:00</v>
          </cell>
          <cell r="E1403">
            <v>2084.75</v>
          </cell>
        </row>
        <row r="1404">
          <cell r="A1404" t="str">
            <v>3/2/2004 0:00</v>
          </cell>
          <cell r="E1404">
            <v>2136.0100000000002</v>
          </cell>
        </row>
        <row r="1405">
          <cell r="A1405" t="str">
            <v>4/13/2004 0:00</v>
          </cell>
          <cell r="E1405">
            <v>2009.7</v>
          </cell>
        </row>
        <row r="1406">
          <cell r="A1406" t="str">
            <v>7/7/2004 0:00</v>
          </cell>
          <cell r="E1406">
            <v>2719.8</v>
          </cell>
        </row>
        <row r="1407">
          <cell r="A1407" t="str">
            <v>8/9/2004 0:00</v>
          </cell>
          <cell r="E1407">
            <v>1575.08</v>
          </cell>
        </row>
        <row r="1408">
          <cell r="A1408" t="str">
            <v>9/1/2004 0:00</v>
          </cell>
          <cell r="E1408">
            <v>1688.43</v>
          </cell>
        </row>
        <row r="1409">
          <cell r="A1409" t="str">
            <v>10/6/2003 0:00</v>
          </cell>
          <cell r="E1409">
            <v>1672.1</v>
          </cell>
        </row>
        <row r="1410">
          <cell r="A1410" t="str">
            <v>10/16/2004 0:00</v>
          </cell>
          <cell r="E1410">
            <v>1674.75</v>
          </cell>
        </row>
        <row r="1411">
          <cell r="A1411" t="str">
            <v>11/17/2004 0:00</v>
          </cell>
          <cell r="E1411">
            <v>3472.98</v>
          </cell>
        </row>
        <row r="1412">
          <cell r="A1412" t="str">
            <v>11/25/2004 0:00</v>
          </cell>
          <cell r="E1412">
            <v>1649.18</v>
          </cell>
        </row>
        <row r="1413">
          <cell r="A1413" t="str">
            <v>1/12/2005 0:00</v>
          </cell>
          <cell r="E1413">
            <v>3751</v>
          </cell>
        </row>
        <row r="1414">
          <cell r="A1414" t="str">
            <v>2/16/2005 0:00</v>
          </cell>
          <cell r="E1414">
            <v>4536</v>
          </cell>
        </row>
        <row r="1415">
          <cell r="A1415" t="str">
            <v>4/22/2005 0:00</v>
          </cell>
          <cell r="E1415">
            <v>4421.34</v>
          </cell>
        </row>
        <row r="1416">
          <cell r="A1416" t="str">
            <v>5/29/2005 0:00</v>
          </cell>
          <cell r="E1416">
            <v>2078.2800000000002</v>
          </cell>
        </row>
        <row r="1417">
          <cell r="A1417" t="str">
            <v>3/18/2003 0:00</v>
          </cell>
          <cell r="E1417">
            <v>3069</v>
          </cell>
        </row>
        <row r="1418">
          <cell r="A1418" t="str">
            <v>5/21/2003 0:00</v>
          </cell>
          <cell r="E1418">
            <v>1713.8</v>
          </cell>
        </row>
        <row r="1419">
          <cell r="A1419" t="str">
            <v>9/11/2003 0:00</v>
          </cell>
          <cell r="E1419">
            <v>1506.5</v>
          </cell>
        </row>
        <row r="1420">
          <cell r="A1420" t="str">
            <v>10/17/2003 0:00</v>
          </cell>
          <cell r="E1420">
            <v>2692.12</v>
          </cell>
        </row>
        <row r="1421">
          <cell r="A1421" t="str">
            <v>11/5/2003 0:00</v>
          </cell>
          <cell r="E1421">
            <v>2422.08</v>
          </cell>
        </row>
        <row r="1422">
          <cell r="A1422" t="str">
            <v>11/12/2003 0:00</v>
          </cell>
          <cell r="E1422">
            <v>3488.34</v>
          </cell>
        </row>
        <row r="1423">
          <cell r="A1423" t="str">
            <v>11/20/2003 0:00</v>
          </cell>
          <cell r="E1423">
            <v>2583.34</v>
          </cell>
        </row>
        <row r="1424">
          <cell r="A1424" t="str">
            <v>12/2/2003 0:00</v>
          </cell>
          <cell r="E1424">
            <v>1249.4000000000001</v>
          </cell>
        </row>
        <row r="1425">
          <cell r="A1425" t="str">
            <v>1/16/2004 0:00</v>
          </cell>
          <cell r="E1425">
            <v>3374.71</v>
          </cell>
        </row>
        <row r="1426">
          <cell r="A1426" t="str">
            <v>2/26/2004 0:00</v>
          </cell>
          <cell r="E1426">
            <v>1265.46</v>
          </cell>
        </row>
        <row r="1427">
          <cell r="A1427" t="str">
            <v>4/13/2004 0:00</v>
          </cell>
          <cell r="E1427">
            <v>1681.46</v>
          </cell>
        </row>
        <row r="1428">
          <cell r="A1428" t="str">
            <v>7/7/2004 0:00</v>
          </cell>
          <cell r="E1428">
            <v>3204</v>
          </cell>
        </row>
        <row r="1429">
          <cell r="A1429" t="str">
            <v>8/9/2004 0:00</v>
          </cell>
          <cell r="E1429">
            <v>2398.7199999999998</v>
          </cell>
        </row>
        <row r="1430">
          <cell r="A1430" t="str">
            <v>9/1/2004 0:00</v>
          </cell>
          <cell r="E1430">
            <v>2381.04</v>
          </cell>
        </row>
        <row r="1431">
          <cell r="A1431" t="str">
            <v>10/5/2003 0:00</v>
          </cell>
          <cell r="E1431">
            <v>1944.54</v>
          </cell>
        </row>
        <row r="1432">
          <cell r="A1432" t="str">
            <v>10/16/2004 0:00</v>
          </cell>
          <cell r="E1432">
            <v>2273.6999999999998</v>
          </cell>
        </row>
        <row r="1433">
          <cell r="A1433" t="str">
            <v>11/4/2004 0:00</v>
          </cell>
          <cell r="E1433">
            <v>2116.5</v>
          </cell>
        </row>
        <row r="1434">
          <cell r="A1434" t="str">
            <v>11/17/2004 0:00</v>
          </cell>
          <cell r="E1434">
            <v>1307.32</v>
          </cell>
        </row>
        <row r="1435">
          <cell r="A1435" t="str">
            <v>11/25/2004 0:00</v>
          </cell>
          <cell r="E1435">
            <v>1726.37</v>
          </cell>
        </row>
        <row r="1436">
          <cell r="A1436" t="str">
            <v>1/12/2005 0:00</v>
          </cell>
          <cell r="E1436">
            <v>1267.77</v>
          </cell>
        </row>
        <row r="1437">
          <cell r="A1437" t="str">
            <v>2/16/2005 0:00</v>
          </cell>
          <cell r="E1437">
            <v>3441.82</v>
          </cell>
        </row>
        <row r="1438">
          <cell r="A1438" t="str">
            <v>4/22/2005 0:00</v>
          </cell>
          <cell r="E1438">
            <v>1987.18</v>
          </cell>
        </row>
        <row r="1439">
          <cell r="A1439" t="str">
            <v>5/29/2005 0:00</v>
          </cell>
          <cell r="E1439">
            <v>3880.2</v>
          </cell>
        </row>
        <row r="1440">
          <cell r="A1440" t="str">
            <v>1/31/2003 0:00</v>
          </cell>
          <cell r="E1440">
            <v>1942.15</v>
          </cell>
        </row>
        <row r="1441">
          <cell r="A1441" t="str">
            <v>4/4/2003 0:00</v>
          </cell>
          <cell r="E1441">
            <v>3259.92</v>
          </cell>
        </row>
        <row r="1442">
          <cell r="A1442" t="str">
            <v>6/3/2003 0:00</v>
          </cell>
          <cell r="E1442">
            <v>1213.8</v>
          </cell>
        </row>
        <row r="1443">
          <cell r="A1443" t="str">
            <v>8/1/2003 0:00</v>
          </cell>
          <cell r="E1443">
            <v>1086.5999999999999</v>
          </cell>
        </row>
        <row r="1444">
          <cell r="A1444" t="str">
            <v>9/25/2003 0:00</v>
          </cell>
          <cell r="E1444">
            <v>1632.75</v>
          </cell>
        </row>
        <row r="1445">
          <cell r="A1445" t="str">
            <v>10/22/2003 0:00</v>
          </cell>
          <cell r="E1445">
            <v>1734</v>
          </cell>
        </row>
        <row r="1446">
          <cell r="A1446" t="str">
            <v>11/6/2003 0:00</v>
          </cell>
          <cell r="E1446">
            <v>1857.06</v>
          </cell>
        </row>
        <row r="1447">
          <cell r="A1447" t="str">
            <v>11/14/2003 0:00</v>
          </cell>
          <cell r="E1447">
            <v>1863.41</v>
          </cell>
        </row>
        <row r="1448">
          <cell r="A1448" t="str">
            <v>11/25/2003 0:00</v>
          </cell>
          <cell r="E1448">
            <v>2924.68</v>
          </cell>
        </row>
        <row r="1449">
          <cell r="A1449" t="str">
            <v>12/9/2003 0:00</v>
          </cell>
          <cell r="E1449">
            <v>2294.1799999999998</v>
          </cell>
        </row>
        <row r="1450">
          <cell r="A1450" t="str">
            <v>2/12/2004 0:00</v>
          </cell>
          <cell r="E1450">
            <v>1457.82</v>
          </cell>
        </row>
        <row r="1451">
          <cell r="A1451" t="str">
            <v>3/15/2004 0:00</v>
          </cell>
          <cell r="E1451">
            <v>1955.88</v>
          </cell>
        </row>
        <row r="1452">
          <cell r="A1452" t="str">
            <v>5/5/2004 0:00</v>
          </cell>
          <cell r="E1452">
            <v>2314.4</v>
          </cell>
        </row>
        <row r="1453">
          <cell r="A1453" t="str">
            <v>6/15/2004 0:00</v>
          </cell>
          <cell r="E1453">
            <v>1310.96</v>
          </cell>
        </row>
        <row r="1454">
          <cell r="A1454" t="str">
            <v>7/20/2004 0:00</v>
          </cell>
          <cell r="E1454">
            <v>2913.3</v>
          </cell>
        </row>
        <row r="1455">
          <cell r="A1455" t="str">
            <v>8/20/2004 0:00</v>
          </cell>
          <cell r="E1455">
            <v>1357.78</v>
          </cell>
        </row>
        <row r="1456">
          <cell r="A1456" t="str">
            <v>9/8/2004 0:00</v>
          </cell>
          <cell r="E1456">
            <v>2150</v>
          </cell>
        </row>
        <row r="1457">
          <cell r="A1457" t="str">
            <v>10/13/2004 0:00</v>
          </cell>
          <cell r="E1457">
            <v>2783.25</v>
          </cell>
        </row>
        <row r="1458">
          <cell r="A1458" t="str">
            <v>10/22/2004 0:00</v>
          </cell>
          <cell r="E1458">
            <v>2339.92</v>
          </cell>
        </row>
        <row r="1459">
          <cell r="A1459" t="str">
            <v>11/5/2004 0:00</v>
          </cell>
          <cell r="E1459">
            <v>1729</v>
          </cell>
        </row>
        <row r="1460">
          <cell r="A1460" t="str">
            <v>11/20/2004 0:00</v>
          </cell>
          <cell r="E1460">
            <v>5972.4</v>
          </cell>
        </row>
        <row r="1461">
          <cell r="A1461" t="str">
            <v>12/1/2004 0:00</v>
          </cell>
          <cell r="E1461">
            <v>2275.1999999999998</v>
          </cell>
        </row>
        <row r="1462">
          <cell r="A1462" t="str">
            <v>12/10/2004 0:00</v>
          </cell>
          <cell r="E1462">
            <v>2673.44</v>
          </cell>
        </row>
        <row r="1463">
          <cell r="A1463" t="str">
            <v>1/23/2005 0:00</v>
          </cell>
          <cell r="E1463">
            <v>2431.75</v>
          </cell>
        </row>
        <row r="1464">
          <cell r="A1464" t="str">
            <v>2/22/2005 0:00</v>
          </cell>
          <cell r="E1464">
            <v>2018.72</v>
          </cell>
        </row>
        <row r="1465">
          <cell r="A1465" t="str">
            <v>3/15/2005 0:00</v>
          </cell>
          <cell r="E1465">
            <v>1558.99</v>
          </cell>
        </row>
        <row r="1466">
          <cell r="A1466" t="str">
            <v>5/3/2005 0:00</v>
          </cell>
          <cell r="E1466">
            <v>1104.5999999999999</v>
          </cell>
        </row>
        <row r="1467">
          <cell r="A1467" t="str">
            <v>5/31/2005 0:00</v>
          </cell>
          <cell r="E1467">
            <v>2575.1</v>
          </cell>
        </row>
        <row r="1468">
          <cell r="A1468" t="str">
            <v>2/24/2003 0:00</v>
          </cell>
          <cell r="E1468">
            <v>2845.75</v>
          </cell>
        </row>
        <row r="1469">
          <cell r="A1469" t="str">
            <v>4/29/2003 0:00</v>
          </cell>
          <cell r="E1469">
            <v>3431.75</v>
          </cell>
        </row>
        <row r="1470">
          <cell r="A1470" t="str">
            <v>7/1/2003 0:00</v>
          </cell>
          <cell r="E1470">
            <v>3273.9</v>
          </cell>
        </row>
        <row r="1471">
          <cell r="A1471" t="str">
            <v>8/25/2003 0:00</v>
          </cell>
          <cell r="E1471">
            <v>4119.3999999999996</v>
          </cell>
        </row>
        <row r="1472">
          <cell r="A1472" t="str">
            <v>10/10/2003 0:00</v>
          </cell>
          <cell r="E1472">
            <v>5355.68</v>
          </cell>
        </row>
        <row r="1473">
          <cell r="A1473" t="str">
            <v>10/28/2003 0:00</v>
          </cell>
          <cell r="E1473">
            <v>5747.5</v>
          </cell>
        </row>
        <row r="1474">
          <cell r="A1474" t="str">
            <v>11/11/2003 0:00</v>
          </cell>
          <cell r="E1474">
            <v>5355.36</v>
          </cell>
        </row>
        <row r="1475">
          <cell r="A1475" t="str">
            <v>11/18/2003 0:00</v>
          </cell>
          <cell r="E1475">
            <v>2535.75</v>
          </cell>
        </row>
        <row r="1476">
          <cell r="A1476" t="str">
            <v>12/1/2003 0:00</v>
          </cell>
          <cell r="E1476">
            <v>4351.2299999999996</v>
          </cell>
        </row>
        <row r="1477">
          <cell r="A1477" t="str">
            <v>1/15/2004 0:00</v>
          </cell>
          <cell r="E1477">
            <v>2254</v>
          </cell>
        </row>
        <row r="1478">
          <cell r="A1478" t="str">
            <v>2/20/2004 0:00</v>
          </cell>
          <cell r="E1478">
            <v>2921.28</v>
          </cell>
        </row>
        <row r="1479">
          <cell r="A1479" t="str">
            <v>4/5/2004 0:00</v>
          </cell>
          <cell r="E1479">
            <v>2299</v>
          </cell>
        </row>
        <row r="1480">
          <cell r="A1480" t="str">
            <v>5/18/2004 0:00</v>
          </cell>
          <cell r="E1480">
            <v>2637.18</v>
          </cell>
        </row>
        <row r="1481">
          <cell r="A1481" t="str">
            <v>6/28/2004 0:00</v>
          </cell>
          <cell r="E1481">
            <v>4307.5200000000004</v>
          </cell>
        </row>
        <row r="1482">
          <cell r="A1482" t="str">
            <v>7/23/2004 0:00</v>
          </cell>
          <cell r="E1482">
            <v>2153.7600000000002</v>
          </cell>
        </row>
        <row r="1483">
          <cell r="A1483" t="str">
            <v>8/27/2004 0:00</v>
          </cell>
          <cell r="E1483">
            <v>3716.88</v>
          </cell>
        </row>
        <row r="1484">
          <cell r="A1484" t="str">
            <v>9/30/2004 0:00</v>
          </cell>
          <cell r="E1484">
            <v>5455.76</v>
          </cell>
        </row>
        <row r="1485">
          <cell r="A1485" t="str">
            <v>10/15/2004 0:00</v>
          </cell>
          <cell r="E1485">
            <v>2650.62</v>
          </cell>
        </row>
        <row r="1486">
          <cell r="A1486" t="str">
            <v>11/2/2004 0:00</v>
          </cell>
          <cell r="E1486">
            <v>6437.28</v>
          </cell>
        </row>
        <row r="1487">
          <cell r="A1487" t="str">
            <v>11/15/2004 0:00</v>
          </cell>
          <cell r="E1487">
            <v>2633.4</v>
          </cell>
        </row>
        <row r="1488">
          <cell r="A1488" t="str">
            <v>11/23/2004 0:00</v>
          </cell>
          <cell r="E1488">
            <v>2278.5300000000002</v>
          </cell>
        </row>
        <row r="1489">
          <cell r="A1489" t="str">
            <v>1/5/2005 0:00</v>
          </cell>
          <cell r="E1489">
            <v>4846</v>
          </cell>
        </row>
        <row r="1490">
          <cell r="A1490" t="str">
            <v>2/2/2005 0:00</v>
          </cell>
          <cell r="E1490">
            <v>4197.1000000000004</v>
          </cell>
        </row>
        <row r="1491">
          <cell r="A1491" t="str">
            <v>3/3/2005 0:00</v>
          </cell>
          <cell r="E1491">
            <v>4597.6499999999996</v>
          </cell>
        </row>
        <row r="1492">
          <cell r="A1492" t="str">
            <v>4/8/2005 0:00</v>
          </cell>
          <cell r="E1492">
            <v>5287.7</v>
          </cell>
        </row>
        <row r="1493">
          <cell r="A1493" t="str">
            <v>5/13/2005 0:00</v>
          </cell>
          <cell r="E1493">
            <v>3550.05</v>
          </cell>
        </row>
        <row r="1494">
          <cell r="A1494" t="str">
            <v>3/18/2003 0:00</v>
          </cell>
          <cell r="E1494">
            <v>1721.73</v>
          </cell>
        </row>
        <row r="1495">
          <cell r="A1495" t="str">
            <v>5/20/2003 0:00</v>
          </cell>
          <cell r="E1495">
            <v>2993.5</v>
          </cell>
        </row>
        <row r="1496">
          <cell r="A1496" t="str">
            <v>7/10/2003 0:00</v>
          </cell>
          <cell r="E1496">
            <v>1295.06</v>
          </cell>
        </row>
        <row r="1497">
          <cell r="A1497" t="str">
            <v>9/11/2003 0:00</v>
          </cell>
          <cell r="E1497">
            <v>2671.95</v>
          </cell>
        </row>
        <row r="1498">
          <cell r="A1498" t="str">
            <v>10/17/2003 0:00</v>
          </cell>
          <cell r="E1498">
            <v>1226.5899999999999</v>
          </cell>
        </row>
        <row r="1499">
          <cell r="A1499" t="str">
            <v>11/5/2003 0:00</v>
          </cell>
          <cell r="E1499">
            <v>1453.84</v>
          </cell>
        </row>
        <row r="1500">
          <cell r="A1500" t="str">
            <v>11/12/2003 0:00</v>
          </cell>
          <cell r="E1500">
            <v>1830.22</v>
          </cell>
        </row>
        <row r="1501">
          <cell r="A1501" t="str">
            <v>11/20/2003 0:00</v>
          </cell>
          <cell r="E1501">
            <v>2530.0100000000002</v>
          </cell>
        </row>
        <row r="1502">
          <cell r="A1502" t="str">
            <v>12/2/2003 0:00</v>
          </cell>
          <cell r="E1502">
            <v>2241.4499999999998</v>
          </cell>
        </row>
        <row r="1503">
          <cell r="A1503" t="str">
            <v>1/16/2004 0:00</v>
          </cell>
          <cell r="E1503">
            <v>2399.85</v>
          </cell>
        </row>
        <row r="1504">
          <cell r="A1504" t="str">
            <v>2/26/2004 0:00</v>
          </cell>
          <cell r="E1504">
            <v>1557.72</v>
          </cell>
        </row>
        <row r="1505">
          <cell r="A1505" t="str">
            <v>4/13/2004 0:00</v>
          </cell>
          <cell r="E1505">
            <v>845.25</v>
          </cell>
        </row>
        <row r="1506">
          <cell r="A1506" t="str">
            <v>7/6/2004 0:00</v>
          </cell>
          <cell r="E1506">
            <v>1352.4</v>
          </cell>
        </row>
        <row r="1507">
          <cell r="A1507" t="str">
            <v>8/6/2004 0:00</v>
          </cell>
          <cell r="E1507">
            <v>1584.8</v>
          </cell>
        </row>
        <row r="1508">
          <cell r="A1508" t="str">
            <v>9/1/2004 0:00</v>
          </cell>
          <cell r="E1508">
            <v>2616</v>
          </cell>
        </row>
        <row r="1509">
          <cell r="A1509" t="str">
            <v>10/5/2003 0:00</v>
          </cell>
          <cell r="E1509">
            <v>1129.04</v>
          </cell>
        </row>
        <row r="1510">
          <cell r="A1510" t="str">
            <v>10/16/2004 0:00</v>
          </cell>
          <cell r="E1510">
            <v>2218.5</v>
          </cell>
        </row>
        <row r="1511">
          <cell r="A1511" t="str">
            <v>11/4/2004 0:00</v>
          </cell>
          <cell r="E1511">
            <v>2028.48</v>
          </cell>
        </row>
        <row r="1512">
          <cell r="A1512" t="str">
            <v>11/17/2004 0:00</v>
          </cell>
          <cell r="E1512">
            <v>1759.2</v>
          </cell>
        </row>
        <row r="1513">
          <cell r="A1513" t="str">
            <v>11/24/2004 0:00</v>
          </cell>
          <cell r="E1513">
            <v>977.67</v>
          </cell>
        </row>
        <row r="1514">
          <cell r="A1514" t="str">
            <v>1/12/2005 0:00</v>
          </cell>
          <cell r="E1514">
            <v>1463</v>
          </cell>
        </row>
        <row r="1515">
          <cell r="A1515" t="str">
            <v>2/10/2005 0:00</v>
          </cell>
          <cell r="E1515">
            <v>3970.56</v>
          </cell>
        </row>
        <row r="1516">
          <cell r="A1516" t="str">
            <v>4/22/2005 0:00</v>
          </cell>
          <cell r="E1516">
            <v>2576</v>
          </cell>
        </row>
        <row r="1517">
          <cell r="A1517" t="str">
            <v>5/29/2005 0:00</v>
          </cell>
          <cell r="E1517">
            <v>2233.69</v>
          </cell>
        </row>
        <row r="1518">
          <cell r="A1518" t="str">
            <v>2/17/2003 0:00</v>
          </cell>
          <cell r="E1518">
            <v>2481.64</v>
          </cell>
        </row>
        <row r="1519">
          <cell r="A1519" t="str">
            <v>4/29/2003 0:00</v>
          </cell>
          <cell r="E1519">
            <v>4651.53</v>
          </cell>
        </row>
        <row r="1520">
          <cell r="A1520" t="str">
            <v>6/27/2003 0:00</v>
          </cell>
          <cell r="E1520">
            <v>3858.1</v>
          </cell>
        </row>
        <row r="1521">
          <cell r="A1521" t="str">
            <v>8/25/2003 0:00</v>
          </cell>
          <cell r="E1521">
            <v>3501.6</v>
          </cell>
        </row>
        <row r="1522">
          <cell r="A1522" t="str">
            <v>10/28/2003 0:00</v>
          </cell>
          <cell r="E1522">
            <v>6433.7</v>
          </cell>
        </row>
        <row r="1523">
          <cell r="A1523" t="str">
            <v>1/12/2004 0:00</v>
          </cell>
          <cell r="E1523">
            <v>2658.96</v>
          </cell>
        </row>
        <row r="1524">
          <cell r="A1524" t="str">
            <v>2/20/2004 0:00</v>
          </cell>
          <cell r="E1524">
            <v>3608.76</v>
          </cell>
        </row>
        <row r="1525">
          <cell r="A1525" t="str">
            <v>4/2/2004 0:00</v>
          </cell>
          <cell r="E1525">
            <v>2214.67</v>
          </cell>
        </row>
        <row r="1526">
          <cell r="A1526" t="str">
            <v>5/11/2004 0:00</v>
          </cell>
          <cell r="E1526">
            <v>2747.53</v>
          </cell>
        </row>
        <row r="1527">
          <cell r="A1527" t="str">
            <v>6/24/2004 0:00</v>
          </cell>
          <cell r="E1527">
            <v>3310.92</v>
          </cell>
        </row>
        <row r="1528">
          <cell r="A1528" t="str">
            <v>7/23/2004 0:00</v>
          </cell>
          <cell r="E1528">
            <v>2380</v>
          </cell>
        </row>
        <row r="1529">
          <cell r="A1529" t="str">
            <v>8/21/2004 0:00</v>
          </cell>
          <cell r="E1529">
            <v>2310.88</v>
          </cell>
        </row>
        <row r="1530">
          <cell r="A1530" t="str">
            <v>9/16/2004 0:00</v>
          </cell>
          <cell r="E1530">
            <v>4061.76</v>
          </cell>
        </row>
        <row r="1531">
          <cell r="A1531" t="str">
            <v>10/15/2004 0:00</v>
          </cell>
          <cell r="E1531">
            <v>3493.7</v>
          </cell>
        </row>
        <row r="1532">
          <cell r="A1532" t="str">
            <v>11/1/2004 0:00</v>
          </cell>
          <cell r="E1532">
            <v>2872.25</v>
          </cell>
        </row>
        <row r="1533">
          <cell r="A1533" t="str">
            <v>11/12/2004 0:00</v>
          </cell>
          <cell r="E1533">
            <v>4114.38</v>
          </cell>
        </row>
        <row r="1534">
          <cell r="A1534" t="str">
            <v>11/23/2004 0:00</v>
          </cell>
          <cell r="E1534">
            <v>1063.6500000000001</v>
          </cell>
        </row>
        <row r="1535">
          <cell r="A1535" t="str">
            <v>12/4/2004 0:00</v>
          </cell>
          <cell r="E1535">
            <v>2008.44</v>
          </cell>
        </row>
        <row r="1536">
          <cell r="A1536" t="str">
            <v>2/2/2005 0:00</v>
          </cell>
          <cell r="E1536">
            <v>4328.6000000000004</v>
          </cell>
        </row>
        <row r="1537">
          <cell r="A1537" t="str">
            <v>3/1/2005 0:00</v>
          </cell>
          <cell r="E1537">
            <v>1376.43</v>
          </cell>
        </row>
        <row r="1538">
          <cell r="A1538" t="str">
            <v>3/30/2005 0:00</v>
          </cell>
          <cell r="E1538">
            <v>5552.16</v>
          </cell>
        </row>
        <row r="1539">
          <cell r="A1539" t="str">
            <v>4/3/2005 0:00</v>
          </cell>
          <cell r="E1539">
            <v>3659.02</v>
          </cell>
        </row>
        <row r="1540">
          <cell r="A1540" t="str">
            <v>5/10/2005 0:00</v>
          </cell>
          <cell r="E1540">
            <v>4165.6099999999997</v>
          </cell>
        </row>
        <row r="1541">
          <cell r="A1541" t="str">
            <v>1/9/2003 0:00</v>
          </cell>
          <cell r="E1541">
            <v>1404</v>
          </cell>
        </row>
        <row r="1542">
          <cell r="A1542" t="str">
            <v>3/18/2003 0:00</v>
          </cell>
          <cell r="E1542">
            <v>710.2</v>
          </cell>
        </row>
        <row r="1543">
          <cell r="A1543" t="str">
            <v>5/21/2003 0:00</v>
          </cell>
          <cell r="E1543">
            <v>1702.8</v>
          </cell>
        </row>
        <row r="1544">
          <cell r="A1544" t="str">
            <v>9/12/2003 0:00</v>
          </cell>
          <cell r="E1544">
            <v>1194.8399999999999</v>
          </cell>
        </row>
        <row r="1545">
          <cell r="A1545" t="str">
            <v>10/18/2003 0:00</v>
          </cell>
          <cell r="E1545">
            <v>1007.14</v>
          </cell>
        </row>
        <row r="1546">
          <cell r="A1546" t="str">
            <v>11/5/2003 0:00</v>
          </cell>
          <cell r="E1546">
            <v>977.43</v>
          </cell>
        </row>
        <row r="1547">
          <cell r="A1547" t="str">
            <v>11/12/2003 0:00</v>
          </cell>
          <cell r="E1547">
            <v>1436.76</v>
          </cell>
        </row>
        <row r="1548">
          <cell r="A1548" t="str">
            <v>11/21/2003 0:00</v>
          </cell>
          <cell r="E1548">
            <v>759.46</v>
          </cell>
        </row>
        <row r="1549">
          <cell r="A1549" t="str">
            <v>12/3/2003 0:00</v>
          </cell>
          <cell r="E1549">
            <v>1189.44</v>
          </cell>
        </row>
        <row r="1550">
          <cell r="A1550" t="str">
            <v>1/26/2004 0:00</v>
          </cell>
          <cell r="E1550">
            <v>683.8</v>
          </cell>
        </row>
        <row r="1551">
          <cell r="A1551" t="str">
            <v>3/2/2004 0:00</v>
          </cell>
          <cell r="E1551">
            <v>1226.82</v>
          </cell>
        </row>
        <row r="1552">
          <cell r="A1552" t="str">
            <v>4/26/2004 0:00</v>
          </cell>
          <cell r="E1552">
            <v>974.82</v>
          </cell>
        </row>
        <row r="1553">
          <cell r="A1553" t="str">
            <v>8/17/2004 0:00</v>
          </cell>
          <cell r="E1553">
            <v>577.6</v>
          </cell>
        </row>
        <row r="1554">
          <cell r="A1554" t="str">
            <v>9/1/2004 0:00</v>
          </cell>
          <cell r="E1554">
            <v>1106.93</v>
          </cell>
        </row>
        <row r="1555">
          <cell r="A1555" t="str">
            <v>10/11/2004 0:00</v>
          </cell>
          <cell r="E1555">
            <v>694.6</v>
          </cell>
        </row>
        <row r="1556">
          <cell r="A1556" t="str">
            <v>10/21/2004 0:00</v>
          </cell>
          <cell r="E1556">
            <v>1152.06</v>
          </cell>
        </row>
        <row r="1557">
          <cell r="A1557" t="str">
            <v>11/4/2004 0:00</v>
          </cell>
          <cell r="E1557">
            <v>2624</v>
          </cell>
        </row>
        <row r="1558">
          <cell r="A1558" t="str">
            <v>11/17/2004 0:00</v>
          </cell>
          <cell r="E1558">
            <v>3685.95</v>
          </cell>
        </row>
        <row r="1559">
          <cell r="A1559" t="str">
            <v>11/25/2004 0:00</v>
          </cell>
          <cell r="E1559">
            <v>703.6</v>
          </cell>
        </row>
        <row r="1560">
          <cell r="A1560" t="str">
            <v>12/9/2004 0:00</v>
          </cell>
          <cell r="E1560">
            <v>9720</v>
          </cell>
        </row>
        <row r="1561">
          <cell r="A1561" t="str">
            <v>1/12/2005 0:00</v>
          </cell>
          <cell r="E1561">
            <v>834.67</v>
          </cell>
        </row>
        <row r="1562">
          <cell r="A1562" t="str">
            <v>2/16/2005 0:00</v>
          </cell>
          <cell r="E1562">
            <v>2257.92</v>
          </cell>
        </row>
        <row r="1563">
          <cell r="A1563" t="str">
            <v>3/9/2005 0:00</v>
          </cell>
          <cell r="E1563">
            <v>8344.7099999999991</v>
          </cell>
        </row>
        <row r="1564">
          <cell r="A1564" t="str">
            <v>4/23/2005 0:00</v>
          </cell>
          <cell r="E1564">
            <v>1801.94</v>
          </cell>
        </row>
        <row r="1565">
          <cell r="A1565" t="str">
            <v>5/29/2005 0:00</v>
          </cell>
          <cell r="E1565">
            <v>1209.5999999999999</v>
          </cell>
        </row>
        <row r="1566">
          <cell r="A1566" t="str">
            <v>2/24/2003 0:00</v>
          </cell>
          <cell r="E1566">
            <v>3155.14</v>
          </cell>
        </row>
        <row r="1567">
          <cell r="A1567" t="str">
            <v>4/29/2003 0:00</v>
          </cell>
          <cell r="E1567">
            <v>2848.86</v>
          </cell>
        </row>
        <row r="1568">
          <cell r="A1568" t="str">
            <v>7/1/2003 0:00</v>
          </cell>
          <cell r="E1568">
            <v>3570.29</v>
          </cell>
        </row>
        <row r="1569">
          <cell r="A1569" t="str">
            <v>8/25/2003 0:00</v>
          </cell>
          <cell r="E1569">
            <v>3902.41</v>
          </cell>
        </row>
        <row r="1570">
          <cell r="A1570" t="str">
            <v>10/10/2003 0:00</v>
          </cell>
          <cell r="E1570">
            <v>1474.66</v>
          </cell>
        </row>
        <row r="1571">
          <cell r="A1571" t="str">
            <v>10/28/2003 0:00</v>
          </cell>
          <cell r="E1571">
            <v>2186.89</v>
          </cell>
        </row>
        <row r="1572">
          <cell r="A1572" t="str">
            <v>11/11/2003 0:00</v>
          </cell>
          <cell r="E1572">
            <v>1919.4</v>
          </cell>
        </row>
        <row r="1573">
          <cell r="A1573" t="str">
            <v>11/18/2003 0:00</v>
          </cell>
          <cell r="E1573">
            <v>3656</v>
          </cell>
        </row>
        <row r="1574">
          <cell r="A1574" t="str">
            <v>12/1/2003 0:00</v>
          </cell>
          <cell r="E1574">
            <v>1847</v>
          </cell>
        </row>
        <row r="1575">
          <cell r="A1575" t="str">
            <v>1/12/2004 0:00</v>
          </cell>
          <cell r="E1575">
            <v>1851</v>
          </cell>
        </row>
        <row r="1576">
          <cell r="A1576" t="str">
            <v>2/20/2004 0:00</v>
          </cell>
          <cell r="E1576">
            <v>2633.78</v>
          </cell>
        </row>
        <row r="1577">
          <cell r="A1577" t="str">
            <v>4/3/2004 0:00</v>
          </cell>
          <cell r="E1577">
            <v>3153.6</v>
          </cell>
        </row>
        <row r="1578">
          <cell r="A1578" t="str">
            <v>5/11/2004 0:00</v>
          </cell>
          <cell r="E1578">
            <v>2803.2</v>
          </cell>
        </row>
        <row r="1579">
          <cell r="A1579" t="str">
            <v>6/28/2004 0:00</v>
          </cell>
          <cell r="E1579">
            <v>2311.02</v>
          </cell>
        </row>
        <row r="1580">
          <cell r="A1580" t="str">
            <v>7/23/2004 0:00</v>
          </cell>
          <cell r="E1580">
            <v>2399.4</v>
          </cell>
        </row>
        <row r="1581">
          <cell r="A1581" t="str">
            <v>8/27/2004 0:00</v>
          </cell>
          <cell r="E1581">
            <v>2733.12</v>
          </cell>
        </row>
        <row r="1582">
          <cell r="A1582" t="str">
            <v>9/16/2004 0:00</v>
          </cell>
          <cell r="E1582">
            <v>2096.3200000000002</v>
          </cell>
        </row>
        <row r="1583">
          <cell r="A1583" t="str">
            <v>10/15/2004 0:00</v>
          </cell>
          <cell r="E1583">
            <v>2971.34</v>
          </cell>
        </row>
        <row r="1584">
          <cell r="A1584" t="str">
            <v>11/2/2004 0:00</v>
          </cell>
          <cell r="E1584">
            <v>2257.58</v>
          </cell>
        </row>
        <row r="1585">
          <cell r="A1585" t="str">
            <v>11/15/2004 0:00</v>
          </cell>
          <cell r="E1585">
            <v>3493.91</v>
          </cell>
        </row>
        <row r="1586">
          <cell r="A1586" t="str">
            <v>11/24/2004 0:00</v>
          </cell>
          <cell r="E1586">
            <v>4398.8999999999996</v>
          </cell>
        </row>
        <row r="1587">
          <cell r="A1587" t="str">
            <v>1/6/2005 0:00</v>
          </cell>
          <cell r="E1587">
            <v>3595.62</v>
          </cell>
        </row>
        <row r="1588">
          <cell r="A1588" t="str">
            <v>2/3/2005 0:00</v>
          </cell>
          <cell r="E1588">
            <v>2443.29</v>
          </cell>
        </row>
        <row r="1589">
          <cell r="A1589" t="str">
            <v>3/3/2005 0:00</v>
          </cell>
          <cell r="E1589">
            <v>3988.6</v>
          </cell>
        </row>
        <row r="1590">
          <cell r="A1590" t="str">
            <v>4/7/2005 0:00</v>
          </cell>
          <cell r="E1590">
            <v>5168.3999999999996</v>
          </cell>
        </row>
        <row r="1591">
          <cell r="A1591" t="str">
            <v>5/10/2005 0:00</v>
          </cell>
          <cell r="E1591">
            <v>2803.2</v>
          </cell>
        </row>
        <row r="1592">
          <cell r="A1592" t="str">
            <v>2/11/2003 0:00</v>
          </cell>
          <cell r="E1592">
            <v>6341.21</v>
          </cell>
        </row>
        <row r="1593">
          <cell r="A1593" t="str">
            <v>4/16/2003 0:00</v>
          </cell>
          <cell r="E1593">
            <v>5189.78</v>
          </cell>
        </row>
        <row r="1594">
          <cell r="A1594" t="str">
            <v>6/12/2003 0:00</v>
          </cell>
          <cell r="E1594">
            <v>6027.75</v>
          </cell>
        </row>
        <row r="1595">
          <cell r="A1595" t="str">
            <v>8/8/2003 0:00</v>
          </cell>
          <cell r="E1595">
            <v>3366</v>
          </cell>
        </row>
        <row r="1596">
          <cell r="A1596" t="str">
            <v>9/28/2003 0:00</v>
          </cell>
          <cell r="E1596">
            <v>5456.4</v>
          </cell>
        </row>
        <row r="1597">
          <cell r="A1597" t="str">
            <v>10/23/2003 0:00</v>
          </cell>
          <cell r="E1597">
            <v>3812.16</v>
          </cell>
        </row>
        <row r="1598">
          <cell r="A1598" t="str">
            <v>11/7/2003 0:00</v>
          </cell>
          <cell r="E1598">
            <v>6083</v>
          </cell>
        </row>
        <row r="1599">
          <cell r="A1599" t="str">
            <v>11/14/2003 0:00</v>
          </cell>
          <cell r="E1599">
            <v>3170.7</v>
          </cell>
        </row>
        <row r="1600">
          <cell r="A1600" t="str">
            <v>11/26/2003 0:00</v>
          </cell>
          <cell r="E1600">
            <v>4534.6000000000004</v>
          </cell>
        </row>
        <row r="1601">
          <cell r="A1601" t="str">
            <v>1/2/2004 0:00</v>
          </cell>
          <cell r="E1601">
            <v>4301.1499999999996</v>
          </cell>
        </row>
        <row r="1602">
          <cell r="A1602" t="str">
            <v>2/18/2004 0:00</v>
          </cell>
          <cell r="E1602">
            <v>6804.63</v>
          </cell>
        </row>
        <row r="1603">
          <cell r="A1603" t="str">
            <v>3/20/2004 0:00</v>
          </cell>
          <cell r="E1603">
            <v>5652.94</v>
          </cell>
        </row>
        <row r="1604">
          <cell r="A1604" t="str">
            <v>5/7/2004 0:00</v>
          </cell>
          <cell r="E1604">
            <v>6960.48</v>
          </cell>
        </row>
        <row r="1605">
          <cell r="A1605" t="str">
            <v>6/17/2004 0:00</v>
          </cell>
          <cell r="E1605">
            <v>4512.6000000000004</v>
          </cell>
        </row>
        <row r="1606">
          <cell r="A1606" t="str">
            <v>7/21/2004 0:00</v>
          </cell>
          <cell r="E1606">
            <v>2784.76</v>
          </cell>
        </row>
        <row r="1607">
          <cell r="A1607" t="str">
            <v>8/20/2004 0:00</v>
          </cell>
          <cell r="E1607">
            <v>5316.36</v>
          </cell>
        </row>
        <row r="1608">
          <cell r="A1608" t="str">
            <v>9/9/2004 0:00</v>
          </cell>
          <cell r="E1608">
            <v>2941.89</v>
          </cell>
        </row>
        <row r="1609">
          <cell r="A1609" t="str">
            <v>10/14/2004 0:00</v>
          </cell>
          <cell r="E1609">
            <v>3207.4</v>
          </cell>
        </row>
        <row r="1610">
          <cell r="A1610" t="str">
            <v>10/29/2004 0:00</v>
          </cell>
          <cell r="E1610">
            <v>4215.05</v>
          </cell>
        </row>
        <row r="1611">
          <cell r="A1611" t="str">
            <v>11/9/2004 0:00</v>
          </cell>
          <cell r="E1611">
            <v>4333.29</v>
          </cell>
        </row>
        <row r="1612">
          <cell r="A1612" t="str">
            <v>11/21/2004 0:00</v>
          </cell>
          <cell r="E1612">
            <v>2087.13</v>
          </cell>
        </row>
        <row r="1613">
          <cell r="A1613" t="str">
            <v>12/2/2004 0:00</v>
          </cell>
          <cell r="E1613">
            <v>1711.22</v>
          </cell>
        </row>
        <row r="1614">
          <cell r="A1614" t="str">
            <v>1/26/2005 0:00</v>
          </cell>
          <cell r="E1614">
            <v>3910.53</v>
          </cell>
        </row>
        <row r="1615">
          <cell r="A1615" t="str">
            <v>2/23/2005 0:00</v>
          </cell>
          <cell r="E1615">
            <v>2255.12</v>
          </cell>
        </row>
        <row r="1616">
          <cell r="A1616" t="str">
            <v>3/23/2005 0:00</v>
          </cell>
          <cell r="E1616">
            <v>5720.75</v>
          </cell>
        </row>
        <row r="1617">
          <cell r="A1617" t="str">
            <v>5/6/2005 0:00</v>
          </cell>
          <cell r="E1617">
            <v>3335.23</v>
          </cell>
        </row>
        <row r="1618">
          <cell r="A1618" t="str">
            <v>1/9/2003 0:00</v>
          </cell>
          <cell r="E1618">
            <v>2472.96</v>
          </cell>
        </row>
        <row r="1619">
          <cell r="A1619" t="str">
            <v>3/18/2003 0:00</v>
          </cell>
          <cell r="E1619">
            <v>1729.65</v>
          </cell>
        </row>
        <row r="1620">
          <cell r="A1620" t="str">
            <v>5/21/2003 0:00</v>
          </cell>
          <cell r="E1620">
            <v>995.5</v>
          </cell>
        </row>
        <row r="1621">
          <cell r="A1621" t="str">
            <v>9/12/2003 0:00</v>
          </cell>
          <cell r="E1621">
            <v>2414.7199999999998</v>
          </cell>
        </row>
        <row r="1622">
          <cell r="A1622" t="str">
            <v>10/18/2003 0:00</v>
          </cell>
          <cell r="E1622">
            <v>1560.47</v>
          </cell>
        </row>
        <row r="1623">
          <cell r="A1623" t="str">
            <v>11/5/2003 0:00</v>
          </cell>
          <cell r="E1623">
            <v>1112.94</v>
          </cell>
        </row>
        <row r="1624">
          <cell r="A1624" t="str">
            <v>11/12/2003 0:00</v>
          </cell>
          <cell r="E1624">
            <v>1138.94</v>
          </cell>
        </row>
        <row r="1625">
          <cell r="A1625" t="str">
            <v>11/21/2003 0:00</v>
          </cell>
          <cell r="E1625">
            <v>1012.4</v>
          </cell>
        </row>
        <row r="1626">
          <cell r="A1626" t="str">
            <v>12/3/2003 0:00</v>
          </cell>
          <cell r="E1626">
            <v>913.92</v>
          </cell>
        </row>
        <row r="1627">
          <cell r="A1627" t="str">
            <v>1/26/2004 0:00</v>
          </cell>
          <cell r="E1627">
            <v>2349.06</v>
          </cell>
        </row>
        <row r="1628">
          <cell r="A1628" t="str">
            <v>3/2/2004 0:00</v>
          </cell>
          <cell r="E1628">
            <v>1161.1199999999999</v>
          </cell>
        </row>
        <row r="1629">
          <cell r="A1629" t="str">
            <v>4/29/2004 0:00</v>
          </cell>
          <cell r="E1629">
            <v>1764.75</v>
          </cell>
        </row>
        <row r="1630">
          <cell r="A1630" t="str">
            <v>6/4/2004 0:00</v>
          </cell>
          <cell r="E1630">
            <v>1690.9</v>
          </cell>
        </row>
        <row r="1631">
          <cell r="A1631" t="str">
            <v>8/17/2004 0:00</v>
          </cell>
          <cell r="E1631">
            <v>2137.0500000000002</v>
          </cell>
        </row>
        <row r="1632">
          <cell r="A1632" t="str">
            <v>9/3/2004 0:00</v>
          </cell>
          <cell r="E1632">
            <v>2177.1</v>
          </cell>
        </row>
        <row r="1633">
          <cell r="A1633" t="str">
            <v>10/11/2004 0:00</v>
          </cell>
          <cell r="E1633">
            <v>1734.48</v>
          </cell>
        </row>
        <row r="1634">
          <cell r="A1634" t="str">
            <v>10/21/2004 0:00</v>
          </cell>
          <cell r="E1634">
            <v>865.49</v>
          </cell>
        </row>
        <row r="1635">
          <cell r="A1635" t="str">
            <v>11/4/2004 0:00</v>
          </cell>
          <cell r="E1635">
            <v>3500.1</v>
          </cell>
        </row>
        <row r="1636">
          <cell r="A1636" t="str">
            <v>11/17/2004 0:00</v>
          </cell>
          <cell r="E1636">
            <v>2223.52</v>
          </cell>
        </row>
        <row r="1637">
          <cell r="A1637" t="str">
            <v>11/25/2004 0:00</v>
          </cell>
          <cell r="E1637">
            <v>2311.6799999999998</v>
          </cell>
        </row>
        <row r="1638">
          <cell r="A1638" t="str">
            <v>12/9/2004 0:00</v>
          </cell>
          <cell r="E1638">
            <v>828.36</v>
          </cell>
        </row>
        <row r="1639">
          <cell r="A1639" t="str">
            <v>1/12/2005 0:00</v>
          </cell>
          <cell r="E1639">
            <v>856.52</v>
          </cell>
        </row>
        <row r="1640">
          <cell r="A1640" t="str">
            <v>2/16/2005 0:00</v>
          </cell>
          <cell r="E1640">
            <v>1845.45</v>
          </cell>
        </row>
        <row r="1641">
          <cell r="A1641" t="str">
            <v>3/9/2005 0:00</v>
          </cell>
          <cell r="E1641">
            <v>4042.08</v>
          </cell>
        </row>
        <row r="1642">
          <cell r="A1642" t="str">
            <v>5/29/2005 0:00</v>
          </cell>
          <cell r="E1642">
            <v>1828</v>
          </cell>
        </row>
        <row r="1643">
          <cell r="A1643" t="str">
            <v>1/29/2003 0:00</v>
          </cell>
          <cell r="E1643">
            <v>3680.28</v>
          </cell>
        </row>
        <row r="1644">
          <cell r="A1644" t="str">
            <v>4/1/2003 0:00</v>
          </cell>
          <cell r="E1644">
            <v>2925.09</v>
          </cell>
        </row>
        <row r="1645">
          <cell r="A1645" t="str">
            <v>5/28/2003 0:00</v>
          </cell>
          <cell r="E1645">
            <v>3415.77</v>
          </cell>
        </row>
        <row r="1646">
          <cell r="A1646" t="str">
            <v>7/24/2003 0:00</v>
          </cell>
          <cell r="E1646">
            <v>5105.1400000000003</v>
          </cell>
        </row>
        <row r="1647">
          <cell r="A1647" t="str">
            <v>9/21/2003 0:00</v>
          </cell>
          <cell r="E1647">
            <v>5098.8</v>
          </cell>
        </row>
        <row r="1648">
          <cell r="A1648" t="str">
            <v>10/22/2003 0:00</v>
          </cell>
          <cell r="E1648">
            <v>4661.76</v>
          </cell>
        </row>
        <row r="1649">
          <cell r="A1649" t="str">
            <v>11/6/2003 0:00</v>
          </cell>
          <cell r="E1649">
            <v>2969.96</v>
          </cell>
        </row>
        <row r="1650">
          <cell r="A1650" t="str">
            <v>11/14/2003 0:00</v>
          </cell>
          <cell r="E1650">
            <v>3496.32</v>
          </cell>
        </row>
        <row r="1651">
          <cell r="A1651" t="str">
            <v>11/25/2003 0:00</v>
          </cell>
          <cell r="E1651">
            <v>5760.93</v>
          </cell>
        </row>
        <row r="1652">
          <cell r="A1652" t="str">
            <v>12/9/2003 0:00</v>
          </cell>
          <cell r="E1652">
            <v>6819.04</v>
          </cell>
        </row>
        <row r="1653">
          <cell r="A1653" t="str">
            <v>2/4/2004 0:00</v>
          </cell>
          <cell r="E1653">
            <v>3148.88</v>
          </cell>
        </row>
        <row r="1654">
          <cell r="A1654" t="str">
            <v>3/11/2004 0:00</v>
          </cell>
          <cell r="E1654">
            <v>5704.32</v>
          </cell>
        </row>
        <row r="1655">
          <cell r="A1655" t="str">
            <v>5/5/2004 0:00</v>
          </cell>
          <cell r="E1655">
            <v>3520.6</v>
          </cell>
        </row>
        <row r="1656">
          <cell r="A1656" t="str">
            <v>6/15/2004 0:00</v>
          </cell>
          <cell r="E1656">
            <v>5285.62</v>
          </cell>
        </row>
        <row r="1657">
          <cell r="A1657" t="str">
            <v>7/20/2004 0:00</v>
          </cell>
          <cell r="E1657">
            <v>5605.05</v>
          </cell>
        </row>
        <row r="1658">
          <cell r="A1658" t="str">
            <v>8/19/2004 0:00</v>
          </cell>
          <cell r="E1658">
            <v>2779.5</v>
          </cell>
        </row>
        <row r="1659">
          <cell r="A1659" t="str">
            <v>9/8/2004 0:00</v>
          </cell>
          <cell r="E1659">
            <v>5398.08</v>
          </cell>
        </row>
        <row r="1660">
          <cell r="A1660" t="str">
            <v>10/13/2004 0:00</v>
          </cell>
          <cell r="E1660">
            <v>3189.6</v>
          </cell>
        </row>
        <row r="1661">
          <cell r="A1661" t="str">
            <v>10/22/2004 0:00</v>
          </cell>
          <cell r="E1661">
            <v>5581.8</v>
          </cell>
        </row>
        <row r="1662">
          <cell r="A1662" t="str">
            <v>11/5/2004 0:00</v>
          </cell>
          <cell r="E1662">
            <v>3820.44</v>
          </cell>
        </row>
        <row r="1663">
          <cell r="A1663" t="str">
            <v>11/19/2004 0:00</v>
          </cell>
          <cell r="E1663">
            <v>5528.04</v>
          </cell>
        </row>
        <row r="1664">
          <cell r="A1664" t="str">
            <v>11/1/2004 0:00</v>
          </cell>
          <cell r="E1664">
            <v>5981.42</v>
          </cell>
        </row>
        <row r="1665">
          <cell r="A1665" t="str">
            <v>12/10/2004 0:00</v>
          </cell>
          <cell r="E1665">
            <v>5684.65</v>
          </cell>
        </row>
        <row r="1666">
          <cell r="A1666" t="str">
            <v>1/23/2005 0:00</v>
          </cell>
          <cell r="E1666">
            <v>3449.4</v>
          </cell>
        </row>
        <row r="1667">
          <cell r="A1667" t="str">
            <v>2/17/2005 0:00</v>
          </cell>
          <cell r="E1667">
            <v>2654.4</v>
          </cell>
        </row>
        <row r="1668">
          <cell r="A1668" t="str">
            <v>5/3/2005 0:00</v>
          </cell>
          <cell r="E1668">
            <v>8498</v>
          </cell>
        </row>
        <row r="1669">
          <cell r="A1669" t="str">
            <v>5/31/2005 0:00</v>
          </cell>
          <cell r="E1669">
            <v>5510.54</v>
          </cell>
        </row>
        <row r="1670">
          <cell r="A1670" t="str">
            <v>3/3/2003 0:00</v>
          </cell>
          <cell r="E1670">
            <v>2060.4499999999998</v>
          </cell>
        </row>
        <row r="1671">
          <cell r="A1671" t="str">
            <v>5/7/2003 0:00</v>
          </cell>
          <cell r="E1671">
            <v>2460.16</v>
          </cell>
        </row>
        <row r="1672">
          <cell r="A1672" t="str">
            <v>7/2/2003 0:00</v>
          </cell>
          <cell r="E1672">
            <v>1787.56</v>
          </cell>
        </row>
        <row r="1673">
          <cell r="A1673" t="str">
            <v>8/25/2003 0:00</v>
          </cell>
          <cell r="E1673">
            <v>1645.65</v>
          </cell>
        </row>
        <row r="1674">
          <cell r="A1674" t="str">
            <v>10/10/2003 0:00</v>
          </cell>
          <cell r="E1674">
            <v>2169.1799999999998</v>
          </cell>
        </row>
        <row r="1675">
          <cell r="A1675" t="str">
            <v>11/4/2003 0:00</v>
          </cell>
          <cell r="E1675">
            <v>2816.18</v>
          </cell>
        </row>
        <row r="1676">
          <cell r="A1676" t="str">
            <v>11/11/2003 0:00</v>
          </cell>
          <cell r="E1676">
            <v>2521.0500000000002</v>
          </cell>
        </row>
        <row r="1677">
          <cell r="A1677" t="str">
            <v>11/19/2003 0:00</v>
          </cell>
          <cell r="E1677">
            <v>3199.98</v>
          </cell>
        </row>
        <row r="1678">
          <cell r="A1678" t="str">
            <v>1/15/2004 0:00</v>
          </cell>
          <cell r="E1678">
            <v>1338.12</v>
          </cell>
        </row>
        <row r="1679">
          <cell r="A1679" t="str">
            <v>2/21/2004 0:00</v>
          </cell>
          <cell r="E1679">
            <v>2972.58</v>
          </cell>
        </row>
        <row r="1680">
          <cell r="A1680" t="str">
            <v>4/5/2004 0:00</v>
          </cell>
          <cell r="E1680">
            <v>2070.9</v>
          </cell>
        </row>
        <row r="1681">
          <cell r="A1681" t="str">
            <v>5/26/2004 0:00</v>
          </cell>
          <cell r="E1681">
            <v>3092.6</v>
          </cell>
        </row>
        <row r="1682">
          <cell r="A1682" t="str">
            <v>6/30/2004 0:00</v>
          </cell>
          <cell r="E1682">
            <v>2408.6999999999998</v>
          </cell>
        </row>
        <row r="1683">
          <cell r="A1683" t="str">
            <v>8/2/2004 0:00</v>
          </cell>
          <cell r="E1683">
            <v>3472.54</v>
          </cell>
        </row>
        <row r="1684">
          <cell r="A1684" t="str">
            <v>8/27/2004 0:00</v>
          </cell>
          <cell r="E1684">
            <v>2263.2800000000002</v>
          </cell>
        </row>
        <row r="1685">
          <cell r="A1685" t="str">
            <v>9/30/2004 0:00</v>
          </cell>
          <cell r="E1685">
            <v>2194.17</v>
          </cell>
        </row>
        <row r="1686">
          <cell r="A1686" t="str">
            <v>10/15/2004 0:00</v>
          </cell>
          <cell r="E1686">
            <v>1346.4</v>
          </cell>
        </row>
        <row r="1687">
          <cell r="A1687" t="str">
            <v>11/3/2004 0:00</v>
          </cell>
          <cell r="E1687">
            <v>2533.63</v>
          </cell>
        </row>
        <row r="1688">
          <cell r="A1688" t="str">
            <v>11/16/2004 0:00</v>
          </cell>
          <cell r="E1688">
            <v>3403.26</v>
          </cell>
        </row>
        <row r="1689">
          <cell r="A1689" t="str">
            <v>11/24/2004 0:00</v>
          </cell>
          <cell r="E1689">
            <v>3307.2</v>
          </cell>
        </row>
        <row r="1690">
          <cell r="A1690" t="str">
            <v>12/7/2004 0:00</v>
          </cell>
          <cell r="E1690">
            <v>2896.65</v>
          </cell>
        </row>
        <row r="1691">
          <cell r="A1691" t="str">
            <v>1/6/2005 0:00</v>
          </cell>
          <cell r="E1691">
            <v>2632.89</v>
          </cell>
        </row>
        <row r="1692">
          <cell r="A1692" t="str">
            <v>2/3/2005 0:00</v>
          </cell>
          <cell r="E1692">
            <v>2046</v>
          </cell>
        </row>
        <row r="1693">
          <cell r="A1693" t="str">
            <v>3/4/2005 0:00</v>
          </cell>
          <cell r="E1693">
            <v>2279.5500000000002</v>
          </cell>
        </row>
        <row r="1694">
          <cell r="A1694" t="str">
            <v>4/8/2005 0:00</v>
          </cell>
          <cell r="E1694">
            <v>2150.5500000000002</v>
          </cell>
        </row>
        <row r="1695">
          <cell r="A1695" t="str">
            <v>3/18/2003 0:00</v>
          </cell>
          <cell r="E1695">
            <v>3360.45</v>
          </cell>
        </row>
        <row r="1696">
          <cell r="A1696" t="str">
            <v>5/21/2003 0:00</v>
          </cell>
          <cell r="E1696">
            <v>2326.4</v>
          </cell>
        </row>
        <row r="1697">
          <cell r="A1697" t="str">
            <v>9/11/2003 0:00</v>
          </cell>
          <cell r="E1697">
            <v>1545.6</v>
          </cell>
        </row>
        <row r="1698">
          <cell r="A1698" t="str">
            <v>10/17/2003 0:00</v>
          </cell>
          <cell r="E1698">
            <v>2144.6</v>
          </cell>
        </row>
        <row r="1699">
          <cell r="A1699" t="str">
            <v>11/5/2003 0:00</v>
          </cell>
          <cell r="E1699">
            <v>1639.22</v>
          </cell>
        </row>
        <row r="1700">
          <cell r="A1700" t="str">
            <v>11/12/2003 0:00</v>
          </cell>
          <cell r="E1700">
            <v>2649.6</v>
          </cell>
        </row>
        <row r="1701">
          <cell r="A1701" t="str">
            <v>11/20/2003 0:00</v>
          </cell>
          <cell r="E1701">
            <v>3845.6</v>
          </cell>
        </row>
        <row r="1702">
          <cell r="A1702" t="str">
            <v>12/2/2003 0:00</v>
          </cell>
          <cell r="E1702">
            <v>4527.04</v>
          </cell>
        </row>
        <row r="1703">
          <cell r="A1703" t="str">
            <v>1/16/2004 0:00</v>
          </cell>
          <cell r="E1703">
            <v>3966.3</v>
          </cell>
        </row>
        <row r="1704">
          <cell r="A1704" t="str">
            <v>3/2/2004 0:00</v>
          </cell>
          <cell r="E1704">
            <v>4142.58</v>
          </cell>
        </row>
        <row r="1705">
          <cell r="A1705" t="str">
            <v>4/13/2004 0:00</v>
          </cell>
          <cell r="E1705">
            <v>4441.5</v>
          </cell>
        </row>
        <row r="1706">
          <cell r="A1706" t="str">
            <v>7/7/2004 0:00</v>
          </cell>
          <cell r="E1706">
            <v>3315.12</v>
          </cell>
        </row>
        <row r="1707">
          <cell r="A1707" t="str">
            <v>8/9/2004 0:00</v>
          </cell>
          <cell r="E1707">
            <v>3918.53</v>
          </cell>
        </row>
        <row r="1708">
          <cell r="A1708" t="str">
            <v>9/1/2004 0:00</v>
          </cell>
          <cell r="E1708">
            <v>2830.45</v>
          </cell>
        </row>
        <row r="1709">
          <cell r="A1709" t="str">
            <v>10/6/2003 0:00</v>
          </cell>
          <cell r="E1709">
            <v>5298.86</v>
          </cell>
        </row>
        <row r="1710">
          <cell r="A1710" t="str">
            <v>10/16/2004 0:00</v>
          </cell>
          <cell r="E1710">
            <v>2620.8000000000002</v>
          </cell>
        </row>
        <row r="1711">
          <cell r="A1711" t="str">
            <v>11/4/2004 0:00</v>
          </cell>
          <cell r="E1711">
            <v>2181</v>
          </cell>
        </row>
        <row r="1712">
          <cell r="A1712" t="str">
            <v>11/17/2004 0:00</v>
          </cell>
          <cell r="E1712">
            <v>3382.08</v>
          </cell>
        </row>
        <row r="1713">
          <cell r="A1713" t="str">
            <v>11/29/2004 0:00</v>
          </cell>
          <cell r="E1713">
            <v>2876.75</v>
          </cell>
        </row>
        <row r="1714">
          <cell r="A1714" t="str">
            <v>1/19/2005 0:00</v>
          </cell>
          <cell r="E1714">
            <v>4107.2</v>
          </cell>
        </row>
        <row r="1715">
          <cell r="A1715" t="str">
            <v>2/16/2005 0:00</v>
          </cell>
          <cell r="E1715">
            <v>1350</v>
          </cell>
        </row>
        <row r="1716">
          <cell r="A1716" t="str">
            <v>4/22/2005 0:00</v>
          </cell>
          <cell r="E1716">
            <v>7182</v>
          </cell>
        </row>
        <row r="1717">
          <cell r="A1717" t="str">
            <v>5/29/2005 0:00</v>
          </cell>
          <cell r="E1717">
            <v>3933.93</v>
          </cell>
        </row>
        <row r="1718">
          <cell r="A1718" t="str">
            <v>1/31/2003 0:00</v>
          </cell>
          <cell r="E1718">
            <v>1742.4</v>
          </cell>
        </row>
        <row r="1719">
          <cell r="A1719" t="str">
            <v>4/1/2003 0:00</v>
          </cell>
          <cell r="E1719">
            <v>721.44</v>
          </cell>
        </row>
        <row r="1720">
          <cell r="A1720" t="str">
            <v>6/3/2003 0:00</v>
          </cell>
          <cell r="E1720">
            <v>1489.41</v>
          </cell>
        </row>
        <row r="1721">
          <cell r="A1721" t="str">
            <v>8/1/2003 0:00</v>
          </cell>
          <cell r="E1721">
            <v>891.03</v>
          </cell>
        </row>
        <row r="1722">
          <cell r="A1722" t="str">
            <v>9/21/2003 0:00</v>
          </cell>
          <cell r="E1722">
            <v>1209.3</v>
          </cell>
        </row>
        <row r="1723">
          <cell r="A1723" t="str">
            <v>10/22/2003 0:00</v>
          </cell>
          <cell r="E1723">
            <v>859.14</v>
          </cell>
        </row>
        <row r="1724">
          <cell r="A1724" t="str">
            <v>11/6/2003 0:00</v>
          </cell>
          <cell r="E1724">
            <v>1151.44</v>
          </cell>
        </row>
        <row r="1725">
          <cell r="A1725" t="str">
            <v>11/14/2003 0:00</v>
          </cell>
          <cell r="E1725">
            <v>1336.44</v>
          </cell>
        </row>
        <row r="1726">
          <cell r="A1726" t="str">
            <v>11/25/2003 0:00</v>
          </cell>
          <cell r="E1726">
            <v>905.28</v>
          </cell>
        </row>
        <row r="1727">
          <cell r="A1727" t="str">
            <v>12/9/2003 0:00</v>
          </cell>
          <cell r="E1727">
            <v>1247.4000000000001</v>
          </cell>
        </row>
        <row r="1728">
          <cell r="A1728" t="str">
            <v>2/10/2004 0:00</v>
          </cell>
          <cell r="E1728">
            <v>846.51</v>
          </cell>
        </row>
        <row r="1729">
          <cell r="A1729" t="str">
            <v>3/11/2004 0:00</v>
          </cell>
          <cell r="E1729">
            <v>1085.04</v>
          </cell>
        </row>
        <row r="1730">
          <cell r="A1730" t="str">
            <v>5/5/2004 0:00</v>
          </cell>
          <cell r="E1730">
            <v>1767.43</v>
          </cell>
        </row>
        <row r="1731">
          <cell r="A1731" t="str">
            <v>6/15/2004 0:00</v>
          </cell>
          <cell r="E1731">
            <v>1030.44</v>
          </cell>
        </row>
        <row r="1732">
          <cell r="A1732" t="str">
            <v>7/20/2004 0:00</v>
          </cell>
          <cell r="E1732">
            <v>1585.36</v>
          </cell>
        </row>
        <row r="1733">
          <cell r="A1733" t="str">
            <v>8/19/2004 0:00</v>
          </cell>
          <cell r="E1733">
            <v>813.2</v>
          </cell>
        </row>
        <row r="1734">
          <cell r="A1734" t="str">
            <v>9/8/2004 0:00</v>
          </cell>
          <cell r="E1734">
            <v>1172.3399999999999</v>
          </cell>
        </row>
        <row r="1735">
          <cell r="A1735" t="str">
            <v>10/13/2004 0:00</v>
          </cell>
          <cell r="E1735">
            <v>1510.56</v>
          </cell>
        </row>
        <row r="1736">
          <cell r="A1736" t="str">
            <v>10/22/2004 0:00</v>
          </cell>
          <cell r="E1736">
            <v>1448.07</v>
          </cell>
        </row>
        <row r="1737">
          <cell r="A1737" t="str">
            <v>11/5/2004 0:00</v>
          </cell>
          <cell r="E1737">
            <v>3338.1</v>
          </cell>
        </row>
        <row r="1738">
          <cell r="A1738" t="str">
            <v>11/19/2004 0:00</v>
          </cell>
          <cell r="E1738">
            <v>1225.29</v>
          </cell>
        </row>
        <row r="1739">
          <cell r="A1739" t="str">
            <v>12/1/2004 0:00</v>
          </cell>
          <cell r="E1739">
            <v>1336.68</v>
          </cell>
        </row>
        <row r="1740">
          <cell r="A1740" t="str">
            <v>12/10/2004 0:00</v>
          </cell>
          <cell r="E1740">
            <v>2985.84</v>
          </cell>
        </row>
        <row r="1741">
          <cell r="A1741" t="str">
            <v>1/23/2005 0:00</v>
          </cell>
          <cell r="E1741">
            <v>5545.8</v>
          </cell>
        </row>
        <row r="1742">
          <cell r="A1742" t="str">
            <v>2/22/2005 0:00</v>
          </cell>
          <cell r="E1742">
            <v>6089.6</v>
          </cell>
        </row>
        <row r="1743">
          <cell r="A1743" t="str">
            <v>3/15/2005 0:00</v>
          </cell>
          <cell r="E1743">
            <v>1789.4</v>
          </cell>
        </row>
        <row r="1744">
          <cell r="A1744" t="str">
            <v>5/3/2005 0:00</v>
          </cell>
          <cell r="E1744">
            <v>1082.0999999999999</v>
          </cell>
        </row>
        <row r="1745">
          <cell r="A1745" t="str">
            <v>5/31/2005 0:00</v>
          </cell>
          <cell r="E1745">
            <v>1030.44</v>
          </cell>
        </row>
        <row r="1746">
          <cell r="A1746" t="str">
            <v>2/17/2003 0:00</v>
          </cell>
          <cell r="E1746">
            <v>3659.32</v>
          </cell>
        </row>
        <row r="1747">
          <cell r="A1747" t="str">
            <v>4/28/2003 0:00</v>
          </cell>
          <cell r="E1747">
            <v>2443.6</v>
          </cell>
        </row>
        <row r="1748">
          <cell r="A1748" t="str">
            <v>6/16/2003 0:00</v>
          </cell>
          <cell r="E1748">
            <v>2349.9</v>
          </cell>
        </row>
        <row r="1749">
          <cell r="A1749" t="str">
            <v>8/10/2003 0:00</v>
          </cell>
          <cell r="E1749">
            <v>1646.19</v>
          </cell>
        </row>
        <row r="1750">
          <cell r="A1750" t="str">
            <v>10/6/2003 0:00</v>
          </cell>
          <cell r="E1750">
            <v>1670.26</v>
          </cell>
        </row>
        <row r="1751">
          <cell r="A1751" t="str">
            <v>10/23/2003 0:00</v>
          </cell>
          <cell r="E1751">
            <v>1467.48</v>
          </cell>
        </row>
        <row r="1752">
          <cell r="A1752" t="str">
            <v>11/8/2003 0:00</v>
          </cell>
          <cell r="E1752">
            <v>2748.56</v>
          </cell>
        </row>
        <row r="1753">
          <cell r="A1753" t="str">
            <v>11/14/2003 0:00</v>
          </cell>
          <cell r="E1753">
            <v>1522.4</v>
          </cell>
        </row>
        <row r="1754">
          <cell r="A1754" t="str">
            <v>11/27/2003 0:00</v>
          </cell>
          <cell r="E1754">
            <v>3255.36</v>
          </cell>
        </row>
        <row r="1755">
          <cell r="A1755" t="str">
            <v>1/9/2004 0:00</v>
          </cell>
          <cell r="E1755">
            <v>3535.03</v>
          </cell>
        </row>
        <row r="1756">
          <cell r="A1756" t="str">
            <v>2/19/2004 0:00</v>
          </cell>
          <cell r="E1756">
            <v>2608.96</v>
          </cell>
        </row>
        <row r="1757">
          <cell r="A1757" t="str">
            <v>5/8/2004 0:00</v>
          </cell>
          <cell r="E1757">
            <v>1356.4</v>
          </cell>
        </row>
        <row r="1758">
          <cell r="A1758" t="str">
            <v>6/24/2004 0:00</v>
          </cell>
          <cell r="E1758">
            <v>1611.36</v>
          </cell>
        </row>
        <row r="1759">
          <cell r="A1759" t="str">
            <v>7/21/2004 0:00</v>
          </cell>
          <cell r="E1759">
            <v>2603.1999999999998</v>
          </cell>
        </row>
        <row r="1760">
          <cell r="A1760" t="str">
            <v>8/21/2004 0:00</v>
          </cell>
          <cell r="E1760">
            <v>2219.6999999999998</v>
          </cell>
        </row>
        <row r="1761">
          <cell r="A1761" t="str">
            <v>9/15/2004 0:00</v>
          </cell>
          <cell r="E1761">
            <v>1496.25</v>
          </cell>
        </row>
        <row r="1762">
          <cell r="A1762" t="str">
            <v>10/14/2004 0:00</v>
          </cell>
          <cell r="E1762">
            <v>1884</v>
          </cell>
        </row>
        <row r="1763">
          <cell r="A1763" t="str">
            <v>11/1/2004 0:00</v>
          </cell>
          <cell r="E1763">
            <v>2166.14</v>
          </cell>
        </row>
        <row r="1764">
          <cell r="A1764" t="str">
            <v>11/12/2004 0:00</v>
          </cell>
          <cell r="E1764">
            <v>2828.16</v>
          </cell>
        </row>
        <row r="1765">
          <cell r="A1765" t="str">
            <v>11/23/2004 0:00</v>
          </cell>
          <cell r="E1765">
            <v>6214.45</v>
          </cell>
        </row>
        <row r="1766">
          <cell r="A1766" t="str">
            <v>12/3/2004 0:00</v>
          </cell>
          <cell r="E1766">
            <v>1867</v>
          </cell>
        </row>
        <row r="1767">
          <cell r="A1767" t="str">
            <v>1/31/2005 0:00</v>
          </cell>
          <cell r="E1767">
            <v>2676.72</v>
          </cell>
        </row>
        <row r="1768">
          <cell r="A1768" t="str">
            <v>3/1/2005 0:00</v>
          </cell>
          <cell r="E1768">
            <v>2182.44</v>
          </cell>
        </row>
        <row r="1769">
          <cell r="A1769" t="str">
            <v>3/30/2005 0:00</v>
          </cell>
          <cell r="E1769">
            <v>1611.4</v>
          </cell>
        </row>
        <row r="1770">
          <cell r="A1770" t="str">
            <v>4/1/2005 0:00</v>
          </cell>
          <cell r="E1770">
            <v>1479.84</v>
          </cell>
        </row>
        <row r="1771">
          <cell r="A1771" t="str">
            <v>5/9/2005 0:00</v>
          </cell>
          <cell r="E1771">
            <v>1424.22</v>
          </cell>
        </row>
        <row r="1772">
          <cell r="A1772" t="str">
            <v>3/18/2003 0:00</v>
          </cell>
          <cell r="E1772">
            <v>5942.28</v>
          </cell>
        </row>
        <row r="1773">
          <cell r="A1773" t="str">
            <v>5/21/2003 0:00</v>
          </cell>
          <cell r="E1773">
            <v>2348.75</v>
          </cell>
        </row>
        <row r="1774">
          <cell r="A1774" t="str">
            <v>9/11/2003 0:00</v>
          </cell>
          <cell r="E1774">
            <v>4392.12</v>
          </cell>
        </row>
        <row r="1775">
          <cell r="A1775" t="str">
            <v>10/17/2003 0:00</v>
          </cell>
          <cell r="E1775">
            <v>2759.75</v>
          </cell>
        </row>
        <row r="1776">
          <cell r="A1776" t="str">
            <v>11/5/2003 0:00</v>
          </cell>
          <cell r="E1776">
            <v>2728.03</v>
          </cell>
        </row>
        <row r="1777">
          <cell r="A1777" t="str">
            <v>11/12/2003 0:00</v>
          </cell>
          <cell r="E1777">
            <v>2395.8000000000002</v>
          </cell>
        </row>
        <row r="1778">
          <cell r="A1778" t="str">
            <v>11/20/2003 0:00</v>
          </cell>
          <cell r="E1778">
            <v>3052.33</v>
          </cell>
        </row>
        <row r="1779">
          <cell r="A1779" t="str">
            <v>12/2/2003 0:00</v>
          </cell>
          <cell r="E1779">
            <v>4242</v>
          </cell>
        </row>
        <row r="1780">
          <cell r="A1780" t="str">
            <v>1/22/2004 0:00</v>
          </cell>
          <cell r="E1780">
            <v>2790.45</v>
          </cell>
        </row>
        <row r="1781">
          <cell r="A1781" t="str">
            <v>3/2/2004 0:00</v>
          </cell>
          <cell r="E1781">
            <v>4340.49</v>
          </cell>
        </row>
        <row r="1782">
          <cell r="A1782" t="str">
            <v>4/13/2004 0:00</v>
          </cell>
          <cell r="E1782">
            <v>2762.2</v>
          </cell>
        </row>
        <row r="1783">
          <cell r="A1783" t="str">
            <v>7/7/2004 0:00</v>
          </cell>
          <cell r="E1783">
            <v>4645.72</v>
          </cell>
        </row>
        <row r="1784">
          <cell r="A1784" t="str">
            <v>8/9/2004 0:00</v>
          </cell>
          <cell r="E1784">
            <v>5580.96</v>
          </cell>
        </row>
        <row r="1785">
          <cell r="A1785" t="str">
            <v>9/1/2004 0:00</v>
          </cell>
          <cell r="E1785">
            <v>6539.04</v>
          </cell>
        </row>
        <row r="1786">
          <cell r="A1786" t="str">
            <v>10/6/2003 0:00</v>
          </cell>
          <cell r="E1786">
            <v>5548.95</v>
          </cell>
        </row>
        <row r="1787">
          <cell r="A1787" t="str">
            <v>10/16/2004 0:00</v>
          </cell>
          <cell r="E1787">
            <v>4595.41</v>
          </cell>
        </row>
        <row r="1788">
          <cell r="A1788" t="str">
            <v>11/17/2004 0:00</v>
          </cell>
          <cell r="E1788">
            <v>1859.44</v>
          </cell>
        </row>
        <row r="1789">
          <cell r="A1789" t="str">
            <v>11/29/2004 0:00</v>
          </cell>
          <cell r="E1789">
            <v>2093.7600000000002</v>
          </cell>
        </row>
        <row r="1790">
          <cell r="A1790" t="str">
            <v>1/19/2005 0:00</v>
          </cell>
          <cell r="E1790">
            <v>4223.13</v>
          </cell>
        </row>
        <row r="1791">
          <cell r="A1791" t="str">
            <v>2/16/2005 0:00</v>
          </cell>
          <cell r="E1791">
            <v>1596.76</v>
          </cell>
        </row>
        <row r="1792">
          <cell r="A1792" t="str">
            <v>4/22/2005 0:00</v>
          </cell>
          <cell r="E1792">
            <v>5820.35</v>
          </cell>
        </row>
        <row r="1793">
          <cell r="A1793" t="str">
            <v>5/29/2005 0:00</v>
          </cell>
          <cell r="E1793">
            <v>5296.5</v>
          </cell>
        </row>
        <row r="1794">
          <cell r="A1794" t="str">
            <v>3/10/2003 0:00</v>
          </cell>
          <cell r="E1794">
            <v>930.9</v>
          </cell>
        </row>
        <row r="1795">
          <cell r="A1795" t="str">
            <v>5/8/2003 0:00</v>
          </cell>
          <cell r="E1795">
            <v>1207.44</v>
          </cell>
        </row>
        <row r="1796">
          <cell r="A1796" t="str">
            <v>7/2/2003 0:00</v>
          </cell>
          <cell r="E1796">
            <v>717.4</v>
          </cell>
        </row>
        <row r="1797">
          <cell r="A1797" t="str">
            <v>9/5/2003 0:00</v>
          </cell>
          <cell r="E1797">
            <v>1066.75</v>
          </cell>
        </row>
        <row r="1798">
          <cell r="A1798" t="str">
            <v>10/11/2003 0:00</v>
          </cell>
          <cell r="E1798">
            <v>1554</v>
          </cell>
        </row>
        <row r="1799">
          <cell r="A1799" t="str">
            <v>11/5/2003 0:00</v>
          </cell>
          <cell r="E1799">
            <v>1277.6400000000001</v>
          </cell>
        </row>
        <row r="1800">
          <cell r="A1800" t="str">
            <v>11/12/2003 0:00</v>
          </cell>
          <cell r="E1800">
            <v>1578.79</v>
          </cell>
        </row>
        <row r="1801">
          <cell r="A1801" t="str">
            <v>11/20/2003 0:00</v>
          </cell>
          <cell r="E1801">
            <v>917.7</v>
          </cell>
        </row>
        <row r="1802">
          <cell r="A1802" t="str">
            <v>12/2/2003 0:00</v>
          </cell>
          <cell r="E1802">
            <v>777</v>
          </cell>
        </row>
        <row r="1803">
          <cell r="A1803" t="str">
            <v>1/16/2004 0:00</v>
          </cell>
          <cell r="E1803">
            <v>1476.28</v>
          </cell>
        </row>
        <row r="1804">
          <cell r="A1804" t="str">
            <v>2/22/2004 0:00</v>
          </cell>
          <cell r="E1804">
            <v>1538.46</v>
          </cell>
        </row>
        <row r="1805">
          <cell r="A1805" t="str">
            <v>4/12/2004 0:00</v>
          </cell>
          <cell r="E1805">
            <v>891.2</v>
          </cell>
        </row>
        <row r="1806">
          <cell r="A1806" t="str">
            <v>6/1/2004 0:00</v>
          </cell>
          <cell r="E1806">
            <v>1706.8</v>
          </cell>
        </row>
        <row r="1807">
          <cell r="A1807" t="str">
            <v>7/6/2004 0:00</v>
          </cell>
          <cell r="E1807">
            <v>1373.6</v>
          </cell>
        </row>
        <row r="1808">
          <cell r="A1808" t="str">
            <v>8/6/2004 0:00</v>
          </cell>
          <cell r="E1808">
            <v>1205.5899999999999</v>
          </cell>
        </row>
        <row r="1809">
          <cell r="A1809" t="str">
            <v>8/30/2004 0:00</v>
          </cell>
          <cell r="E1809">
            <v>1427.4</v>
          </cell>
        </row>
        <row r="1810">
          <cell r="A1810" t="str">
            <v>10/5/2003 0:00</v>
          </cell>
          <cell r="E1810">
            <v>1649.28</v>
          </cell>
        </row>
        <row r="1811">
          <cell r="A1811" t="str">
            <v>10/16/2004 0:00</v>
          </cell>
          <cell r="E1811">
            <v>1383.03</v>
          </cell>
        </row>
        <row r="1812">
          <cell r="A1812" t="str">
            <v>11/4/2004 0:00</v>
          </cell>
          <cell r="E1812">
            <v>1229.51</v>
          </cell>
        </row>
        <row r="1813">
          <cell r="A1813" t="str">
            <v>11/17/2004 0:00</v>
          </cell>
          <cell r="E1813">
            <v>1140.48</v>
          </cell>
        </row>
        <row r="1814">
          <cell r="A1814" t="str">
            <v>11/24/2004 0:00</v>
          </cell>
          <cell r="E1814">
            <v>1575.6</v>
          </cell>
        </row>
        <row r="1815">
          <cell r="A1815" t="str">
            <v>12/7/2004 0:00</v>
          </cell>
          <cell r="E1815">
            <v>1386.72</v>
          </cell>
        </row>
        <row r="1816">
          <cell r="A1816" t="str">
            <v>1/12/2005 0:00</v>
          </cell>
          <cell r="E1816">
            <v>5018.3999999999996</v>
          </cell>
        </row>
        <row r="1817">
          <cell r="A1817" t="str">
            <v>2/10/2005 0:00</v>
          </cell>
          <cell r="E1817">
            <v>5856.85</v>
          </cell>
        </row>
        <row r="1818">
          <cell r="A1818" t="str">
            <v>3/4/2005 0:00</v>
          </cell>
          <cell r="E1818">
            <v>4894.7299999999996</v>
          </cell>
        </row>
        <row r="1819">
          <cell r="A1819" t="str">
            <v>4/14/2005 0:00</v>
          </cell>
          <cell r="E1819">
            <v>2094.3200000000002</v>
          </cell>
        </row>
        <row r="1820">
          <cell r="A1820" t="str">
            <v>5/17/2005 0:00</v>
          </cell>
          <cell r="E1820">
            <v>640.04999999999995</v>
          </cell>
        </row>
        <row r="1821">
          <cell r="A1821" t="str">
            <v>2/11/2003 0:00</v>
          </cell>
          <cell r="E1821">
            <v>3193.52</v>
          </cell>
        </row>
        <row r="1822">
          <cell r="A1822" t="str">
            <v>4/28/2003 0:00</v>
          </cell>
          <cell r="E1822">
            <v>3066.7</v>
          </cell>
        </row>
        <row r="1823">
          <cell r="A1823" t="str">
            <v>6/12/2003 0:00</v>
          </cell>
          <cell r="E1823">
            <v>3883.11</v>
          </cell>
        </row>
        <row r="1824">
          <cell r="A1824" t="str">
            <v>8/8/2003 0:00</v>
          </cell>
          <cell r="E1824">
            <v>4814.25</v>
          </cell>
        </row>
        <row r="1825">
          <cell r="A1825" t="str">
            <v>10/2/2003 0:00</v>
          </cell>
          <cell r="E1825">
            <v>2826.27</v>
          </cell>
        </row>
        <row r="1826">
          <cell r="A1826" t="str">
            <v>10/23/2003 0:00</v>
          </cell>
          <cell r="E1826">
            <v>1593.2</v>
          </cell>
        </row>
        <row r="1827">
          <cell r="A1827" t="str">
            <v>11/7/2003 0:00</v>
          </cell>
          <cell r="E1827">
            <v>3266.1</v>
          </cell>
        </row>
        <row r="1828">
          <cell r="A1828" t="str">
            <v>11/14/2003 0:00</v>
          </cell>
          <cell r="E1828">
            <v>2453.5500000000002</v>
          </cell>
        </row>
        <row r="1829">
          <cell r="A1829" t="str">
            <v>11/26/2003 0:00</v>
          </cell>
          <cell r="E1829">
            <v>3910.4</v>
          </cell>
        </row>
        <row r="1830">
          <cell r="A1830" t="str">
            <v>1/2/2004 0:00</v>
          </cell>
          <cell r="E1830">
            <v>1788</v>
          </cell>
        </row>
        <row r="1831">
          <cell r="A1831" t="str">
            <v>2/19/2004 0:00</v>
          </cell>
          <cell r="E1831">
            <v>3328.07</v>
          </cell>
        </row>
        <row r="1832">
          <cell r="A1832" t="str">
            <v>3/29/2004 0:00</v>
          </cell>
          <cell r="E1832">
            <v>3788.4</v>
          </cell>
        </row>
        <row r="1833">
          <cell r="A1833" t="str">
            <v>5/7/2004 0:00</v>
          </cell>
          <cell r="E1833">
            <v>3053.7</v>
          </cell>
        </row>
        <row r="1834">
          <cell r="A1834" t="str">
            <v>6/17/2004 0:00</v>
          </cell>
          <cell r="E1834">
            <v>2005.74</v>
          </cell>
        </row>
        <row r="1835">
          <cell r="A1835" t="str">
            <v>7/21/2004 0:00</v>
          </cell>
          <cell r="E1835">
            <v>2796.12</v>
          </cell>
        </row>
        <row r="1836">
          <cell r="A1836" t="str">
            <v>8/20/2004 0:00</v>
          </cell>
          <cell r="E1836">
            <v>3159.96</v>
          </cell>
        </row>
        <row r="1837">
          <cell r="A1837" t="str">
            <v>9/10/2004 0:00</v>
          </cell>
          <cell r="E1837">
            <v>3908.62</v>
          </cell>
        </row>
        <row r="1838">
          <cell r="A1838" t="str">
            <v>10/14/2004 0:00</v>
          </cell>
          <cell r="E1838">
            <v>2606.48</v>
          </cell>
        </row>
        <row r="1839">
          <cell r="A1839" t="str">
            <v>10/29/2004 0:00</v>
          </cell>
          <cell r="E1839">
            <v>2081.7600000000002</v>
          </cell>
        </row>
        <row r="1840">
          <cell r="A1840" t="str">
            <v>11/9/2004 0:00</v>
          </cell>
          <cell r="E1840">
            <v>3519.85</v>
          </cell>
        </row>
        <row r="1841">
          <cell r="A1841" t="str">
            <v>11/23/2004 0:00</v>
          </cell>
          <cell r="E1841">
            <v>10758</v>
          </cell>
        </row>
        <row r="1842">
          <cell r="A1842" t="str">
            <v>12/2/2004 0:00</v>
          </cell>
          <cell r="E1842">
            <v>3021</v>
          </cell>
        </row>
        <row r="1843">
          <cell r="A1843" t="str">
            <v>1/31/2005 0:00</v>
          </cell>
          <cell r="E1843">
            <v>1891.56</v>
          </cell>
        </row>
        <row r="1844">
          <cell r="A1844" t="str">
            <v>2/23/2005 0:00</v>
          </cell>
          <cell r="E1844">
            <v>4208.41</v>
          </cell>
        </row>
        <row r="1845">
          <cell r="A1845" t="str">
            <v>3/23/2005 0:00</v>
          </cell>
          <cell r="E1845">
            <v>2246.4</v>
          </cell>
        </row>
        <row r="1846">
          <cell r="A1846" t="str">
            <v>5/6/2005 0:00</v>
          </cell>
          <cell r="E1846">
            <v>6107.4</v>
          </cell>
        </row>
        <row r="1847">
          <cell r="A1847" t="str">
            <v>3/18/2003 0:00</v>
          </cell>
          <cell r="E1847">
            <v>1987.74</v>
          </cell>
        </row>
        <row r="1848">
          <cell r="A1848" t="str">
            <v>5/21/2003 0:00</v>
          </cell>
          <cell r="E1848">
            <v>4068.96</v>
          </cell>
        </row>
        <row r="1849">
          <cell r="A1849" t="str">
            <v>9/11/2003 0:00</v>
          </cell>
          <cell r="E1849">
            <v>2282.2199999999998</v>
          </cell>
        </row>
        <row r="1850">
          <cell r="A1850" t="str">
            <v>10/17/2003 0:00</v>
          </cell>
          <cell r="E1850">
            <v>1541</v>
          </cell>
        </row>
        <row r="1851">
          <cell r="A1851" t="str">
            <v>11/5/2003 0:00</v>
          </cell>
          <cell r="E1851">
            <v>1951.92</v>
          </cell>
        </row>
        <row r="1852">
          <cell r="A1852" t="str">
            <v>11/12/2003 0:00</v>
          </cell>
          <cell r="E1852">
            <v>3107.61</v>
          </cell>
        </row>
        <row r="1853">
          <cell r="A1853" t="str">
            <v>11/20/2003 0:00</v>
          </cell>
          <cell r="E1853">
            <v>2328.64</v>
          </cell>
        </row>
        <row r="1854">
          <cell r="A1854" t="str">
            <v>12/2/2003 0:00</v>
          </cell>
          <cell r="E1854">
            <v>3184.8</v>
          </cell>
        </row>
        <row r="1855">
          <cell r="A1855" t="str">
            <v>1/16/2004 0:00</v>
          </cell>
          <cell r="E1855">
            <v>2149.7399999999998</v>
          </cell>
        </row>
        <row r="1856">
          <cell r="A1856" t="str">
            <v>3/2/2004 0:00</v>
          </cell>
          <cell r="E1856">
            <v>3184.8</v>
          </cell>
        </row>
        <row r="1857">
          <cell r="A1857" t="str">
            <v>4/13/2004 0:00</v>
          </cell>
          <cell r="E1857">
            <v>2114.58</v>
          </cell>
        </row>
        <row r="1858">
          <cell r="A1858" t="str">
            <v>7/7/2004 0:00</v>
          </cell>
          <cell r="E1858">
            <v>4256.5600000000004</v>
          </cell>
        </row>
        <row r="1859">
          <cell r="A1859" t="str">
            <v>8/9/2004 0:00</v>
          </cell>
          <cell r="E1859">
            <v>2344.98</v>
          </cell>
        </row>
        <row r="1860">
          <cell r="A1860" t="str">
            <v>9/1/2004 0:00</v>
          </cell>
          <cell r="E1860">
            <v>2328.66</v>
          </cell>
        </row>
        <row r="1861">
          <cell r="A1861" t="str">
            <v>10/6/2003 0:00</v>
          </cell>
          <cell r="E1861">
            <v>3575.04</v>
          </cell>
        </row>
        <row r="1862">
          <cell r="A1862" t="str">
            <v>10/16/2004 0:00</v>
          </cell>
          <cell r="E1862">
            <v>2076</v>
          </cell>
        </row>
        <row r="1863">
          <cell r="A1863" t="str">
            <v>11/4/2004 0:00</v>
          </cell>
          <cell r="E1863">
            <v>3305.25</v>
          </cell>
        </row>
        <row r="1864">
          <cell r="A1864" t="str">
            <v>11/17/2004 0:00</v>
          </cell>
          <cell r="E1864">
            <v>1538.55</v>
          </cell>
        </row>
        <row r="1865">
          <cell r="A1865" t="str">
            <v>11/29/2004 0:00</v>
          </cell>
          <cell r="E1865">
            <v>3325.92</v>
          </cell>
        </row>
        <row r="1866">
          <cell r="A1866" t="str">
            <v>1/19/2005 0:00</v>
          </cell>
          <cell r="E1866">
            <v>3662.52</v>
          </cell>
        </row>
        <row r="1867">
          <cell r="A1867" t="str">
            <v>2/16/2005 0:00</v>
          </cell>
          <cell r="E1867">
            <v>3478.64</v>
          </cell>
        </row>
        <row r="1868">
          <cell r="A1868" t="str">
            <v>4/22/2005 0:00</v>
          </cell>
          <cell r="E1868">
            <v>1057.29</v>
          </cell>
        </row>
        <row r="1869">
          <cell r="A1869" t="str">
            <v>5/29/2005 0:00</v>
          </cell>
          <cell r="E1869">
            <v>3385.9</v>
          </cell>
        </row>
        <row r="1870">
          <cell r="A1870" t="str">
            <v>3/3/2003 0:00</v>
          </cell>
          <cell r="E1870">
            <v>1892.1</v>
          </cell>
        </row>
        <row r="1871">
          <cell r="A1871" t="str">
            <v>5/8/2003 0:00</v>
          </cell>
          <cell r="E1871">
            <v>1707.14</v>
          </cell>
        </row>
        <row r="1872">
          <cell r="A1872" t="str">
            <v>7/2/2003 0:00</v>
          </cell>
          <cell r="E1872">
            <v>1785.51</v>
          </cell>
        </row>
        <row r="1873">
          <cell r="A1873" t="str">
            <v>9/5/2003 0:00</v>
          </cell>
          <cell r="E1873">
            <v>2057.4</v>
          </cell>
        </row>
        <row r="1874">
          <cell r="A1874" t="str">
            <v>10/10/2003 0:00</v>
          </cell>
          <cell r="E1874">
            <v>3490</v>
          </cell>
        </row>
        <row r="1875">
          <cell r="A1875" t="str">
            <v>11/4/2003 0:00</v>
          </cell>
          <cell r="E1875">
            <v>1707.14</v>
          </cell>
        </row>
        <row r="1876">
          <cell r="A1876" t="str">
            <v>11/12/2003 0:00</v>
          </cell>
          <cell r="E1876">
            <v>1506.96</v>
          </cell>
        </row>
        <row r="1877">
          <cell r="A1877" t="str">
            <v>11/20/2003 0:00</v>
          </cell>
          <cell r="E1877">
            <v>2880.48</v>
          </cell>
        </row>
        <row r="1878">
          <cell r="A1878" t="str">
            <v>12/2/2003 0:00</v>
          </cell>
          <cell r="E1878">
            <v>2206.6</v>
          </cell>
        </row>
        <row r="1879">
          <cell r="A1879" t="str">
            <v>1/15/2004 0:00</v>
          </cell>
          <cell r="E1879">
            <v>2351.04</v>
          </cell>
        </row>
        <row r="1880">
          <cell r="A1880" t="str">
            <v>2/22/2004 0:00</v>
          </cell>
          <cell r="E1880">
            <v>1205.04</v>
          </cell>
        </row>
        <row r="1881">
          <cell r="A1881" t="str">
            <v>4/9/2004 0:00</v>
          </cell>
          <cell r="E1881">
            <v>2935.15</v>
          </cell>
        </row>
        <row r="1882">
          <cell r="A1882" t="str">
            <v>6/1/2004 0:00</v>
          </cell>
          <cell r="E1882">
            <v>1263.8399999999999</v>
          </cell>
        </row>
        <row r="1883">
          <cell r="A1883" t="str">
            <v>7/6/2004 0:00</v>
          </cell>
          <cell r="E1883">
            <v>2935.15</v>
          </cell>
        </row>
        <row r="1884">
          <cell r="A1884" t="str">
            <v>8/2/2004 0:00</v>
          </cell>
          <cell r="E1884">
            <v>1224.5999999999999</v>
          </cell>
        </row>
        <row r="1885">
          <cell r="A1885" t="str">
            <v>8/30/2004 0:00</v>
          </cell>
          <cell r="E1885">
            <v>1359.4</v>
          </cell>
        </row>
        <row r="1886">
          <cell r="A1886" t="str">
            <v>10/4/2003 0:00</v>
          </cell>
          <cell r="E1886">
            <v>1822.18</v>
          </cell>
        </row>
        <row r="1887">
          <cell r="A1887" t="str">
            <v>10/16/2004 0:00</v>
          </cell>
          <cell r="E1887">
            <v>2163.7199999999998</v>
          </cell>
        </row>
        <row r="1888">
          <cell r="A1888" t="str">
            <v>11/3/2004 0:00</v>
          </cell>
          <cell r="E1888">
            <v>1591.98</v>
          </cell>
        </row>
        <row r="1889">
          <cell r="A1889" t="str">
            <v>11/17/2004 0:00</v>
          </cell>
          <cell r="E1889">
            <v>3078.5</v>
          </cell>
        </row>
        <row r="1890">
          <cell r="A1890" t="str">
            <v>11/24/2004 0:00</v>
          </cell>
          <cell r="E1890">
            <v>2997.6</v>
          </cell>
        </row>
        <row r="1891">
          <cell r="A1891" t="str">
            <v>12/7/2004 0:00</v>
          </cell>
          <cell r="E1891">
            <v>2747.8</v>
          </cell>
        </row>
        <row r="1892">
          <cell r="A1892" t="str">
            <v>1/6/2005 0:00</v>
          </cell>
          <cell r="E1892">
            <v>2447.7600000000002</v>
          </cell>
        </row>
        <row r="1893">
          <cell r="A1893" t="str">
            <v>2/10/2005 0:00</v>
          </cell>
          <cell r="E1893">
            <v>1910.84</v>
          </cell>
        </row>
        <row r="1894">
          <cell r="A1894" t="str">
            <v>3/4/2005 0:00</v>
          </cell>
          <cell r="E1894">
            <v>2430.64</v>
          </cell>
        </row>
        <row r="1895">
          <cell r="A1895" t="str">
            <v>5/17/2005 0:00</v>
          </cell>
          <cell r="E1895">
            <v>2896.3</v>
          </cell>
        </row>
        <row r="1896">
          <cell r="A1896" t="str">
            <v>2/17/2003 0:00</v>
          </cell>
          <cell r="E1896">
            <v>1630.6</v>
          </cell>
        </row>
        <row r="1897">
          <cell r="A1897" t="str">
            <v>4/28/2003 0:00</v>
          </cell>
          <cell r="E1897">
            <v>1459.6</v>
          </cell>
        </row>
        <row r="1898">
          <cell r="A1898" t="str">
            <v>6/16/2003 0:00</v>
          </cell>
          <cell r="E1898">
            <v>1716.22</v>
          </cell>
        </row>
        <row r="1899">
          <cell r="A1899" t="str">
            <v>8/10/2003 0:00</v>
          </cell>
          <cell r="E1899">
            <v>2560.4699999999998</v>
          </cell>
        </row>
        <row r="1900">
          <cell r="A1900" t="str">
            <v>10/6/2003 0:00</v>
          </cell>
          <cell r="E1900">
            <v>1900.26</v>
          </cell>
        </row>
        <row r="1901">
          <cell r="A1901" t="str">
            <v>10/23/2003 0:00</v>
          </cell>
          <cell r="E1901">
            <v>2019.84</v>
          </cell>
        </row>
        <row r="1902">
          <cell r="A1902" t="str">
            <v>11/8/2003 0:00</v>
          </cell>
          <cell r="E1902">
            <v>1988.28</v>
          </cell>
        </row>
        <row r="1903">
          <cell r="A1903" t="str">
            <v>11/14/2003 0:00</v>
          </cell>
          <cell r="E1903">
            <v>1449.84</v>
          </cell>
        </row>
        <row r="1904">
          <cell r="A1904" t="str">
            <v>11/27/2003 0:00</v>
          </cell>
          <cell r="E1904">
            <v>1935.09</v>
          </cell>
        </row>
        <row r="1905">
          <cell r="A1905" t="str">
            <v>1/9/2004 0:00</v>
          </cell>
          <cell r="E1905">
            <v>2793.24</v>
          </cell>
        </row>
        <row r="1906">
          <cell r="A1906" t="str">
            <v>2/19/2004 0:00</v>
          </cell>
          <cell r="E1906">
            <v>3025.05</v>
          </cell>
        </row>
        <row r="1907">
          <cell r="A1907" t="str">
            <v>5/8/2004 0:00</v>
          </cell>
          <cell r="E1907">
            <v>1742.5</v>
          </cell>
        </row>
        <row r="1908">
          <cell r="A1908" t="str">
            <v>6/24/2004 0:00</v>
          </cell>
          <cell r="E1908">
            <v>3236.1</v>
          </cell>
        </row>
        <row r="1909">
          <cell r="A1909" t="str">
            <v>7/21/2004 0:00</v>
          </cell>
          <cell r="E1909">
            <v>1735.92</v>
          </cell>
        </row>
        <row r="1910">
          <cell r="A1910" t="str">
            <v>8/21/2004 0:00</v>
          </cell>
          <cell r="E1910">
            <v>2795.13</v>
          </cell>
        </row>
        <row r="1911">
          <cell r="A1911" t="str">
            <v>9/15/2004 0:00</v>
          </cell>
          <cell r="E1911">
            <v>1671.52</v>
          </cell>
        </row>
        <row r="1912">
          <cell r="A1912" t="str">
            <v>10/14/2004 0:00</v>
          </cell>
          <cell r="E1912">
            <v>1576.74</v>
          </cell>
        </row>
        <row r="1913">
          <cell r="A1913" t="str">
            <v>11/1/2004 0:00</v>
          </cell>
          <cell r="E1913">
            <v>3615.71</v>
          </cell>
        </row>
        <row r="1914">
          <cell r="A1914" t="str">
            <v>11/12/2004 0:00</v>
          </cell>
          <cell r="E1914">
            <v>1459.6</v>
          </cell>
        </row>
        <row r="1915">
          <cell r="A1915" t="str">
            <v>11/23/2004 0:00</v>
          </cell>
          <cell r="E1915">
            <v>2891.01</v>
          </cell>
        </row>
        <row r="1916">
          <cell r="A1916" t="str">
            <v>12/3/2004 0:00</v>
          </cell>
          <cell r="E1916">
            <v>2598.44</v>
          </cell>
        </row>
        <row r="1917">
          <cell r="A1917" t="str">
            <v>12/17/2004 0:00</v>
          </cell>
          <cell r="E1917">
            <v>3871.92</v>
          </cell>
        </row>
        <row r="1918">
          <cell r="A1918" t="str">
            <v>1/31/2005 0:00</v>
          </cell>
          <cell r="E1918">
            <v>3036</v>
          </cell>
        </row>
        <row r="1919">
          <cell r="A1919" t="str">
            <v>3/1/2005 0:00</v>
          </cell>
          <cell r="E1919">
            <v>2231.6</v>
          </cell>
        </row>
        <row r="1920">
          <cell r="A1920" t="str">
            <v>3/30/2005 0:00</v>
          </cell>
          <cell r="E1920">
            <v>2436.7800000000002</v>
          </cell>
        </row>
        <row r="1921">
          <cell r="A1921" t="str">
            <v>4/1/2005 0:00</v>
          </cell>
          <cell r="E1921">
            <v>2173.6</v>
          </cell>
        </row>
        <row r="1922">
          <cell r="A1922" t="str">
            <v>5/9/2005 0:00</v>
          </cell>
          <cell r="E1922">
            <v>1254.5999999999999</v>
          </cell>
        </row>
        <row r="1923">
          <cell r="A1923" t="str">
            <v>3/18/2003 0:00</v>
          </cell>
          <cell r="E1923">
            <v>3724.42</v>
          </cell>
        </row>
        <row r="1924">
          <cell r="A1924" t="str">
            <v>5/21/2003 0:00</v>
          </cell>
          <cell r="E1924">
            <v>5203</v>
          </cell>
        </row>
        <row r="1925">
          <cell r="A1925" t="str">
            <v>9/11/2003 0:00</v>
          </cell>
          <cell r="E1925">
            <v>3469.5</v>
          </cell>
        </row>
        <row r="1926">
          <cell r="A1926" t="str">
            <v>10/17/2003 0:00</v>
          </cell>
          <cell r="E1926">
            <v>3148.2</v>
          </cell>
        </row>
        <row r="1927">
          <cell r="A1927" t="str">
            <v>11/5/2003 0:00</v>
          </cell>
          <cell r="E1927">
            <v>2167.2199999999998</v>
          </cell>
        </row>
        <row r="1928">
          <cell r="A1928" t="str">
            <v>11/12/2003 0:00</v>
          </cell>
          <cell r="E1928">
            <v>6244.07</v>
          </cell>
        </row>
        <row r="1929">
          <cell r="A1929" t="str">
            <v>11/20/2003 0:00</v>
          </cell>
          <cell r="E1929">
            <v>5566</v>
          </cell>
        </row>
        <row r="1930">
          <cell r="A1930" t="str">
            <v>12/2/2003 0:00</v>
          </cell>
          <cell r="E1930">
            <v>4368.96</v>
          </cell>
        </row>
        <row r="1931">
          <cell r="A1931" t="str">
            <v>1/16/2004 0:00</v>
          </cell>
          <cell r="E1931">
            <v>4039.26</v>
          </cell>
        </row>
        <row r="1932">
          <cell r="A1932" t="str">
            <v>2/26/2004 0:00</v>
          </cell>
          <cell r="E1932">
            <v>4420.32</v>
          </cell>
        </row>
        <row r="1933">
          <cell r="A1933" t="str">
            <v>4/13/2004 0:00</v>
          </cell>
          <cell r="E1933">
            <v>2341.71</v>
          </cell>
        </row>
        <row r="1934">
          <cell r="A1934" t="str">
            <v>7/7/2004 0:00</v>
          </cell>
          <cell r="E1934">
            <v>5110.9799999999996</v>
          </cell>
        </row>
        <row r="1935">
          <cell r="A1935" t="str">
            <v>8/9/2004 0:00</v>
          </cell>
          <cell r="E1935">
            <v>6168</v>
          </cell>
        </row>
        <row r="1936">
          <cell r="A1936" t="str">
            <v>9/1/2004 0:00</v>
          </cell>
          <cell r="E1936">
            <v>4873.26</v>
          </cell>
        </row>
        <row r="1937">
          <cell r="A1937" t="str">
            <v>10/5/2003 0:00</v>
          </cell>
          <cell r="E1937">
            <v>2120.14</v>
          </cell>
        </row>
        <row r="1938">
          <cell r="A1938" t="str">
            <v>10/16/2004 0:00</v>
          </cell>
          <cell r="E1938">
            <v>4236.1400000000003</v>
          </cell>
        </row>
        <row r="1939">
          <cell r="A1939" t="str">
            <v>11/4/2004 0:00</v>
          </cell>
          <cell r="E1939">
            <v>1888.95</v>
          </cell>
        </row>
        <row r="1940">
          <cell r="A1940" t="str">
            <v>11/17/2004 0:00</v>
          </cell>
          <cell r="E1940">
            <v>1152.58</v>
          </cell>
        </row>
        <row r="1941">
          <cell r="A1941" t="str">
            <v>11/29/2004 0:00</v>
          </cell>
          <cell r="E1941">
            <v>2492.88</v>
          </cell>
        </row>
        <row r="1942">
          <cell r="A1942" t="str">
            <v>1/19/2005 0:00</v>
          </cell>
          <cell r="E1942">
            <v>1991.6</v>
          </cell>
        </row>
        <row r="1943">
          <cell r="A1943" t="str">
            <v>2/16/2005 0:00</v>
          </cell>
          <cell r="E1943">
            <v>3953.18</v>
          </cell>
        </row>
        <row r="1944">
          <cell r="A1944" t="str">
            <v>4/22/2005 0:00</v>
          </cell>
          <cell r="E1944">
            <v>3729.39</v>
          </cell>
        </row>
        <row r="1945">
          <cell r="A1945" t="str">
            <v>5/29/2005 0:00</v>
          </cell>
          <cell r="E1945">
            <v>2617.16</v>
          </cell>
        </row>
        <row r="1946">
          <cell r="A1946" t="str">
            <v>2/11/2003 0:00</v>
          </cell>
          <cell r="E1946">
            <v>3983.5</v>
          </cell>
        </row>
        <row r="1947">
          <cell r="A1947" t="str">
            <v>4/28/2003 0:00</v>
          </cell>
          <cell r="E1947">
            <v>3169.95</v>
          </cell>
        </row>
        <row r="1948">
          <cell r="A1948" t="str">
            <v>6/12/2003 0:00</v>
          </cell>
          <cell r="E1948">
            <v>3899.5</v>
          </cell>
        </row>
        <row r="1949">
          <cell r="A1949" t="str">
            <v>8/10/2003 0:00</v>
          </cell>
          <cell r="E1949">
            <v>1851.73</v>
          </cell>
        </row>
        <row r="1950">
          <cell r="A1950" t="str">
            <v>10/6/2003 0:00</v>
          </cell>
          <cell r="E1950">
            <v>2513.41</v>
          </cell>
        </row>
        <row r="1951">
          <cell r="A1951" t="str">
            <v>10/23/2003 0:00</v>
          </cell>
          <cell r="E1951">
            <v>2431.94</v>
          </cell>
        </row>
        <row r="1952">
          <cell r="A1952" t="str">
            <v>11/8/2003 0:00</v>
          </cell>
          <cell r="E1952">
            <v>1514.52</v>
          </cell>
        </row>
        <row r="1953">
          <cell r="A1953" t="str">
            <v>11/14/2003 0:00</v>
          </cell>
          <cell r="E1953">
            <v>3079.44</v>
          </cell>
        </row>
        <row r="1954">
          <cell r="A1954" t="str">
            <v>11/26/2003 0:00</v>
          </cell>
          <cell r="E1954">
            <v>1900.36</v>
          </cell>
        </row>
        <row r="1955">
          <cell r="A1955" t="str">
            <v>1/9/2004 0:00</v>
          </cell>
          <cell r="E1955">
            <v>1974.06</v>
          </cell>
        </row>
        <row r="1956">
          <cell r="A1956" t="str">
            <v>2/19/2004 0:00</v>
          </cell>
          <cell r="E1956">
            <v>3703.46</v>
          </cell>
        </row>
        <row r="1957">
          <cell r="A1957" t="str">
            <v>5/7/2004 0:00</v>
          </cell>
          <cell r="E1957">
            <v>1755.13</v>
          </cell>
        </row>
        <row r="1958">
          <cell r="A1958" t="str">
            <v>6/24/2004 0:00</v>
          </cell>
          <cell r="E1958">
            <v>4273.29</v>
          </cell>
        </row>
        <row r="1959">
          <cell r="A1959" t="str">
            <v>7/21/2004 0:00</v>
          </cell>
          <cell r="E1959">
            <v>3984.96</v>
          </cell>
        </row>
        <row r="1960">
          <cell r="A1960" t="str">
            <v>8/20/2004 0:00</v>
          </cell>
          <cell r="E1960">
            <v>2407.6799999999998</v>
          </cell>
        </row>
        <row r="1961">
          <cell r="A1961" t="str">
            <v>9/15/2004 0:00</v>
          </cell>
          <cell r="E1961">
            <v>1697.3</v>
          </cell>
        </row>
        <row r="1962">
          <cell r="A1962" t="str">
            <v>10/14/2004 0:00</v>
          </cell>
          <cell r="E1962">
            <v>2011.02</v>
          </cell>
        </row>
        <row r="1963">
          <cell r="A1963" t="str">
            <v>11/1/2004 0:00</v>
          </cell>
          <cell r="E1963">
            <v>2306.25</v>
          </cell>
        </row>
        <row r="1964">
          <cell r="A1964" t="str">
            <v>11/9/2004 0:00</v>
          </cell>
          <cell r="E1964">
            <v>1845</v>
          </cell>
        </row>
        <row r="1965">
          <cell r="A1965" t="str">
            <v>11/23/2004 0:00</v>
          </cell>
          <cell r="E1965">
            <v>2493.12</v>
          </cell>
        </row>
        <row r="1966">
          <cell r="A1966" t="str">
            <v>12/2/2004 0:00</v>
          </cell>
          <cell r="E1966">
            <v>1508.5</v>
          </cell>
        </row>
        <row r="1967">
          <cell r="A1967" t="str">
            <v>1/31/2005 0:00</v>
          </cell>
          <cell r="E1967">
            <v>2394.3000000000002</v>
          </cell>
        </row>
        <row r="1968">
          <cell r="A1968" t="str">
            <v>2/28/2005 0:00</v>
          </cell>
          <cell r="E1968">
            <v>3164.98</v>
          </cell>
        </row>
        <row r="1969">
          <cell r="A1969" t="str">
            <v>3/23/2005 0:00</v>
          </cell>
          <cell r="E1969">
            <v>3351.09</v>
          </cell>
        </row>
        <row r="1970">
          <cell r="A1970" t="str">
            <v>4/1/2005 0:00</v>
          </cell>
          <cell r="E1970">
            <v>3064.32</v>
          </cell>
        </row>
        <row r="1971">
          <cell r="A1971" t="str">
            <v>5/6/2005 0:00</v>
          </cell>
          <cell r="E1971">
            <v>3891.81</v>
          </cell>
        </row>
        <row r="1972">
          <cell r="A1972" t="str">
            <v>3/3/2003 0:00</v>
          </cell>
          <cell r="E1972">
            <v>5448.8</v>
          </cell>
        </row>
        <row r="1973">
          <cell r="A1973" t="str">
            <v>5/8/2003 0:00</v>
          </cell>
          <cell r="E1973">
            <v>5494.97</v>
          </cell>
        </row>
        <row r="1974">
          <cell r="A1974" t="str">
            <v>7/2/2003 0:00</v>
          </cell>
          <cell r="E1974">
            <v>6336.07</v>
          </cell>
        </row>
        <row r="1975">
          <cell r="A1975" t="str">
            <v>9/5/2003 0:00</v>
          </cell>
          <cell r="E1975">
            <v>2906.97</v>
          </cell>
        </row>
        <row r="1976">
          <cell r="A1976" t="str">
            <v>10/11/2003 0:00</v>
          </cell>
          <cell r="E1976">
            <v>4767.7</v>
          </cell>
        </row>
        <row r="1977">
          <cell r="A1977" t="str">
            <v>11/4/2003 0:00</v>
          </cell>
          <cell r="E1977">
            <v>3819.56</v>
          </cell>
        </row>
        <row r="1978">
          <cell r="A1978" t="str">
            <v>11/12/2003 0:00</v>
          </cell>
          <cell r="E1978">
            <v>3861.75</v>
          </cell>
        </row>
        <row r="1979">
          <cell r="A1979" t="str">
            <v>11/20/2003 0:00</v>
          </cell>
          <cell r="E1979">
            <v>6319.35</v>
          </cell>
        </row>
        <row r="1980">
          <cell r="A1980" t="str">
            <v>12/2/2003 0:00</v>
          </cell>
          <cell r="E1980">
            <v>6996.42</v>
          </cell>
        </row>
        <row r="1981">
          <cell r="A1981" t="str">
            <v>1/16/2004 0:00</v>
          </cell>
          <cell r="E1981">
            <v>6949.67</v>
          </cell>
        </row>
        <row r="1982">
          <cell r="A1982" t="str">
            <v>2/22/2004 0:00</v>
          </cell>
          <cell r="E1982">
            <v>4550</v>
          </cell>
        </row>
        <row r="1983">
          <cell r="A1983" t="str">
            <v>4/12/2004 0:00</v>
          </cell>
          <cell r="E1983">
            <v>4479.63</v>
          </cell>
        </row>
        <row r="1984">
          <cell r="A1984" t="str">
            <v>6/1/2004 0:00</v>
          </cell>
          <cell r="E1984">
            <v>5148</v>
          </cell>
        </row>
        <row r="1985">
          <cell r="A1985" t="str">
            <v>7/6/2004 0:00</v>
          </cell>
          <cell r="E1985">
            <v>2932.08</v>
          </cell>
        </row>
        <row r="1986">
          <cell r="A1986" t="str">
            <v>8/6/2004 0:00</v>
          </cell>
          <cell r="E1986">
            <v>3159.75</v>
          </cell>
        </row>
        <row r="1987">
          <cell r="A1987" t="str">
            <v>8/30/2004 0:00</v>
          </cell>
          <cell r="E1987">
            <v>4297.32</v>
          </cell>
        </row>
        <row r="1988">
          <cell r="A1988" t="str">
            <v>10/5/2003 0:00</v>
          </cell>
          <cell r="E1988">
            <v>7723.5</v>
          </cell>
        </row>
        <row r="1989">
          <cell r="A1989" t="str">
            <v>10/16/2004 0:00</v>
          </cell>
          <cell r="E1989">
            <v>5497.65</v>
          </cell>
        </row>
        <row r="1990">
          <cell r="A1990" t="str">
            <v>11/4/2004 0:00</v>
          </cell>
          <cell r="E1990">
            <v>4052.88</v>
          </cell>
        </row>
        <row r="1991">
          <cell r="A1991" t="str">
            <v>11/17/2004 0:00</v>
          </cell>
          <cell r="E1991">
            <v>3135.93</v>
          </cell>
        </row>
        <row r="1992">
          <cell r="A1992" t="str">
            <v>11/24/2004 0:00</v>
          </cell>
          <cell r="E1992">
            <v>5013.54</v>
          </cell>
        </row>
        <row r="1993">
          <cell r="A1993" t="str">
            <v>12/7/2004 0:00</v>
          </cell>
          <cell r="E1993">
            <v>5302.72</v>
          </cell>
        </row>
        <row r="1994">
          <cell r="A1994" t="str">
            <v>1/6/2005 0:00</v>
          </cell>
          <cell r="E1994">
            <v>2931.98</v>
          </cell>
        </row>
        <row r="1995">
          <cell r="A1995" t="str">
            <v>2/10/2005 0:00</v>
          </cell>
          <cell r="E1995">
            <v>1757.91</v>
          </cell>
        </row>
        <row r="1996">
          <cell r="A1996" t="str">
            <v>3/4/2005 0:00</v>
          </cell>
          <cell r="E1996">
            <v>6763.05</v>
          </cell>
        </row>
        <row r="1997">
          <cell r="A1997" t="str">
            <v>4/14/2005 0:00</v>
          </cell>
          <cell r="E1997">
            <v>11739.7</v>
          </cell>
        </row>
        <row r="1998">
          <cell r="A1998" t="str">
            <v>5/17/2005 0:00</v>
          </cell>
          <cell r="E1998">
            <v>9240</v>
          </cell>
        </row>
        <row r="1999">
          <cell r="A1999" t="str">
            <v>2/17/2003 0:00</v>
          </cell>
          <cell r="E1999">
            <v>3241.5</v>
          </cell>
        </row>
        <row r="2000">
          <cell r="A2000" t="str">
            <v>4/28/2003 0:00</v>
          </cell>
          <cell r="E2000">
            <v>1968.12</v>
          </cell>
        </row>
        <row r="2001">
          <cell r="A2001" t="str">
            <v>6/16/2003 0:00</v>
          </cell>
          <cell r="E2001">
            <v>4094.5</v>
          </cell>
        </row>
        <row r="2002">
          <cell r="A2002" t="str">
            <v>8/10/2003 0:00</v>
          </cell>
          <cell r="E2002">
            <v>1853.32</v>
          </cell>
        </row>
        <row r="2003">
          <cell r="A2003" t="str">
            <v>10/6/2003 0:00</v>
          </cell>
          <cell r="E2003">
            <v>3392.84</v>
          </cell>
        </row>
        <row r="2004">
          <cell r="A2004" t="str">
            <v>10/28/2003 0:00</v>
          </cell>
          <cell r="E2004">
            <v>1971.54</v>
          </cell>
        </row>
        <row r="2005">
          <cell r="A2005" t="str">
            <v>11/8/2003 0:00</v>
          </cell>
          <cell r="E2005">
            <v>2169.9</v>
          </cell>
        </row>
        <row r="2006">
          <cell r="A2006" t="str">
            <v>11/27/2003 0:00</v>
          </cell>
          <cell r="E2006">
            <v>2846.17</v>
          </cell>
        </row>
        <row r="2007">
          <cell r="A2007" t="str">
            <v>1/12/2004 0:00</v>
          </cell>
          <cell r="E2007">
            <v>2018.4</v>
          </cell>
        </row>
        <row r="2008">
          <cell r="A2008" t="str">
            <v>2/19/2004 0:00</v>
          </cell>
          <cell r="E2008">
            <v>2718.72</v>
          </cell>
        </row>
        <row r="2009">
          <cell r="A2009" t="str">
            <v>4/2/2004 0:00</v>
          </cell>
          <cell r="E2009">
            <v>1981.65</v>
          </cell>
        </row>
        <row r="2010">
          <cell r="A2010" t="str">
            <v>5/11/2004 0:00</v>
          </cell>
          <cell r="E2010">
            <v>3002.4</v>
          </cell>
        </row>
        <row r="2011">
          <cell r="A2011" t="str">
            <v>6/24/2004 0:00</v>
          </cell>
          <cell r="E2011">
            <v>2948.16</v>
          </cell>
        </row>
        <row r="2012">
          <cell r="A2012" t="str">
            <v>7/23/2004 0:00</v>
          </cell>
          <cell r="E2012">
            <v>3357.49</v>
          </cell>
        </row>
        <row r="2013">
          <cell r="A2013" t="str">
            <v>8/21/2004 0:00</v>
          </cell>
          <cell r="E2013">
            <v>1175.1600000000001</v>
          </cell>
        </row>
        <row r="2014">
          <cell r="A2014" t="str">
            <v>9/15/2004 0:00</v>
          </cell>
          <cell r="E2014">
            <v>2292.8000000000002</v>
          </cell>
        </row>
        <row r="2015">
          <cell r="A2015" t="str">
            <v>10/15/2004 0:00</v>
          </cell>
          <cell r="E2015">
            <v>3286.49</v>
          </cell>
        </row>
        <row r="2016">
          <cell r="A2016" t="str">
            <v>11/1/2004 0:00</v>
          </cell>
          <cell r="E2016">
            <v>2333.6999999999998</v>
          </cell>
        </row>
        <row r="2017">
          <cell r="A2017" t="str">
            <v>11/12/2004 0:00</v>
          </cell>
          <cell r="E2017">
            <v>2675.05</v>
          </cell>
        </row>
        <row r="2018">
          <cell r="A2018" t="str">
            <v>11/23/2004 0:00</v>
          </cell>
          <cell r="E2018">
            <v>4361.3999999999996</v>
          </cell>
        </row>
        <row r="2019">
          <cell r="A2019" t="str">
            <v>12/3/2004 0:00</v>
          </cell>
          <cell r="E2019">
            <v>2018.58</v>
          </cell>
        </row>
        <row r="2020">
          <cell r="A2020" t="str">
            <v>12/17/2004 0:00</v>
          </cell>
          <cell r="E2020">
            <v>3710.98</v>
          </cell>
        </row>
        <row r="2021">
          <cell r="A2021" t="str">
            <v>1/31/2005 0:00</v>
          </cell>
          <cell r="E2021">
            <v>2847</v>
          </cell>
        </row>
        <row r="2022">
          <cell r="A2022" t="str">
            <v>3/1/2005 0:00</v>
          </cell>
          <cell r="E2022">
            <v>3006.12</v>
          </cell>
        </row>
        <row r="2023">
          <cell r="A2023" t="str">
            <v>3/30/2005 0:00</v>
          </cell>
          <cell r="E2023">
            <v>2797.84</v>
          </cell>
        </row>
        <row r="2024">
          <cell r="A2024" t="str">
            <v>4/3/2005 0:00</v>
          </cell>
          <cell r="E2024">
            <v>3843.2</v>
          </cell>
        </row>
        <row r="2025">
          <cell r="A2025" t="str">
            <v>5/10/2005 0:00</v>
          </cell>
          <cell r="E2025">
            <v>1351.08</v>
          </cell>
        </row>
        <row r="2026">
          <cell r="A2026" t="str">
            <v>1/6/2003 0:00</v>
          </cell>
          <cell r="E2026">
            <v>1689.03</v>
          </cell>
        </row>
        <row r="2027">
          <cell r="A2027" t="str">
            <v>3/18/2003 0:00</v>
          </cell>
          <cell r="E2027">
            <v>1654.56</v>
          </cell>
        </row>
        <row r="2028">
          <cell r="A2028" t="str">
            <v>5/21/2003 0:00</v>
          </cell>
          <cell r="E2028">
            <v>1528.58</v>
          </cell>
        </row>
        <row r="2029">
          <cell r="A2029" t="str">
            <v>9/12/2003 0:00</v>
          </cell>
          <cell r="E2029">
            <v>1013.48</v>
          </cell>
        </row>
        <row r="2030">
          <cell r="A2030" t="str">
            <v>10/18/2003 0:00</v>
          </cell>
          <cell r="E2030">
            <v>1442.26</v>
          </cell>
        </row>
        <row r="2031">
          <cell r="A2031" t="str">
            <v>11/5/2003 0:00</v>
          </cell>
          <cell r="E2031">
            <v>1163.05</v>
          </cell>
        </row>
        <row r="2032">
          <cell r="A2032" t="str">
            <v>11/12/2003 0:00</v>
          </cell>
          <cell r="E2032">
            <v>971.98</v>
          </cell>
        </row>
        <row r="2033">
          <cell r="A2033" t="str">
            <v>11/21/2003 0:00</v>
          </cell>
          <cell r="E2033">
            <v>902.66</v>
          </cell>
        </row>
        <row r="2034">
          <cell r="A2034" t="str">
            <v>12/2/2003 0:00</v>
          </cell>
          <cell r="E2034">
            <v>1295.97</v>
          </cell>
        </row>
        <row r="2035">
          <cell r="A2035" t="str">
            <v>1/26/2004 0:00</v>
          </cell>
          <cell r="E2035">
            <v>1534.72</v>
          </cell>
        </row>
        <row r="2036">
          <cell r="A2036" t="str">
            <v>3/2/2004 0:00</v>
          </cell>
          <cell r="E2036">
            <v>1185.3</v>
          </cell>
        </row>
        <row r="2037">
          <cell r="A2037" t="str">
            <v>4/20/2004 0:00</v>
          </cell>
          <cell r="E2037">
            <v>1698.78</v>
          </cell>
        </row>
        <row r="2038">
          <cell r="A2038" t="str">
            <v>8/17/2004 0:00</v>
          </cell>
          <cell r="E2038">
            <v>1381.05</v>
          </cell>
        </row>
        <row r="2039">
          <cell r="A2039" t="str">
            <v>9/1/2004 0:00</v>
          </cell>
          <cell r="E2039">
            <v>1340.46</v>
          </cell>
        </row>
        <row r="2040">
          <cell r="A2040" t="str">
            <v>10/6/2004 0:00</v>
          </cell>
          <cell r="E2040">
            <v>965.04</v>
          </cell>
        </row>
        <row r="2041">
          <cell r="A2041" t="str">
            <v>10/21/2004 0:00</v>
          </cell>
          <cell r="E2041">
            <v>1093.99</v>
          </cell>
        </row>
        <row r="2042">
          <cell r="A2042" t="str">
            <v>11/17/2004 0:00</v>
          </cell>
          <cell r="E2042">
            <v>3166.84</v>
          </cell>
        </row>
        <row r="2043">
          <cell r="A2043" t="str">
            <v>11/29/2004 0:00</v>
          </cell>
          <cell r="E2043">
            <v>2143.6799999999998</v>
          </cell>
        </row>
        <row r="2044">
          <cell r="A2044" t="str">
            <v>1/19/2005 0:00</v>
          </cell>
          <cell r="E2044">
            <v>1717.64</v>
          </cell>
        </row>
        <row r="2045">
          <cell r="A2045" t="str">
            <v>2/16/2005 0:00</v>
          </cell>
          <cell r="E2045">
            <v>4086.29</v>
          </cell>
        </row>
        <row r="2046">
          <cell r="A2046" t="str">
            <v>4/22/2005 0:00</v>
          </cell>
          <cell r="E2046">
            <v>553.95000000000005</v>
          </cell>
        </row>
        <row r="2047">
          <cell r="A2047" t="str">
            <v>5/29/2005 0:00</v>
          </cell>
          <cell r="E2047">
            <v>652.35</v>
          </cell>
        </row>
        <row r="2048">
          <cell r="A2048" t="str">
            <v>1/31/2003 0:00</v>
          </cell>
          <cell r="E2048">
            <v>2921.62</v>
          </cell>
        </row>
        <row r="2049">
          <cell r="A2049" t="str">
            <v>4/4/2003 0:00</v>
          </cell>
          <cell r="E2049">
            <v>5568.64</v>
          </cell>
        </row>
        <row r="2050">
          <cell r="A2050" t="str">
            <v>6/3/2003 0:00</v>
          </cell>
          <cell r="E2050">
            <v>1939.8</v>
          </cell>
        </row>
        <row r="2051">
          <cell r="A2051" t="str">
            <v>8/1/2003 0:00</v>
          </cell>
          <cell r="E2051">
            <v>3784.8</v>
          </cell>
        </row>
        <row r="2052">
          <cell r="A2052" t="str">
            <v>9/25/2003 0:00</v>
          </cell>
          <cell r="E2052">
            <v>2802.09</v>
          </cell>
        </row>
        <row r="2053">
          <cell r="A2053" t="str">
            <v>10/22/2003 0:00</v>
          </cell>
          <cell r="E2053">
            <v>2384.64</v>
          </cell>
        </row>
        <row r="2054">
          <cell r="A2054" t="str">
            <v>11/6/2003 0:00</v>
          </cell>
          <cell r="E2054">
            <v>2915.66</v>
          </cell>
        </row>
        <row r="2055">
          <cell r="A2055" t="str">
            <v>11/14/2003 0:00</v>
          </cell>
          <cell r="E2055">
            <v>5795.72</v>
          </cell>
        </row>
        <row r="2056">
          <cell r="A2056" t="str">
            <v>11/25/2003 0:00</v>
          </cell>
          <cell r="E2056">
            <v>3699.88</v>
          </cell>
        </row>
        <row r="2057">
          <cell r="A2057" t="str">
            <v>12/9/2003 0:00</v>
          </cell>
          <cell r="E2057">
            <v>2980.6</v>
          </cell>
        </row>
        <row r="2058">
          <cell r="A2058" t="str">
            <v>2/12/2004 0:00</v>
          </cell>
          <cell r="E2058">
            <v>5032.74</v>
          </cell>
        </row>
        <row r="2059">
          <cell r="A2059" t="str">
            <v>3/15/2004 0:00</v>
          </cell>
          <cell r="E2059">
            <v>4737.1499999999996</v>
          </cell>
        </row>
        <row r="2060">
          <cell r="A2060" t="str">
            <v>5/5/2004 0:00</v>
          </cell>
          <cell r="E2060">
            <v>6311.2</v>
          </cell>
        </row>
        <row r="2061">
          <cell r="A2061" t="str">
            <v>7/20/2004 0:00</v>
          </cell>
          <cell r="E2061">
            <v>3070.54</v>
          </cell>
        </row>
        <row r="2062">
          <cell r="A2062" t="str">
            <v>8/20/2004 0:00</v>
          </cell>
          <cell r="E2062">
            <v>4797.3900000000003</v>
          </cell>
        </row>
        <row r="2063">
          <cell r="A2063" t="str">
            <v>9/8/2004 0:00</v>
          </cell>
          <cell r="E2063">
            <v>3832.38</v>
          </cell>
        </row>
        <row r="2064">
          <cell r="A2064" t="str">
            <v>10/13/2004 0:00</v>
          </cell>
          <cell r="E2064">
            <v>4641.4799999999996</v>
          </cell>
        </row>
        <row r="2065">
          <cell r="A2065" t="str">
            <v>10/22/2004 0:00</v>
          </cell>
          <cell r="E2065">
            <v>4000.26</v>
          </cell>
        </row>
        <row r="2066">
          <cell r="A2066" t="str">
            <v>11/5/2004 0:00</v>
          </cell>
          <cell r="E2066">
            <v>5325.76</v>
          </cell>
        </row>
        <row r="2067">
          <cell r="A2067" t="str">
            <v>11/20/2004 0:00</v>
          </cell>
          <cell r="E2067">
            <v>4618.6899999999996</v>
          </cell>
        </row>
        <row r="2068">
          <cell r="A2068" t="str">
            <v>12/1/2004 0:00</v>
          </cell>
          <cell r="E2068">
            <v>3182.97</v>
          </cell>
        </row>
        <row r="2069">
          <cell r="A2069" t="str">
            <v>12/15/2004 0:00</v>
          </cell>
          <cell r="E2069">
            <v>2603.04</v>
          </cell>
        </row>
        <row r="2070">
          <cell r="A2070" t="str">
            <v>1/23/2005 0:00</v>
          </cell>
          <cell r="E2070">
            <v>1408.96</v>
          </cell>
        </row>
        <row r="2071">
          <cell r="A2071" t="str">
            <v>2/22/2005 0:00</v>
          </cell>
          <cell r="E2071">
            <v>1972.11</v>
          </cell>
        </row>
        <row r="2072">
          <cell r="A2072" t="str">
            <v>3/15/2005 0:00</v>
          </cell>
          <cell r="E2072">
            <v>5207.75</v>
          </cell>
        </row>
        <row r="2073">
          <cell r="A2073" t="str">
            <v>5/3/2005 0:00</v>
          </cell>
          <cell r="E2073">
            <v>4253.2</v>
          </cell>
        </row>
        <row r="2074">
          <cell r="A2074" t="str">
            <v>1/29/2003 0:00</v>
          </cell>
          <cell r="E2074">
            <v>2873</v>
          </cell>
        </row>
        <row r="2075">
          <cell r="A2075" t="str">
            <v>3/25/2003 0:00</v>
          </cell>
          <cell r="E2075">
            <v>2253.6799999999998</v>
          </cell>
        </row>
        <row r="2076">
          <cell r="A2076" t="str">
            <v>5/28/2003 0:00</v>
          </cell>
          <cell r="E2076">
            <v>3576.12</v>
          </cell>
        </row>
        <row r="2077">
          <cell r="A2077" t="str">
            <v>7/16/2003 0:00</v>
          </cell>
          <cell r="E2077">
            <v>3276.13</v>
          </cell>
        </row>
        <row r="2078">
          <cell r="A2078" t="str">
            <v>9/12/2003 0:00</v>
          </cell>
          <cell r="E2078">
            <v>1811.4</v>
          </cell>
        </row>
        <row r="2079">
          <cell r="A2079" t="str">
            <v>10/20/2003 0:00</v>
          </cell>
          <cell r="E2079">
            <v>3845.1</v>
          </cell>
        </row>
        <row r="2080">
          <cell r="A2080" t="str">
            <v>11/5/2003 0:00</v>
          </cell>
          <cell r="E2080">
            <v>2571.14</v>
          </cell>
        </row>
        <row r="2081">
          <cell r="A2081" t="str">
            <v>11/13/2003 0:00</v>
          </cell>
          <cell r="E2081">
            <v>5035.1099999999997</v>
          </cell>
        </row>
        <row r="2082">
          <cell r="A2082" t="str">
            <v>11/21/2003 0:00</v>
          </cell>
          <cell r="E2082">
            <v>2279</v>
          </cell>
        </row>
        <row r="2083">
          <cell r="A2083" t="str">
            <v>12/5/2003 0:00</v>
          </cell>
          <cell r="E2083">
            <v>3213.87</v>
          </cell>
        </row>
        <row r="2084">
          <cell r="A2084" t="str">
            <v>1/29/2004 0:00</v>
          </cell>
          <cell r="E2084">
            <v>3532.23</v>
          </cell>
        </row>
        <row r="2085">
          <cell r="A2085" t="str">
            <v>3/10/2004 0:00</v>
          </cell>
          <cell r="E2085">
            <v>3406.59</v>
          </cell>
        </row>
        <row r="2086">
          <cell r="A2086" t="str">
            <v>4/29/2004 0:00</v>
          </cell>
          <cell r="E2086">
            <v>3467.2</v>
          </cell>
        </row>
        <row r="2087">
          <cell r="A2087" t="str">
            <v>6/14/2004 0:00</v>
          </cell>
          <cell r="E2087">
            <v>3628.94</v>
          </cell>
        </row>
        <row r="2088">
          <cell r="A2088" t="str">
            <v>7/16/2004 0:00</v>
          </cell>
          <cell r="E2088">
            <v>4674.72</v>
          </cell>
        </row>
        <row r="2089">
          <cell r="A2089" t="str">
            <v>8/17/2004 0:00</v>
          </cell>
          <cell r="E2089">
            <v>1656.69</v>
          </cell>
        </row>
        <row r="2090">
          <cell r="A2090" t="str">
            <v>9/7/2004 0:00</v>
          </cell>
          <cell r="E2090">
            <v>5171.3999999999996</v>
          </cell>
        </row>
        <row r="2091">
          <cell r="A2091" t="str">
            <v>10/11/2004 0:00</v>
          </cell>
          <cell r="E2091">
            <v>3342.57</v>
          </cell>
        </row>
        <row r="2092">
          <cell r="A2092" t="str">
            <v>10/21/2004 0:00</v>
          </cell>
          <cell r="E2092">
            <v>4884.88</v>
          </cell>
        </row>
        <row r="2093">
          <cell r="A2093" t="str">
            <v>11/5/2004 0:00</v>
          </cell>
          <cell r="E2093">
            <v>6267.69</v>
          </cell>
        </row>
        <row r="2094">
          <cell r="A2094" t="str">
            <v>11/18/2004 0:00</v>
          </cell>
          <cell r="E2094">
            <v>4424.16</v>
          </cell>
        </row>
        <row r="2095">
          <cell r="A2095" t="str">
            <v>11/1/2004 0:00</v>
          </cell>
          <cell r="E2095">
            <v>1962.09</v>
          </cell>
        </row>
        <row r="2096">
          <cell r="A2096" t="str">
            <v>12/10/2004 0:00</v>
          </cell>
          <cell r="E2096">
            <v>6847</v>
          </cell>
        </row>
        <row r="2097">
          <cell r="A2097" t="str">
            <v>1/20/2005 0:00</v>
          </cell>
          <cell r="E2097">
            <v>3476.8</v>
          </cell>
        </row>
        <row r="2098">
          <cell r="A2098" t="str">
            <v>2/17/2005 0:00</v>
          </cell>
          <cell r="E2098">
            <v>4592.6099999999997</v>
          </cell>
        </row>
        <row r="2099">
          <cell r="A2099" t="str">
            <v>5/30/2005 0:00</v>
          </cell>
          <cell r="E2099">
            <v>2208.92</v>
          </cell>
        </row>
        <row r="2100">
          <cell r="A2100" t="str">
            <v>2/17/2003 0:00</v>
          </cell>
          <cell r="E2100">
            <v>1657.76</v>
          </cell>
        </row>
        <row r="2101">
          <cell r="A2101" t="str">
            <v>4/29/2003 0:00</v>
          </cell>
          <cell r="E2101">
            <v>2479.21</v>
          </cell>
        </row>
        <row r="2102">
          <cell r="A2102" t="str">
            <v>6/27/2003 0:00</v>
          </cell>
          <cell r="E2102">
            <v>3565.92</v>
          </cell>
        </row>
        <row r="2103">
          <cell r="A2103" t="str">
            <v>8/25/2003 0:00</v>
          </cell>
          <cell r="E2103">
            <v>2797.41</v>
          </cell>
        </row>
        <row r="2104">
          <cell r="A2104" t="str">
            <v>10/28/2003 0:00</v>
          </cell>
          <cell r="E2104">
            <v>3756</v>
          </cell>
        </row>
        <row r="2105">
          <cell r="A2105" t="str">
            <v>1/12/2004 0:00</v>
          </cell>
          <cell r="E2105">
            <v>2840</v>
          </cell>
        </row>
        <row r="2106">
          <cell r="A2106" t="str">
            <v>2/20/2004 0:00</v>
          </cell>
          <cell r="E2106">
            <v>1716.26</v>
          </cell>
        </row>
        <row r="2107">
          <cell r="A2107" t="str">
            <v>4/2/2004 0:00</v>
          </cell>
          <cell r="E2107">
            <v>3245.6</v>
          </cell>
        </row>
        <row r="2108">
          <cell r="A2108" t="str">
            <v>5/11/2004 0:00</v>
          </cell>
          <cell r="E2108">
            <v>2760.94</v>
          </cell>
        </row>
        <row r="2109">
          <cell r="A2109" t="str">
            <v>6/28/2004 0:00</v>
          </cell>
          <cell r="E2109">
            <v>1808.4</v>
          </cell>
        </row>
        <row r="2110">
          <cell r="A2110" t="str">
            <v>7/23/2004 0:00</v>
          </cell>
          <cell r="E2110">
            <v>1682.37</v>
          </cell>
        </row>
        <row r="2111">
          <cell r="A2111" t="str">
            <v>8/21/2004 0:00</v>
          </cell>
          <cell r="E2111">
            <v>1491</v>
          </cell>
        </row>
        <row r="2112">
          <cell r="A2112" t="str">
            <v>9/16/2004 0:00</v>
          </cell>
          <cell r="E2112">
            <v>1666.35</v>
          </cell>
        </row>
        <row r="2113">
          <cell r="A2113" t="str">
            <v>10/15/2004 0:00</v>
          </cell>
          <cell r="E2113">
            <v>3666.08</v>
          </cell>
        </row>
        <row r="2114">
          <cell r="A2114" t="str">
            <v>11/2/2004 0:00</v>
          </cell>
          <cell r="E2114">
            <v>2916.2</v>
          </cell>
        </row>
        <row r="2115">
          <cell r="A2115" t="str">
            <v>11/12/2004 0:00</v>
          </cell>
          <cell r="E2115">
            <v>2616.98</v>
          </cell>
        </row>
        <row r="2116">
          <cell r="A2116" t="str">
            <v>11/24/2004 0:00</v>
          </cell>
          <cell r="E2116">
            <v>3390.8</v>
          </cell>
        </row>
        <row r="2117">
          <cell r="A2117" t="str">
            <v>12/4/2004 0:00</v>
          </cell>
          <cell r="E2117">
            <v>3146.5</v>
          </cell>
        </row>
        <row r="2118">
          <cell r="A2118" t="str">
            <v>12/17/2004 0:00</v>
          </cell>
          <cell r="E2118">
            <v>1561.5</v>
          </cell>
        </row>
        <row r="2119">
          <cell r="A2119" t="str">
            <v>2/3/2005 0:00</v>
          </cell>
          <cell r="E2119">
            <v>10039.6</v>
          </cell>
        </row>
        <row r="2120">
          <cell r="A2120" t="str">
            <v>3/1/2005 0:00</v>
          </cell>
          <cell r="E2120">
            <v>3167</v>
          </cell>
        </row>
        <row r="2121">
          <cell r="A2121" t="str">
            <v>3/30/2005 0:00</v>
          </cell>
          <cell r="E2121">
            <v>3521.25</v>
          </cell>
        </row>
        <row r="2122">
          <cell r="A2122" t="str">
            <v>4/3/2005 0:00</v>
          </cell>
          <cell r="E2122">
            <v>4219.28</v>
          </cell>
        </row>
        <row r="2123">
          <cell r="A2123" t="str">
            <v>5/10/2005 0:00</v>
          </cell>
          <cell r="E2123">
            <v>3581.76</v>
          </cell>
        </row>
        <row r="2124">
          <cell r="A2124" t="str">
            <v>3/3/2003 0:00</v>
          </cell>
          <cell r="E2124">
            <v>2130.0100000000002</v>
          </cell>
        </row>
        <row r="2125">
          <cell r="A2125" t="str">
            <v>5/8/2003 0:00</v>
          </cell>
          <cell r="E2125">
            <v>2063.06</v>
          </cell>
        </row>
        <row r="2126">
          <cell r="A2126" t="str">
            <v>7/2/2003 0:00</v>
          </cell>
          <cell r="E2126">
            <v>2008.13</v>
          </cell>
        </row>
        <row r="2127">
          <cell r="A2127" t="str">
            <v>9/5/2003 0:00</v>
          </cell>
          <cell r="E2127">
            <v>2004.77</v>
          </cell>
        </row>
        <row r="2128">
          <cell r="A2128" t="str">
            <v>10/10/2003 0:00</v>
          </cell>
          <cell r="E2128">
            <v>1543.3</v>
          </cell>
        </row>
        <row r="2129">
          <cell r="A2129" t="str">
            <v>11/4/2003 0:00</v>
          </cell>
          <cell r="E2129">
            <v>2269.92</v>
          </cell>
        </row>
        <row r="2130">
          <cell r="A2130" t="str">
            <v>11/11/2003 0:00</v>
          </cell>
          <cell r="E2130">
            <v>1991.92</v>
          </cell>
        </row>
        <row r="2131">
          <cell r="A2131" t="str">
            <v>11/20/2003 0:00</v>
          </cell>
          <cell r="E2131">
            <v>2916.76</v>
          </cell>
        </row>
        <row r="2132">
          <cell r="A2132" t="str">
            <v>1/15/2004 0:00</v>
          </cell>
          <cell r="E2132">
            <v>2027.52</v>
          </cell>
        </row>
        <row r="2133">
          <cell r="A2133" t="str">
            <v>2/22/2004 0:00</v>
          </cell>
          <cell r="E2133">
            <v>3235.18</v>
          </cell>
        </row>
        <row r="2134">
          <cell r="A2134" t="str">
            <v>4/9/2004 0:00</v>
          </cell>
          <cell r="E2134">
            <v>2062.94</v>
          </cell>
        </row>
        <row r="2135">
          <cell r="A2135" t="str">
            <v>5/26/2004 0:00</v>
          </cell>
          <cell r="E2135">
            <v>3317.78</v>
          </cell>
        </row>
        <row r="2136">
          <cell r="A2136" t="str">
            <v>6/30/2004 0:00</v>
          </cell>
          <cell r="E2136">
            <v>3913.69</v>
          </cell>
        </row>
        <row r="2137">
          <cell r="A2137" t="str">
            <v>8/2/2004 0:00</v>
          </cell>
          <cell r="E2137">
            <v>3608.64</v>
          </cell>
        </row>
        <row r="2138">
          <cell r="A2138" t="str">
            <v>8/30/2004 0:00</v>
          </cell>
          <cell r="E2138">
            <v>3524.8</v>
          </cell>
        </row>
        <row r="2139">
          <cell r="A2139" t="str">
            <v>9/30/2004 0:00</v>
          </cell>
          <cell r="E2139">
            <v>2586.88</v>
          </cell>
        </row>
        <row r="2140">
          <cell r="A2140" t="str">
            <v>10/16/2004 0:00</v>
          </cell>
          <cell r="E2140">
            <v>4753.49</v>
          </cell>
        </row>
        <row r="2141">
          <cell r="A2141" t="str">
            <v>11/3/2004 0:00</v>
          </cell>
          <cell r="E2141">
            <v>3684.67</v>
          </cell>
        </row>
        <row r="2142">
          <cell r="A2142" t="str">
            <v>11/17/2004 0:00</v>
          </cell>
          <cell r="E2142">
            <v>5715.4</v>
          </cell>
        </row>
        <row r="2143">
          <cell r="A2143" t="str">
            <v>11/24/2004 0:00</v>
          </cell>
          <cell r="E2143">
            <v>3098.7</v>
          </cell>
        </row>
        <row r="2144">
          <cell r="A2144" t="str">
            <v>12/7/2004 0:00</v>
          </cell>
          <cell r="E2144">
            <v>2670.92</v>
          </cell>
        </row>
        <row r="2145">
          <cell r="A2145" t="str">
            <v>1/6/2005 0:00</v>
          </cell>
          <cell r="E2145">
            <v>5154.41</v>
          </cell>
        </row>
        <row r="2146">
          <cell r="A2146" t="str">
            <v>2/10/2005 0:00</v>
          </cell>
          <cell r="E2146">
            <v>4894.17</v>
          </cell>
        </row>
        <row r="2147">
          <cell r="A2147" t="str">
            <v>3/4/2005 0:00</v>
          </cell>
          <cell r="E2147">
            <v>2472.6</v>
          </cell>
        </row>
        <row r="2148">
          <cell r="A2148" t="str">
            <v>1/29/2003 0:00</v>
          </cell>
          <cell r="E2148">
            <v>3224.31</v>
          </cell>
        </row>
        <row r="2149">
          <cell r="A2149" t="str">
            <v>4/1/2003 0:00</v>
          </cell>
          <cell r="E2149">
            <v>3667.52</v>
          </cell>
        </row>
        <row r="2150">
          <cell r="A2150" t="str">
            <v>5/28/2003 0:00</v>
          </cell>
          <cell r="E2150">
            <v>4141.33</v>
          </cell>
        </row>
        <row r="2151">
          <cell r="A2151" t="str">
            <v>7/24/2003 0:00</v>
          </cell>
          <cell r="E2151">
            <v>2829.58</v>
          </cell>
        </row>
        <row r="2152">
          <cell r="A2152" t="str">
            <v>9/21/2003 0:00</v>
          </cell>
          <cell r="E2152">
            <v>3068.55</v>
          </cell>
        </row>
        <row r="2153">
          <cell r="A2153" t="str">
            <v>10/21/2003 0:00</v>
          </cell>
          <cell r="E2153">
            <v>2634.96</v>
          </cell>
        </row>
        <row r="2154">
          <cell r="A2154" t="str">
            <v>11/6/2003 0:00</v>
          </cell>
          <cell r="E2154">
            <v>2436.7199999999998</v>
          </cell>
        </row>
        <row r="2155">
          <cell r="A2155" t="str">
            <v>11/14/2003 0:00</v>
          </cell>
          <cell r="E2155">
            <v>4607.3599999999997</v>
          </cell>
        </row>
        <row r="2156">
          <cell r="A2156" t="str">
            <v>11/25/2003 0:00</v>
          </cell>
          <cell r="E2156">
            <v>3598.99</v>
          </cell>
        </row>
        <row r="2157">
          <cell r="A2157" t="str">
            <v>12/9/2003 0:00</v>
          </cell>
          <cell r="E2157">
            <v>3964.1</v>
          </cell>
        </row>
        <row r="2158">
          <cell r="A2158" t="str">
            <v>2/4/2004 0:00</v>
          </cell>
          <cell r="E2158">
            <v>2244.9</v>
          </cell>
        </row>
        <row r="2159">
          <cell r="A2159" t="str">
            <v>3/11/2004 0:00</v>
          </cell>
          <cell r="E2159">
            <v>2793</v>
          </cell>
        </row>
        <row r="2160">
          <cell r="A2160" t="str">
            <v>5/4/2004 0:00</v>
          </cell>
          <cell r="E2160">
            <v>4133.6400000000003</v>
          </cell>
        </row>
        <row r="2161">
          <cell r="A2161" t="str">
            <v>6/15/2004 0:00</v>
          </cell>
          <cell r="E2161">
            <v>3900.6</v>
          </cell>
        </row>
        <row r="2162">
          <cell r="A2162" t="str">
            <v>7/19/2004 0:00</v>
          </cell>
          <cell r="E2162">
            <v>2743.04</v>
          </cell>
        </row>
        <row r="2163">
          <cell r="A2163" t="str">
            <v>8/19/2004 0:00</v>
          </cell>
          <cell r="E2163">
            <v>2402.0700000000002</v>
          </cell>
        </row>
        <row r="2164">
          <cell r="A2164" t="str">
            <v>9/8/2004 0:00</v>
          </cell>
          <cell r="E2164">
            <v>2178.54</v>
          </cell>
        </row>
        <row r="2165">
          <cell r="A2165" t="str">
            <v>10/13/2004 0:00</v>
          </cell>
          <cell r="E2165">
            <v>3155.04</v>
          </cell>
        </row>
        <row r="2166">
          <cell r="A2166" t="str">
            <v>10/22/2004 0:00</v>
          </cell>
          <cell r="E2166">
            <v>2366.2800000000002</v>
          </cell>
        </row>
        <row r="2167">
          <cell r="A2167" t="str">
            <v>11/5/2004 0:00</v>
          </cell>
          <cell r="E2167">
            <v>1963.6</v>
          </cell>
        </row>
        <row r="2168">
          <cell r="A2168" t="str">
            <v>11/19/2004 0:00</v>
          </cell>
          <cell r="E2168">
            <v>4746.28</v>
          </cell>
        </row>
        <row r="2169">
          <cell r="A2169" t="str">
            <v>11/1/2004 0:00</v>
          </cell>
          <cell r="E2169">
            <v>6386.94</v>
          </cell>
        </row>
        <row r="2170">
          <cell r="A2170" t="str">
            <v>12/10/2004 0:00</v>
          </cell>
          <cell r="E2170">
            <v>4428</v>
          </cell>
        </row>
        <row r="2171">
          <cell r="A2171" t="str">
            <v>1/23/2005 0:00</v>
          </cell>
          <cell r="E2171">
            <v>4044.04</v>
          </cell>
        </row>
        <row r="2172">
          <cell r="A2172" t="str">
            <v>2/17/2005 0:00</v>
          </cell>
          <cell r="E2172">
            <v>2708.42</v>
          </cell>
        </row>
        <row r="2173">
          <cell r="A2173" t="str">
            <v>5/1/2005 0:00</v>
          </cell>
          <cell r="E2173">
            <v>2904.72</v>
          </cell>
        </row>
        <row r="2174">
          <cell r="A2174" t="str">
            <v>5/31/2005 0:00</v>
          </cell>
          <cell r="E2174">
            <v>3553.88</v>
          </cell>
        </row>
        <row r="2175">
          <cell r="A2175" t="str">
            <v>2/24/2003 0:00</v>
          </cell>
          <cell r="E2175">
            <v>1858</v>
          </cell>
        </row>
        <row r="2176">
          <cell r="A2176" t="str">
            <v>4/29/2003 0:00</v>
          </cell>
          <cell r="E2176">
            <v>2461.36</v>
          </cell>
        </row>
        <row r="2177">
          <cell r="A2177" t="str">
            <v>6/27/2003 0:00</v>
          </cell>
          <cell r="E2177">
            <v>2642.01</v>
          </cell>
        </row>
        <row r="2178">
          <cell r="A2178" t="str">
            <v>8/25/2003 0:00</v>
          </cell>
          <cell r="E2178">
            <v>3098.7</v>
          </cell>
        </row>
        <row r="2179">
          <cell r="A2179" t="str">
            <v>10/28/2003 0:00</v>
          </cell>
          <cell r="E2179">
            <v>3244.36</v>
          </cell>
        </row>
        <row r="2180">
          <cell r="A2180" t="str">
            <v>11/18/2003 0:00</v>
          </cell>
          <cell r="E2180">
            <v>4351.16</v>
          </cell>
        </row>
        <row r="2181">
          <cell r="A2181" t="str">
            <v>1/12/2004 0:00</v>
          </cell>
          <cell r="E2181">
            <v>3675.86</v>
          </cell>
        </row>
        <row r="2182">
          <cell r="A2182" t="str">
            <v>2/20/2004 0:00</v>
          </cell>
          <cell r="E2182">
            <v>2475.27</v>
          </cell>
        </row>
        <row r="2183">
          <cell r="A2183" t="str">
            <v>4/2/2004 0:00</v>
          </cell>
          <cell r="E2183">
            <v>4177.49</v>
          </cell>
        </row>
        <row r="2184">
          <cell r="A2184" t="str">
            <v>5/11/2004 0:00</v>
          </cell>
          <cell r="E2184">
            <v>3282.28</v>
          </cell>
        </row>
        <row r="2185">
          <cell r="A2185" t="str">
            <v>6/28/2004 0:00</v>
          </cell>
          <cell r="E2185">
            <v>2477.21</v>
          </cell>
        </row>
        <row r="2186">
          <cell r="A2186" t="str">
            <v>7/23/2004 0:00</v>
          </cell>
          <cell r="E2186">
            <v>1883.93</v>
          </cell>
        </row>
        <row r="2187">
          <cell r="A2187" t="str">
            <v>8/27/2004 0:00</v>
          </cell>
          <cell r="E2187">
            <v>3658.93</v>
          </cell>
        </row>
        <row r="2188">
          <cell r="A2188" t="str">
            <v>9/16/2004 0:00</v>
          </cell>
          <cell r="E2188">
            <v>2856.88</v>
          </cell>
        </row>
        <row r="2189">
          <cell r="A2189" t="str">
            <v>10/15/2004 0:00</v>
          </cell>
          <cell r="E2189">
            <v>1917.84</v>
          </cell>
        </row>
        <row r="2190">
          <cell r="A2190" t="str">
            <v>11/2/2004 0:00</v>
          </cell>
          <cell r="E2190">
            <v>5305.36</v>
          </cell>
        </row>
        <row r="2191">
          <cell r="A2191" t="str">
            <v>11/15/2004 0:00</v>
          </cell>
          <cell r="E2191">
            <v>2875.95</v>
          </cell>
        </row>
        <row r="2192">
          <cell r="A2192" t="str">
            <v>11/24/2004 0:00</v>
          </cell>
          <cell r="E2192">
            <v>6482.85</v>
          </cell>
        </row>
        <row r="2193">
          <cell r="A2193" t="str">
            <v>12/4/2004 0:00</v>
          </cell>
          <cell r="E2193">
            <v>3733.82</v>
          </cell>
        </row>
        <row r="2194">
          <cell r="A2194" t="str">
            <v>1/6/2005 0:00</v>
          </cell>
          <cell r="E2194">
            <v>6576.5</v>
          </cell>
        </row>
        <row r="2195">
          <cell r="A2195" t="str">
            <v>2/3/2005 0:00</v>
          </cell>
          <cell r="E2195">
            <v>6353.27</v>
          </cell>
        </row>
        <row r="2196">
          <cell r="A2196" t="str">
            <v>3/2/2005 0:00</v>
          </cell>
          <cell r="E2196">
            <v>4175.6000000000004</v>
          </cell>
        </row>
        <row r="2197">
          <cell r="A2197" t="str">
            <v>4/3/2005 0:00</v>
          </cell>
          <cell r="E2197">
            <v>4992.6099999999997</v>
          </cell>
        </row>
        <row r="2198">
          <cell r="A2198" t="str">
            <v>5/10/2005 0:00</v>
          </cell>
          <cell r="E2198">
            <v>4764.6000000000004</v>
          </cell>
        </row>
        <row r="2199">
          <cell r="A2199" t="str">
            <v>3/3/2003 0:00</v>
          </cell>
          <cell r="E2199">
            <v>1173.1500000000001</v>
          </cell>
        </row>
        <row r="2200">
          <cell r="A2200" t="str">
            <v>5/8/2003 0:00</v>
          </cell>
          <cell r="E2200">
            <v>1384.46</v>
          </cell>
        </row>
        <row r="2201">
          <cell r="A2201" t="str">
            <v>7/2/2003 0:00</v>
          </cell>
          <cell r="E2201">
            <v>1327.59</v>
          </cell>
        </row>
        <row r="2202">
          <cell r="A2202" t="str">
            <v>8/25/2003 0:00</v>
          </cell>
          <cell r="E2202">
            <v>1109.8</v>
          </cell>
        </row>
        <row r="2203">
          <cell r="A2203" t="str">
            <v>10/10/2003 0:00</v>
          </cell>
          <cell r="E2203">
            <v>1239</v>
          </cell>
        </row>
        <row r="2204">
          <cell r="A2204" t="str">
            <v>11/4/2003 0:00</v>
          </cell>
          <cell r="E2204">
            <v>1035.58</v>
          </cell>
        </row>
        <row r="2205">
          <cell r="A2205" t="str">
            <v>11/11/2003 0:00</v>
          </cell>
          <cell r="E2205">
            <v>1545.64</v>
          </cell>
        </row>
        <row r="2206">
          <cell r="A2206" t="str">
            <v>11/19/2003 0:00</v>
          </cell>
          <cell r="E2206">
            <v>1517.54</v>
          </cell>
        </row>
        <row r="2207">
          <cell r="A2207" t="str">
            <v>1/15/2004 0:00</v>
          </cell>
          <cell r="E2207">
            <v>1731.84</v>
          </cell>
        </row>
        <row r="2208">
          <cell r="A2208" t="str">
            <v>2/21/2004 0:00</v>
          </cell>
          <cell r="E2208">
            <v>1695.49</v>
          </cell>
        </row>
        <row r="2209">
          <cell r="A2209" t="str">
            <v>4/5/2004 0:00</v>
          </cell>
          <cell r="E2209">
            <v>1045.98</v>
          </cell>
        </row>
        <row r="2210">
          <cell r="A2210" t="str">
            <v>5/26/2004 0:00</v>
          </cell>
          <cell r="E2210">
            <v>1738.08</v>
          </cell>
        </row>
        <row r="2211">
          <cell r="A2211" t="str">
            <v>6/30/2004 0:00</v>
          </cell>
          <cell r="E2211">
            <v>651.79999999999995</v>
          </cell>
        </row>
        <row r="2212">
          <cell r="A2212" t="str">
            <v>8/2/2004 0:00</v>
          </cell>
          <cell r="E2212">
            <v>988.47</v>
          </cell>
        </row>
        <row r="2213">
          <cell r="A2213" t="str">
            <v>8/27/2004 0:00</v>
          </cell>
          <cell r="E2213">
            <v>1518.11</v>
          </cell>
        </row>
        <row r="2214">
          <cell r="A2214" t="str">
            <v>9/30/2004 0:00</v>
          </cell>
          <cell r="E2214">
            <v>1013.76</v>
          </cell>
        </row>
        <row r="2215">
          <cell r="A2215" t="str">
            <v>10/16/2004 0:00</v>
          </cell>
          <cell r="E2215">
            <v>1549.8</v>
          </cell>
        </row>
        <row r="2216">
          <cell r="A2216" t="str">
            <v>11/3/2004 0:00</v>
          </cell>
          <cell r="E2216">
            <v>1108.3800000000001</v>
          </cell>
        </row>
        <row r="2217">
          <cell r="A2217" t="str">
            <v>11/17/2004 0:00</v>
          </cell>
          <cell r="E2217">
            <v>4102.5600000000004</v>
          </cell>
        </row>
        <row r="2218">
          <cell r="A2218" t="str">
            <v>11/24/2004 0:00</v>
          </cell>
          <cell r="E2218">
            <v>3713.16</v>
          </cell>
        </row>
        <row r="2219">
          <cell r="A2219" t="str">
            <v>12/7/2004 0:00</v>
          </cell>
          <cell r="E2219">
            <v>1513.54</v>
          </cell>
        </row>
        <row r="2220">
          <cell r="A2220" t="str">
            <v>1/6/2005 0:00</v>
          </cell>
          <cell r="E2220">
            <v>2317.44</v>
          </cell>
        </row>
        <row r="2221">
          <cell r="A2221" t="str">
            <v>2/10/2005 0:00</v>
          </cell>
          <cell r="E2221">
            <v>3298.4</v>
          </cell>
        </row>
        <row r="2222">
          <cell r="A2222" t="str">
            <v>3/4/2005 0:00</v>
          </cell>
          <cell r="E2222">
            <v>1826.96</v>
          </cell>
        </row>
        <row r="2223">
          <cell r="A2223" t="str">
            <v>4/8/2005 0:00</v>
          </cell>
          <cell r="E2223">
            <v>1206.9000000000001</v>
          </cell>
        </row>
        <row r="2224">
          <cell r="A2224" t="str">
            <v>1/31/2003 0:00</v>
          </cell>
          <cell r="E2224">
            <v>1666.7</v>
          </cell>
        </row>
        <row r="2225">
          <cell r="A2225" t="str">
            <v>4/1/2003 0:00</v>
          </cell>
          <cell r="E2225">
            <v>1560.44</v>
          </cell>
        </row>
        <row r="2226">
          <cell r="A2226" t="str">
            <v>6/3/2003 0:00</v>
          </cell>
          <cell r="E2226">
            <v>2337.75</v>
          </cell>
        </row>
        <row r="2227">
          <cell r="A2227" t="str">
            <v>8/1/2003 0:00</v>
          </cell>
          <cell r="E2227">
            <v>1103.76</v>
          </cell>
        </row>
        <row r="2228">
          <cell r="A2228" t="str">
            <v>9/21/2003 0:00</v>
          </cell>
          <cell r="E2228">
            <v>2617.85</v>
          </cell>
        </row>
        <row r="2229">
          <cell r="A2229" t="str">
            <v>10/22/2003 0:00</v>
          </cell>
          <cell r="E2229">
            <v>2207.52</v>
          </cell>
        </row>
        <row r="2230">
          <cell r="A2230" t="str">
            <v>11/6/2003 0:00</v>
          </cell>
          <cell r="E2230">
            <v>3165.5</v>
          </cell>
        </row>
        <row r="2231">
          <cell r="A2231" t="str">
            <v>11/14/2003 0:00</v>
          </cell>
          <cell r="E2231">
            <v>2071.41</v>
          </cell>
        </row>
        <row r="2232">
          <cell r="A2232" t="str">
            <v>11/25/2003 0:00</v>
          </cell>
          <cell r="E2232">
            <v>1385.28</v>
          </cell>
        </row>
        <row r="2233">
          <cell r="A2233" t="str">
            <v>12/9/2003 0:00</v>
          </cell>
          <cell r="E2233">
            <v>1621.62</v>
          </cell>
        </row>
        <row r="2234">
          <cell r="A2234" t="str">
            <v>2/10/2004 0:00</v>
          </cell>
          <cell r="E2234">
            <v>1931.65</v>
          </cell>
        </row>
        <row r="2235">
          <cell r="A2235" t="str">
            <v>3/11/2004 0:00</v>
          </cell>
          <cell r="E2235">
            <v>1244.53</v>
          </cell>
        </row>
        <row r="2236">
          <cell r="A2236" t="str">
            <v>5/5/2004 0:00</v>
          </cell>
          <cell r="E2236">
            <v>1704.5</v>
          </cell>
        </row>
        <row r="2237">
          <cell r="A2237" t="str">
            <v>6/15/2004 0:00</v>
          </cell>
          <cell r="E2237">
            <v>1753.2</v>
          </cell>
        </row>
        <row r="2238">
          <cell r="A2238" t="str">
            <v>7/20/2004 0:00</v>
          </cell>
          <cell r="E2238">
            <v>1666.7</v>
          </cell>
        </row>
        <row r="2239">
          <cell r="A2239" t="str">
            <v>8/19/2004 0:00</v>
          </cell>
          <cell r="E2239">
            <v>1710.89</v>
          </cell>
        </row>
        <row r="2240">
          <cell r="A2240" t="str">
            <v>9/8/2004 0:00</v>
          </cell>
          <cell r="E2240">
            <v>2326.5</v>
          </cell>
        </row>
        <row r="2241">
          <cell r="A2241" t="str">
            <v>10/13/2004 0:00</v>
          </cell>
          <cell r="E2241">
            <v>2316</v>
          </cell>
        </row>
        <row r="2242">
          <cell r="A2242" t="str">
            <v>10/22/2004 0:00</v>
          </cell>
          <cell r="E2242">
            <v>1727.1</v>
          </cell>
        </row>
        <row r="2243">
          <cell r="A2243" t="str">
            <v>11/5/2004 0:00</v>
          </cell>
          <cell r="E2243">
            <v>8844.1200000000008</v>
          </cell>
        </row>
        <row r="2244">
          <cell r="A2244" t="str">
            <v>11/19/2004 0:00</v>
          </cell>
          <cell r="E2244">
            <v>2424</v>
          </cell>
        </row>
        <row r="2245">
          <cell r="A2245" t="str">
            <v>12/1/2004 0:00</v>
          </cell>
          <cell r="E2245">
            <v>1535.49</v>
          </cell>
        </row>
        <row r="2246">
          <cell r="A2246" t="str">
            <v>12/15/2004 0:00</v>
          </cell>
          <cell r="E2246">
            <v>6358.68</v>
          </cell>
        </row>
        <row r="2247">
          <cell r="A2247" t="str">
            <v>1/23/2005 0:00</v>
          </cell>
          <cell r="E2247">
            <v>1329.4</v>
          </cell>
        </row>
        <row r="2248">
          <cell r="A2248" t="str">
            <v>2/22/2005 0:00</v>
          </cell>
          <cell r="E2248">
            <v>1701.76</v>
          </cell>
        </row>
        <row r="2249">
          <cell r="A2249" t="str">
            <v>3/15/2005 0:00</v>
          </cell>
          <cell r="E2249">
            <v>2259.7199999999998</v>
          </cell>
        </row>
        <row r="2250">
          <cell r="A2250" t="str">
            <v>5/3/2005 0:00</v>
          </cell>
          <cell r="E2250">
            <v>925.3</v>
          </cell>
        </row>
        <row r="2251">
          <cell r="A2251" t="str">
            <v>5/31/2005 0:00</v>
          </cell>
          <cell r="E2251">
            <v>482.13</v>
          </cell>
        </row>
        <row r="2252">
          <cell r="A2252" t="str">
            <v>1/31/2003 0:00</v>
          </cell>
          <cell r="E2252">
            <v>3227.63</v>
          </cell>
        </row>
        <row r="2253">
          <cell r="A2253" t="str">
            <v>4/11/2003 0:00</v>
          </cell>
          <cell r="E2253">
            <v>1711.26</v>
          </cell>
        </row>
        <row r="2254">
          <cell r="A2254" t="str">
            <v>6/3/2003 0:00</v>
          </cell>
          <cell r="E2254">
            <v>2054.36</v>
          </cell>
        </row>
        <row r="2255">
          <cell r="A2255" t="str">
            <v>8/8/2003 0:00</v>
          </cell>
          <cell r="E2255">
            <v>3131.94</v>
          </cell>
        </row>
        <row r="2256">
          <cell r="A2256" t="str">
            <v>9/25/2003 0:00</v>
          </cell>
          <cell r="E2256">
            <v>1681.35</v>
          </cell>
        </row>
        <row r="2257">
          <cell r="A2257" t="str">
            <v>10/22/2003 0:00</v>
          </cell>
          <cell r="E2257">
            <v>2351.36</v>
          </cell>
        </row>
        <row r="2258">
          <cell r="A2258" t="str">
            <v>11/6/2003 0:00</v>
          </cell>
          <cell r="E2258">
            <v>1408</v>
          </cell>
        </row>
        <row r="2259">
          <cell r="A2259" t="str">
            <v>11/14/2003 0:00</v>
          </cell>
          <cell r="E2259">
            <v>2445.6</v>
          </cell>
        </row>
        <row r="2260">
          <cell r="A2260" t="str">
            <v>11/25/2003 0:00</v>
          </cell>
          <cell r="E2260">
            <v>1804.44</v>
          </cell>
        </row>
        <row r="2261">
          <cell r="A2261" t="str">
            <v>12/9/2003 0:00</v>
          </cell>
          <cell r="E2261">
            <v>2544.75</v>
          </cell>
        </row>
        <row r="2262">
          <cell r="A2262" t="str">
            <v>2/12/2004 0:00</v>
          </cell>
          <cell r="E2262">
            <v>1056.4000000000001</v>
          </cell>
        </row>
        <row r="2263">
          <cell r="A2263" t="str">
            <v>3/15/2004 0:00</v>
          </cell>
          <cell r="E2263">
            <v>2801.4</v>
          </cell>
        </row>
        <row r="2264">
          <cell r="A2264" t="str">
            <v>5/5/2004 0:00</v>
          </cell>
          <cell r="E2264">
            <v>1988.4</v>
          </cell>
        </row>
        <row r="2265">
          <cell r="A2265" t="str">
            <v>7/20/2004 0:00</v>
          </cell>
          <cell r="E2265">
            <v>2908.35</v>
          </cell>
        </row>
        <row r="2266">
          <cell r="A2266" t="str">
            <v>8/20/2004 0:00</v>
          </cell>
          <cell r="E2266">
            <v>2147.4</v>
          </cell>
        </row>
        <row r="2267">
          <cell r="A2267" t="str">
            <v>9/8/2004 0:00</v>
          </cell>
          <cell r="E2267">
            <v>2099.63</v>
          </cell>
        </row>
        <row r="2268">
          <cell r="A2268" t="str">
            <v>10/14/2004 0:00</v>
          </cell>
          <cell r="E2268">
            <v>2315.1799999999998</v>
          </cell>
        </row>
        <row r="2269">
          <cell r="A2269" t="str">
            <v>10/22/2004 0:00</v>
          </cell>
          <cell r="E2269">
            <v>2327.15</v>
          </cell>
        </row>
        <row r="2270">
          <cell r="A2270" t="str">
            <v>11/5/2004 0:00</v>
          </cell>
          <cell r="E2270">
            <v>5377.4</v>
          </cell>
        </row>
        <row r="2271">
          <cell r="A2271" t="str">
            <v>11/20/2004 0:00</v>
          </cell>
          <cell r="E2271">
            <v>2626.01</v>
          </cell>
        </row>
        <row r="2272">
          <cell r="A2272" t="str">
            <v>12/2/2004 0:00</v>
          </cell>
          <cell r="E2272">
            <v>4406.3999999999996</v>
          </cell>
        </row>
        <row r="2273">
          <cell r="A2273" t="str">
            <v>12/15/2004 0:00</v>
          </cell>
          <cell r="E2273">
            <v>4301.22</v>
          </cell>
        </row>
        <row r="2274">
          <cell r="A2274" t="str">
            <v>1/23/2005 0:00</v>
          </cell>
          <cell r="E2274">
            <v>2986.5</v>
          </cell>
        </row>
        <row r="2275">
          <cell r="A2275" t="str">
            <v>2/22/2005 0:00</v>
          </cell>
          <cell r="E2275">
            <v>1587.08</v>
          </cell>
        </row>
        <row r="2276">
          <cell r="A2276" t="str">
            <v>3/15/2005 0:00</v>
          </cell>
          <cell r="E2276">
            <v>1808.4</v>
          </cell>
        </row>
        <row r="2277">
          <cell r="A2277" t="str">
            <v>5/5/2005 0:00</v>
          </cell>
          <cell r="E2277">
            <v>1193.04</v>
          </cell>
        </row>
        <row r="2278">
          <cell r="A2278" t="str">
            <v>1/29/2003 0:00</v>
          </cell>
          <cell r="E2278">
            <v>3403.35</v>
          </cell>
        </row>
        <row r="2279">
          <cell r="A2279" t="str">
            <v>3/26/2003 0:00</v>
          </cell>
          <cell r="E2279">
            <v>1575.96</v>
          </cell>
        </row>
        <row r="2280">
          <cell r="A2280" t="str">
            <v>5/28/2003 0:00</v>
          </cell>
          <cell r="E2280">
            <v>1630.2</v>
          </cell>
        </row>
        <row r="2281">
          <cell r="A2281" t="str">
            <v>7/24/2003 0:00</v>
          </cell>
          <cell r="E2281">
            <v>1701.28</v>
          </cell>
        </row>
        <row r="2282">
          <cell r="A2282" t="str">
            <v>9/19/2003 0:00</v>
          </cell>
          <cell r="E2282">
            <v>2850.82</v>
          </cell>
        </row>
        <row r="2283">
          <cell r="A2283" t="str">
            <v>10/21/2003 0:00</v>
          </cell>
          <cell r="E2283">
            <v>2692.06</v>
          </cell>
        </row>
        <row r="2284">
          <cell r="A2284" t="str">
            <v>11/6/2003 0:00</v>
          </cell>
          <cell r="E2284">
            <v>2174.42</v>
          </cell>
        </row>
        <row r="2285">
          <cell r="A2285" t="str">
            <v>11/13/2003 0:00</v>
          </cell>
          <cell r="E2285">
            <v>3167.36</v>
          </cell>
        </row>
        <row r="2286">
          <cell r="A2286" t="str">
            <v>11/25/2003 0:00</v>
          </cell>
          <cell r="E2286">
            <v>2142.66</v>
          </cell>
        </row>
        <row r="2287">
          <cell r="A2287" t="str">
            <v>12/5/2003 0:00</v>
          </cell>
          <cell r="E2287">
            <v>2117.52</v>
          </cell>
        </row>
        <row r="2288">
          <cell r="A2288" t="str">
            <v>2/4/2004 0:00</v>
          </cell>
          <cell r="E2288">
            <v>2419.9499999999998</v>
          </cell>
        </row>
        <row r="2289">
          <cell r="A2289" t="str">
            <v>3/11/2004 0:00</v>
          </cell>
          <cell r="E2289">
            <v>2191.1999999999998</v>
          </cell>
        </row>
        <row r="2290">
          <cell r="A2290" t="str">
            <v>5/4/2004 0:00</v>
          </cell>
          <cell r="E2290">
            <v>3043.04</v>
          </cell>
        </row>
        <row r="2291">
          <cell r="A2291" t="str">
            <v>6/15/2004 0:00</v>
          </cell>
          <cell r="E2291">
            <v>1228.2</v>
          </cell>
        </row>
        <row r="2292">
          <cell r="A2292" t="str">
            <v>7/19/2004 0:00</v>
          </cell>
          <cell r="E2292">
            <v>1330.35</v>
          </cell>
        </row>
        <row r="2293">
          <cell r="A2293" t="str">
            <v>8/19/2004 0:00</v>
          </cell>
          <cell r="E2293">
            <v>2792.52</v>
          </cell>
        </row>
        <row r="2294">
          <cell r="A2294" t="str">
            <v>9/8/2004 0:00</v>
          </cell>
          <cell r="E2294">
            <v>2296</v>
          </cell>
        </row>
        <row r="2295">
          <cell r="A2295" t="str">
            <v>10/11/2004 0:00</v>
          </cell>
          <cell r="E2295">
            <v>2629.44</v>
          </cell>
        </row>
        <row r="2296">
          <cell r="A2296" t="str">
            <v>10/22/2004 0:00</v>
          </cell>
          <cell r="E2296">
            <v>1912.16</v>
          </cell>
        </row>
        <row r="2297">
          <cell r="A2297" t="str">
            <v>11/5/2004 0:00</v>
          </cell>
          <cell r="E2297">
            <v>8209.44</v>
          </cell>
        </row>
        <row r="2298">
          <cell r="A2298" t="str">
            <v>11/18/2004 0:00</v>
          </cell>
          <cell r="E2298">
            <v>2431.77</v>
          </cell>
        </row>
        <row r="2299">
          <cell r="A2299" t="str">
            <v>11/1/2004 0:00</v>
          </cell>
          <cell r="E2299">
            <v>3139.99</v>
          </cell>
        </row>
        <row r="2300">
          <cell r="A2300" t="str">
            <v>12/10/2004 0:00</v>
          </cell>
          <cell r="E2300">
            <v>5669.64</v>
          </cell>
        </row>
        <row r="2301">
          <cell r="A2301" t="str">
            <v>1/20/2005 0:00</v>
          </cell>
          <cell r="E2301">
            <v>3160.25</v>
          </cell>
        </row>
        <row r="2302">
          <cell r="A2302" t="str">
            <v>2/17/2005 0:00</v>
          </cell>
          <cell r="E2302">
            <v>6799.68</v>
          </cell>
        </row>
        <row r="2303">
          <cell r="A2303" t="str">
            <v>5/1/2005 0:00</v>
          </cell>
          <cell r="E2303">
            <v>1867.32</v>
          </cell>
        </row>
        <row r="2304">
          <cell r="A2304" t="str">
            <v>5/31/2005 0:00</v>
          </cell>
          <cell r="E2304">
            <v>2702.04</v>
          </cell>
        </row>
        <row r="2305">
          <cell r="A2305" t="str">
            <v>2/17/2003 0:00</v>
          </cell>
          <cell r="E2305">
            <v>2406.36</v>
          </cell>
        </row>
        <row r="2306">
          <cell r="A2306" t="str">
            <v>4/29/2003 0:00</v>
          </cell>
          <cell r="E2306">
            <v>2094.67</v>
          </cell>
        </row>
        <row r="2307">
          <cell r="A2307" t="str">
            <v>6/27/2003 0:00</v>
          </cell>
          <cell r="E2307">
            <v>2797.9</v>
          </cell>
        </row>
        <row r="2308">
          <cell r="A2308" t="str">
            <v>8/13/2003 0:00</v>
          </cell>
          <cell r="E2308">
            <v>1637.2</v>
          </cell>
        </row>
        <row r="2309">
          <cell r="A2309" t="str">
            <v>10/28/2003 0:00</v>
          </cell>
          <cell r="E2309">
            <v>2281.91</v>
          </cell>
        </row>
        <row r="2310">
          <cell r="A2310" t="str">
            <v>1/12/2004 0:00</v>
          </cell>
          <cell r="E2310">
            <v>2307.2399999999998</v>
          </cell>
        </row>
        <row r="2311">
          <cell r="A2311" t="str">
            <v>2/20/2004 0:00</v>
          </cell>
          <cell r="E2311">
            <v>1320.8</v>
          </cell>
        </row>
        <row r="2312">
          <cell r="A2312" t="str">
            <v>4/2/2004 0:00</v>
          </cell>
          <cell r="E2312">
            <v>2642.82</v>
          </cell>
        </row>
        <row r="2313">
          <cell r="A2313" t="str">
            <v>5/11/2004 0:00</v>
          </cell>
          <cell r="E2313">
            <v>3061</v>
          </cell>
        </row>
        <row r="2314">
          <cell r="A2314" t="str">
            <v>6/24/2004 0:00</v>
          </cell>
          <cell r="E2314">
            <v>3164.4</v>
          </cell>
        </row>
        <row r="2315">
          <cell r="A2315" t="str">
            <v>7/23/2004 0:00</v>
          </cell>
          <cell r="E2315">
            <v>1791.16</v>
          </cell>
        </row>
        <row r="2316">
          <cell r="A2316" t="str">
            <v>8/21/2004 0:00</v>
          </cell>
          <cell r="E2316">
            <v>4093</v>
          </cell>
        </row>
        <row r="2317">
          <cell r="A2317" t="str">
            <v>9/16/2004 0:00</v>
          </cell>
          <cell r="E2317">
            <v>2234.4</v>
          </cell>
        </row>
        <row r="2318">
          <cell r="A2318" t="str">
            <v>10/15/2004 0:00</v>
          </cell>
          <cell r="E2318">
            <v>3037.84</v>
          </cell>
        </row>
        <row r="2319">
          <cell r="A2319" t="str">
            <v>11/1/2004 0:00</v>
          </cell>
          <cell r="E2319">
            <v>1419.84</v>
          </cell>
        </row>
        <row r="2320">
          <cell r="A2320" t="str">
            <v>11/12/2004 0:00</v>
          </cell>
          <cell r="E2320">
            <v>1948.08</v>
          </cell>
        </row>
        <row r="2321">
          <cell r="A2321" t="str">
            <v>11/24/2004 0:00</v>
          </cell>
          <cell r="E2321">
            <v>2307.2399999999998</v>
          </cell>
        </row>
        <row r="2322">
          <cell r="A2322" t="str">
            <v>12/4/2004 0:00</v>
          </cell>
          <cell r="E2322">
            <v>1780.4</v>
          </cell>
        </row>
        <row r="2323">
          <cell r="A2323" t="str">
            <v>12/17/2004 0:00</v>
          </cell>
          <cell r="E2323">
            <v>3544.17</v>
          </cell>
        </row>
        <row r="2324">
          <cell r="A2324" t="str">
            <v>2/3/2005 0:00</v>
          </cell>
          <cell r="E2324">
            <v>3619.44</v>
          </cell>
        </row>
        <row r="2325">
          <cell r="A2325" t="str">
            <v>3/3/2005 0:00</v>
          </cell>
          <cell r="E2325">
            <v>3918.95</v>
          </cell>
        </row>
        <row r="2326">
          <cell r="A2326" t="str">
            <v>3/30/2005 0:00</v>
          </cell>
          <cell r="E2326">
            <v>1483.02</v>
          </cell>
        </row>
        <row r="2327">
          <cell r="A2327" t="str">
            <v>4/3/2005 0:00</v>
          </cell>
          <cell r="E2327">
            <v>4819.26</v>
          </cell>
        </row>
        <row r="2328">
          <cell r="A2328" t="str">
            <v>5/10/2005 0:00</v>
          </cell>
          <cell r="E2328">
            <v>1591.72</v>
          </cell>
        </row>
        <row r="2329">
          <cell r="A2329" t="str">
            <v>3/3/2003 0:00</v>
          </cell>
          <cell r="E2329">
            <v>3669.78</v>
          </cell>
        </row>
        <row r="2330">
          <cell r="A2330" t="str">
            <v>5/7/2003 0:00</v>
          </cell>
          <cell r="E2330">
            <v>2168.5</v>
          </cell>
        </row>
        <row r="2331">
          <cell r="A2331" t="str">
            <v>7/2/2003 0:00</v>
          </cell>
          <cell r="E2331">
            <v>2694</v>
          </cell>
        </row>
        <row r="2332">
          <cell r="A2332" t="str">
            <v>8/25/2003 0:00</v>
          </cell>
          <cell r="E2332">
            <v>3251.34</v>
          </cell>
        </row>
        <row r="2333">
          <cell r="A2333" t="str">
            <v>10/10/2003 0:00</v>
          </cell>
          <cell r="E2333">
            <v>2347.15</v>
          </cell>
        </row>
        <row r="2334">
          <cell r="A2334" t="str">
            <v>11/4/2003 0:00</v>
          </cell>
          <cell r="E2334">
            <v>3920.88</v>
          </cell>
        </row>
        <row r="2335">
          <cell r="A2335" t="str">
            <v>11/11/2003 0:00</v>
          </cell>
          <cell r="E2335">
            <v>2514.6</v>
          </cell>
        </row>
        <row r="2336">
          <cell r="A2336" t="str">
            <v>11/19/2003 0:00</v>
          </cell>
          <cell r="E2336">
            <v>3600.24</v>
          </cell>
        </row>
        <row r="2337">
          <cell r="A2337" t="str">
            <v>1/15/2004 0:00</v>
          </cell>
          <cell r="E2337">
            <v>4040.03</v>
          </cell>
        </row>
        <row r="2338">
          <cell r="A2338" t="str">
            <v>2/21/2004 0:00</v>
          </cell>
          <cell r="E2338">
            <v>3336.9</v>
          </cell>
        </row>
        <row r="2339">
          <cell r="A2339" t="str">
            <v>4/5/2004 0:00</v>
          </cell>
          <cell r="E2339">
            <v>3113.64</v>
          </cell>
        </row>
        <row r="2340">
          <cell r="A2340" t="str">
            <v>5/26/2004 0:00</v>
          </cell>
          <cell r="E2340">
            <v>2832</v>
          </cell>
        </row>
        <row r="2341">
          <cell r="A2341" t="str">
            <v>6/30/2004 0:00</v>
          </cell>
          <cell r="E2341">
            <v>3330.98</v>
          </cell>
        </row>
        <row r="2342">
          <cell r="A2342" t="str">
            <v>8/2/2004 0:00</v>
          </cell>
          <cell r="E2342">
            <v>4304.6400000000003</v>
          </cell>
        </row>
        <row r="2343">
          <cell r="A2343" t="str">
            <v>8/27/2004 0:00</v>
          </cell>
          <cell r="E2343">
            <v>2600.2600000000002</v>
          </cell>
        </row>
        <row r="2344">
          <cell r="A2344" t="str">
            <v>9/30/2004 0:00</v>
          </cell>
          <cell r="E2344">
            <v>4382.16</v>
          </cell>
        </row>
        <row r="2345">
          <cell r="A2345" t="str">
            <v>10/15/2004 0:00</v>
          </cell>
          <cell r="E2345">
            <v>4235</v>
          </cell>
        </row>
        <row r="2346">
          <cell r="A2346" t="str">
            <v>11/3/2004 0:00</v>
          </cell>
          <cell r="E2346">
            <v>2626.8</v>
          </cell>
        </row>
        <row r="2347">
          <cell r="A2347" t="str">
            <v>11/17/2004 0:00</v>
          </cell>
          <cell r="E2347">
            <v>5026.5600000000004</v>
          </cell>
        </row>
        <row r="2348">
          <cell r="A2348" t="str">
            <v>11/24/2004 0:00</v>
          </cell>
          <cell r="E2348">
            <v>2201.62</v>
          </cell>
        </row>
        <row r="2349">
          <cell r="A2349" t="str">
            <v>12/7/2004 0:00</v>
          </cell>
          <cell r="E2349">
            <v>4326.8</v>
          </cell>
        </row>
        <row r="2350">
          <cell r="A2350" t="str">
            <v>1/7/2005 0:00</v>
          </cell>
          <cell r="E2350">
            <v>3425.18</v>
          </cell>
        </row>
        <row r="2351">
          <cell r="A2351" t="str">
            <v>2/3/2005 0:00</v>
          </cell>
          <cell r="E2351">
            <v>4701.88</v>
          </cell>
        </row>
        <row r="2352">
          <cell r="A2352" t="str">
            <v>3/4/2005 0:00</v>
          </cell>
          <cell r="E2352">
            <v>2204.1</v>
          </cell>
        </row>
        <row r="2353">
          <cell r="A2353" t="str">
            <v>4/8/2005 0:00</v>
          </cell>
          <cell r="E2353">
            <v>5189.3999999999996</v>
          </cell>
        </row>
        <row r="2354">
          <cell r="A2354" t="str">
            <v>2/17/2003 0:00</v>
          </cell>
          <cell r="E2354">
            <v>1565.85</v>
          </cell>
        </row>
        <row r="2355">
          <cell r="A2355" t="str">
            <v>4/29/2003 0:00</v>
          </cell>
          <cell r="E2355">
            <v>2480.38</v>
          </cell>
        </row>
        <row r="2356">
          <cell r="A2356" t="str">
            <v>6/27/2003 0:00</v>
          </cell>
          <cell r="E2356">
            <v>1355.13</v>
          </cell>
        </row>
        <row r="2357">
          <cell r="A2357" t="str">
            <v>8/10/2003 0:00</v>
          </cell>
          <cell r="E2357">
            <v>1246.44</v>
          </cell>
        </row>
        <row r="2358">
          <cell r="A2358" t="str">
            <v>10/8/2003 0:00</v>
          </cell>
          <cell r="E2358">
            <v>820.4</v>
          </cell>
        </row>
        <row r="2359">
          <cell r="A2359" t="str">
            <v>10/28/2003 0:00</v>
          </cell>
          <cell r="E2359">
            <v>2492.64</v>
          </cell>
        </row>
        <row r="2360">
          <cell r="A2360" t="str">
            <v>12/1/2003 0:00</v>
          </cell>
          <cell r="E2360">
            <v>1113.5999999999999</v>
          </cell>
        </row>
        <row r="2361">
          <cell r="A2361" t="str">
            <v>1/12/2004 0:00</v>
          </cell>
          <cell r="E2361">
            <v>1763.86</v>
          </cell>
        </row>
        <row r="2362">
          <cell r="A2362" t="str">
            <v>2/20/2004 0:00</v>
          </cell>
          <cell r="E2362">
            <v>1896.66</v>
          </cell>
        </row>
        <row r="2363">
          <cell r="A2363" t="str">
            <v>4/2/2004 0:00</v>
          </cell>
          <cell r="E2363">
            <v>1449.35</v>
          </cell>
        </row>
        <row r="2364">
          <cell r="A2364" t="str">
            <v>5/11/2004 0:00</v>
          </cell>
          <cell r="E2364">
            <v>1869.48</v>
          </cell>
        </row>
        <row r="2365">
          <cell r="A2365" t="str">
            <v>6/24/2004 0:00</v>
          </cell>
          <cell r="E2365">
            <v>1860.53</v>
          </cell>
        </row>
        <row r="2366">
          <cell r="A2366" t="str">
            <v>7/23/2004 0:00</v>
          </cell>
          <cell r="E2366">
            <v>1724.82</v>
          </cell>
        </row>
        <row r="2367">
          <cell r="A2367" t="str">
            <v>8/21/2004 0:00</v>
          </cell>
          <cell r="E2367">
            <v>1713.69</v>
          </cell>
        </row>
        <row r="2368">
          <cell r="A2368" t="str">
            <v>9/15/2004 0:00</v>
          </cell>
          <cell r="E2368">
            <v>1259.44</v>
          </cell>
        </row>
        <row r="2369">
          <cell r="A2369" t="str">
            <v>10/15/2004 0:00</v>
          </cell>
          <cell r="E2369">
            <v>2051.08</v>
          </cell>
        </row>
        <row r="2370">
          <cell r="A2370" t="str">
            <v>11/1/2004 0:00</v>
          </cell>
          <cell r="E2370">
            <v>1617.38</v>
          </cell>
        </row>
        <row r="2371">
          <cell r="A2371" t="str">
            <v>11/12/2004 0:00</v>
          </cell>
          <cell r="E2371">
            <v>1765.62</v>
          </cell>
        </row>
        <row r="2372">
          <cell r="A2372" t="str">
            <v>11/24/2004 0:00</v>
          </cell>
          <cell r="E2372">
            <v>2024.8</v>
          </cell>
        </row>
        <row r="2373">
          <cell r="A2373" t="str">
            <v>12/4/2004 0:00</v>
          </cell>
          <cell r="E2373">
            <v>3288.4</v>
          </cell>
        </row>
        <row r="2374">
          <cell r="A2374" t="str">
            <v>12/17/2004 0:00</v>
          </cell>
          <cell r="E2374">
            <v>2725.47</v>
          </cell>
        </row>
        <row r="2375">
          <cell r="A2375" t="str">
            <v>2/3/2005 0:00</v>
          </cell>
          <cell r="E2375">
            <v>3224.2</v>
          </cell>
        </row>
        <row r="2376">
          <cell r="A2376" t="str">
            <v>3/3/2005 0:00</v>
          </cell>
          <cell r="E2376">
            <v>3211.38</v>
          </cell>
        </row>
        <row r="2377">
          <cell r="A2377" t="str">
            <v>3/30/2005 0:00</v>
          </cell>
          <cell r="E2377">
            <v>1796.34</v>
          </cell>
        </row>
        <row r="2378">
          <cell r="A2378" t="str">
            <v>4/3/2005 0:00</v>
          </cell>
          <cell r="E2378">
            <v>1979.6</v>
          </cell>
        </row>
        <row r="2379">
          <cell r="A2379" t="str">
            <v>5/10/2005 0:00</v>
          </cell>
          <cell r="E2379">
            <v>1921.41</v>
          </cell>
        </row>
        <row r="2380">
          <cell r="A2380" t="str">
            <v>1/31/2003 0:00</v>
          </cell>
          <cell r="E2380">
            <v>3705.24</v>
          </cell>
        </row>
        <row r="2381">
          <cell r="A2381" t="str">
            <v>4/4/2003 0:00</v>
          </cell>
          <cell r="E2381">
            <v>2843.91</v>
          </cell>
        </row>
        <row r="2382">
          <cell r="A2382" t="str">
            <v>6/3/2003 0:00</v>
          </cell>
          <cell r="E2382">
            <v>6176.42</v>
          </cell>
        </row>
        <row r="2383">
          <cell r="A2383" t="str">
            <v>8/1/2003 0:00</v>
          </cell>
          <cell r="E2383">
            <v>5500.44</v>
          </cell>
        </row>
        <row r="2384">
          <cell r="A2384" t="str">
            <v>9/21/2003 0:00</v>
          </cell>
          <cell r="E2384">
            <v>3220.1</v>
          </cell>
        </row>
        <row r="2385">
          <cell r="A2385" t="str">
            <v>10/22/2003 0:00</v>
          </cell>
          <cell r="E2385">
            <v>4556.16</v>
          </cell>
        </row>
        <row r="2386">
          <cell r="A2386" t="str">
            <v>11/6/2003 0:00</v>
          </cell>
          <cell r="E2386">
            <v>3114.89</v>
          </cell>
        </row>
        <row r="2387">
          <cell r="A2387" t="str">
            <v>11/14/2003 0:00</v>
          </cell>
          <cell r="E2387">
            <v>4948.2</v>
          </cell>
        </row>
        <row r="2388">
          <cell r="A2388" t="str">
            <v>11/25/2003 0:00</v>
          </cell>
          <cell r="E2388">
            <v>5161.17</v>
          </cell>
        </row>
        <row r="2389">
          <cell r="A2389" t="str">
            <v>12/9/2003 0:00</v>
          </cell>
          <cell r="E2389">
            <v>2657.76</v>
          </cell>
        </row>
        <row r="2390">
          <cell r="A2390" t="str">
            <v>2/12/2004 0:00</v>
          </cell>
          <cell r="E2390">
            <v>3983.05</v>
          </cell>
        </row>
        <row r="2391">
          <cell r="A2391" t="str">
            <v>3/15/2004 0:00</v>
          </cell>
          <cell r="E2391">
            <v>3974.94</v>
          </cell>
        </row>
        <row r="2392">
          <cell r="A2392" t="str">
            <v>5/5/2004 0:00</v>
          </cell>
          <cell r="E2392">
            <v>2928.42</v>
          </cell>
        </row>
        <row r="2393">
          <cell r="A2393" t="str">
            <v>6/15/2004 0:00</v>
          </cell>
          <cell r="E2393">
            <v>3054.57</v>
          </cell>
        </row>
        <row r="2394">
          <cell r="A2394" t="str">
            <v>7/20/2004 0:00</v>
          </cell>
          <cell r="E2394">
            <v>3345.26</v>
          </cell>
        </row>
        <row r="2395">
          <cell r="A2395" t="str">
            <v>8/20/2004 0:00</v>
          </cell>
          <cell r="E2395">
            <v>4310.72</v>
          </cell>
        </row>
        <row r="2396">
          <cell r="A2396" t="str">
            <v>9/8/2004 0:00</v>
          </cell>
          <cell r="E2396">
            <v>4983.1400000000003</v>
          </cell>
        </row>
        <row r="2397">
          <cell r="A2397" t="str">
            <v>10/13/2004 0:00</v>
          </cell>
          <cell r="E2397">
            <v>4618.32</v>
          </cell>
        </row>
        <row r="2398">
          <cell r="A2398" t="str">
            <v>10/22/2004 0:00</v>
          </cell>
          <cell r="E2398">
            <v>3403.12</v>
          </cell>
        </row>
        <row r="2399">
          <cell r="A2399" t="str">
            <v>11/5/2004 0:00</v>
          </cell>
          <cell r="E2399">
            <v>5190.42</v>
          </cell>
        </row>
        <row r="2400">
          <cell r="A2400" t="str">
            <v>11/20/2004 0:00</v>
          </cell>
          <cell r="E2400">
            <v>3141.57</v>
          </cell>
        </row>
        <row r="2401">
          <cell r="A2401" t="str">
            <v>12/2/2004 0:00</v>
          </cell>
          <cell r="E2401">
            <v>2213.4</v>
          </cell>
        </row>
        <row r="2402">
          <cell r="A2402" t="str">
            <v>12/15/2004 0:00</v>
          </cell>
          <cell r="E2402">
            <v>4896.7</v>
          </cell>
        </row>
        <row r="2403">
          <cell r="A2403" t="str">
            <v>1/23/2005 0:00</v>
          </cell>
          <cell r="E2403">
            <v>2714.4</v>
          </cell>
        </row>
        <row r="2404">
          <cell r="A2404" t="str">
            <v>2/22/2005 0:00</v>
          </cell>
          <cell r="E2404">
            <v>3087.05</v>
          </cell>
        </row>
        <row r="2405">
          <cell r="A2405" t="str">
            <v>3/17/2005 0:00</v>
          </cell>
          <cell r="E2405">
            <v>5692.96</v>
          </cell>
        </row>
        <row r="2406">
          <cell r="A2406" t="str">
            <v>5/3/2005 0:00</v>
          </cell>
          <cell r="E2406">
            <v>3460.86</v>
          </cell>
        </row>
        <row r="2407">
          <cell r="A2407" t="str">
            <v>5/31/2005 0:00</v>
          </cell>
          <cell r="E2407">
            <v>1895.94</v>
          </cell>
        </row>
        <row r="2408">
          <cell r="A2408" t="str">
            <v>1/31/2003 0:00</v>
          </cell>
          <cell r="E2408">
            <v>1705.92</v>
          </cell>
        </row>
        <row r="2409">
          <cell r="A2409" t="str">
            <v>4/16/2003 0:00</v>
          </cell>
          <cell r="E2409">
            <v>1033.4100000000001</v>
          </cell>
        </row>
        <row r="2410">
          <cell r="A2410" t="str">
            <v>6/3/2003 0:00</v>
          </cell>
          <cell r="E2410">
            <v>3179.52</v>
          </cell>
        </row>
        <row r="2411">
          <cell r="A2411" t="str">
            <v>8/8/2003 0:00</v>
          </cell>
          <cell r="E2411">
            <v>2091.1799999999998</v>
          </cell>
        </row>
        <row r="2412">
          <cell r="A2412" t="str">
            <v>9/28/2003 0:00</v>
          </cell>
          <cell r="E2412">
            <v>1779.71</v>
          </cell>
        </row>
        <row r="2413">
          <cell r="A2413" t="str">
            <v>10/22/2003 0:00</v>
          </cell>
          <cell r="E2413">
            <v>2537.64</v>
          </cell>
        </row>
        <row r="2414">
          <cell r="A2414" t="str">
            <v>11/6/2003 0:00</v>
          </cell>
          <cell r="E2414">
            <v>2448.7199999999998</v>
          </cell>
        </row>
        <row r="2415">
          <cell r="A2415" t="str">
            <v>11/14/2003 0:00</v>
          </cell>
          <cell r="E2415">
            <v>972.4</v>
          </cell>
        </row>
        <row r="2416">
          <cell r="A2416" t="str">
            <v>11/26/2003 0:00</v>
          </cell>
          <cell r="E2416">
            <v>2856.14</v>
          </cell>
        </row>
        <row r="2417">
          <cell r="A2417" t="str">
            <v>1/2/2004 0:00</v>
          </cell>
          <cell r="E2417">
            <v>1968.3</v>
          </cell>
        </row>
        <row r="2418">
          <cell r="A2418" t="str">
            <v>2/12/2004 0:00</v>
          </cell>
          <cell r="E2418">
            <v>2056.1999999999998</v>
          </cell>
        </row>
        <row r="2419">
          <cell r="A2419" t="str">
            <v>3/15/2004 0:00</v>
          </cell>
          <cell r="E2419">
            <v>2242.02</v>
          </cell>
        </row>
        <row r="2420">
          <cell r="A2420" t="str">
            <v>5/5/2004 0:00</v>
          </cell>
          <cell r="E2420">
            <v>3128.65</v>
          </cell>
        </row>
        <row r="2421">
          <cell r="A2421" t="str">
            <v>7/20/2004 0:00</v>
          </cell>
          <cell r="E2421">
            <v>2443.2600000000002</v>
          </cell>
        </row>
        <row r="2422">
          <cell r="A2422" t="str">
            <v>8/20/2004 0:00</v>
          </cell>
          <cell r="E2422">
            <v>2470.86</v>
          </cell>
        </row>
        <row r="2423">
          <cell r="A2423" t="str">
            <v>9/8/2004 0:00</v>
          </cell>
          <cell r="E2423">
            <v>1927.45</v>
          </cell>
        </row>
        <row r="2424">
          <cell r="A2424" t="str">
            <v>10/14/2004 0:00</v>
          </cell>
          <cell r="E2424">
            <v>2051.56</v>
          </cell>
        </row>
        <row r="2425">
          <cell r="A2425" t="str">
            <v>10/22/2004 0:00</v>
          </cell>
          <cell r="E2425">
            <v>2337.38</v>
          </cell>
        </row>
        <row r="2426">
          <cell r="A2426" t="str">
            <v>11/5/2004 0:00</v>
          </cell>
          <cell r="E2426">
            <v>5932.96</v>
          </cell>
        </row>
        <row r="2427">
          <cell r="A2427" t="str">
            <v>11/21/2004 0:00</v>
          </cell>
          <cell r="E2427">
            <v>2296.77</v>
          </cell>
        </row>
        <row r="2428">
          <cell r="A2428" t="str">
            <v>12/2/2004 0:00</v>
          </cell>
          <cell r="E2428">
            <v>6490.88</v>
          </cell>
        </row>
        <row r="2429">
          <cell r="A2429" t="str">
            <v>12/15/2004 0:00</v>
          </cell>
          <cell r="E2429">
            <v>1623.25</v>
          </cell>
        </row>
        <row r="2430">
          <cell r="A2430" t="str">
            <v>1/26/2005 0:00</v>
          </cell>
          <cell r="E2430">
            <v>1405.92</v>
          </cell>
        </row>
        <row r="2431">
          <cell r="A2431" t="str">
            <v>2/22/2005 0:00</v>
          </cell>
          <cell r="E2431">
            <v>2282.2800000000002</v>
          </cell>
        </row>
        <row r="2432">
          <cell r="A2432" t="str">
            <v>3/17/2005 0:00</v>
          </cell>
          <cell r="E2432">
            <v>8977.0499999999993</v>
          </cell>
        </row>
        <row r="2433">
          <cell r="A2433" t="str">
            <v>5/5/2005 0:00</v>
          </cell>
          <cell r="E2433">
            <v>3256.35</v>
          </cell>
        </row>
        <row r="2434">
          <cell r="A2434" t="str">
            <v>3/3/2003 0:00</v>
          </cell>
          <cell r="E2434">
            <v>2821.66</v>
          </cell>
        </row>
        <row r="2435">
          <cell r="A2435" t="str">
            <v>5/7/2003 0:00</v>
          </cell>
          <cell r="E2435">
            <v>3293.4</v>
          </cell>
        </row>
        <row r="2436">
          <cell r="A2436" t="str">
            <v>7/2/2003 0:00</v>
          </cell>
          <cell r="E2436">
            <v>4224</v>
          </cell>
        </row>
        <row r="2437">
          <cell r="A2437" t="str">
            <v>8/25/2003 0:00</v>
          </cell>
          <cell r="E2437">
            <v>3091.68</v>
          </cell>
        </row>
        <row r="2438">
          <cell r="A2438" t="str">
            <v>10/10/2003 0:00</v>
          </cell>
          <cell r="E2438">
            <v>2219.6</v>
          </cell>
        </row>
        <row r="2439">
          <cell r="A2439" t="str">
            <v>11/4/2003 0:00</v>
          </cell>
          <cell r="E2439">
            <v>3866.4</v>
          </cell>
        </row>
        <row r="2440">
          <cell r="A2440" t="str">
            <v>11/11/2003 0:00</v>
          </cell>
          <cell r="E2440">
            <v>1964.76</v>
          </cell>
        </row>
        <row r="2441">
          <cell r="A2441" t="str">
            <v>11/19/2003 0:00</v>
          </cell>
          <cell r="E2441">
            <v>2668.8</v>
          </cell>
        </row>
        <row r="2442">
          <cell r="A2442" t="str">
            <v>1/15/2004 0:00</v>
          </cell>
          <cell r="E2442">
            <v>3222</v>
          </cell>
        </row>
        <row r="2443">
          <cell r="A2443" t="str">
            <v>2/21/2004 0:00</v>
          </cell>
          <cell r="E2443">
            <v>3864.5</v>
          </cell>
        </row>
        <row r="2444">
          <cell r="A2444" t="str">
            <v>4/5/2004 0:00</v>
          </cell>
          <cell r="E2444">
            <v>1366.8</v>
          </cell>
        </row>
        <row r="2445">
          <cell r="A2445" t="str">
            <v>5/26/2004 0:00</v>
          </cell>
          <cell r="E2445">
            <v>3475.68</v>
          </cell>
        </row>
        <row r="2446">
          <cell r="A2446" t="str">
            <v>6/30/2004 0:00</v>
          </cell>
          <cell r="E2446">
            <v>4206.5</v>
          </cell>
        </row>
        <row r="2447">
          <cell r="A2447" t="str">
            <v>8/2/2004 0:00</v>
          </cell>
          <cell r="E2447">
            <v>1486.38</v>
          </cell>
        </row>
        <row r="2448">
          <cell r="A2448" t="str">
            <v>8/27/2004 0:00</v>
          </cell>
          <cell r="E2448">
            <v>3077.88</v>
          </cell>
        </row>
        <row r="2449">
          <cell r="A2449" t="str">
            <v>9/30/2004 0:00</v>
          </cell>
          <cell r="E2449">
            <v>3544.2</v>
          </cell>
        </row>
        <row r="2450">
          <cell r="A2450" t="str">
            <v>10/15/2004 0:00</v>
          </cell>
          <cell r="E2450">
            <v>2483.04</v>
          </cell>
        </row>
        <row r="2451">
          <cell r="A2451" t="str">
            <v>11/3/2004 0:00</v>
          </cell>
          <cell r="E2451">
            <v>3478.05</v>
          </cell>
        </row>
        <row r="2452">
          <cell r="A2452" t="str">
            <v>11/17/2004 0:00</v>
          </cell>
          <cell r="E2452">
            <v>3657.8</v>
          </cell>
        </row>
        <row r="2453">
          <cell r="A2453" t="str">
            <v>11/24/2004 0:00</v>
          </cell>
          <cell r="E2453">
            <v>4682.3599999999997</v>
          </cell>
        </row>
        <row r="2454">
          <cell r="A2454" t="str">
            <v>12/9/2004 0:00</v>
          </cell>
          <cell r="E2454">
            <v>3937.7</v>
          </cell>
        </row>
        <row r="2455">
          <cell r="A2455" t="str">
            <v>1/7/2005 0:00</v>
          </cell>
          <cell r="E2455">
            <v>4984.32</v>
          </cell>
        </row>
        <row r="2456">
          <cell r="A2456" t="str">
            <v>2/3/2005 0:00</v>
          </cell>
          <cell r="E2456">
            <v>5406.66</v>
          </cell>
        </row>
        <row r="2457">
          <cell r="A2457" t="str">
            <v>3/4/2005 0:00</v>
          </cell>
          <cell r="E2457">
            <v>3491.18</v>
          </cell>
        </row>
        <row r="2458">
          <cell r="A2458" t="str">
            <v>4/8/2005 0:00</v>
          </cell>
          <cell r="E2458">
            <v>2118.54</v>
          </cell>
        </row>
        <row r="2459">
          <cell r="A2459" t="str">
            <v>2/11/2003 0:00</v>
          </cell>
          <cell r="E2459">
            <v>2897.47</v>
          </cell>
        </row>
        <row r="2460">
          <cell r="A2460" t="str">
            <v>4/28/2003 0:00</v>
          </cell>
          <cell r="E2460">
            <v>1916.75</v>
          </cell>
        </row>
        <row r="2461">
          <cell r="A2461" t="str">
            <v>6/12/2003 0:00</v>
          </cell>
          <cell r="E2461">
            <v>1860</v>
          </cell>
        </row>
        <row r="2462">
          <cell r="A2462" t="str">
            <v>8/8/2003 0:00</v>
          </cell>
          <cell r="E2462">
            <v>2624</v>
          </cell>
        </row>
        <row r="2463">
          <cell r="A2463" t="str">
            <v>9/28/2003 0:00</v>
          </cell>
          <cell r="E2463">
            <v>2780.81</v>
          </cell>
        </row>
        <row r="2464">
          <cell r="A2464" t="str">
            <v>10/23/2003 0:00</v>
          </cell>
          <cell r="E2464">
            <v>3239.62</v>
          </cell>
        </row>
        <row r="2465">
          <cell r="A2465" t="str">
            <v>11/7/2003 0:00</v>
          </cell>
          <cell r="E2465">
            <v>1824</v>
          </cell>
        </row>
        <row r="2466">
          <cell r="A2466" t="str">
            <v>11/14/2003 0:00</v>
          </cell>
          <cell r="E2466">
            <v>1134</v>
          </cell>
        </row>
        <row r="2467">
          <cell r="A2467" t="str">
            <v>11/26/2003 0:00</v>
          </cell>
          <cell r="E2467">
            <v>1487.41</v>
          </cell>
        </row>
        <row r="2468">
          <cell r="A2468" t="str">
            <v>1/2/2004 0:00</v>
          </cell>
          <cell r="E2468">
            <v>2837.46</v>
          </cell>
        </row>
        <row r="2469">
          <cell r="A2469" t="str">
            <v>2/19/2004 0:00</v>
          </cell>
          <cell r="E2469">
            <v>1942.77</v>
          </cell>
        </row>
        <row r="2470">
          <cell r="A2470" t="str">
            <v>3/29/2004 0:00</v>
          </cell>
          <cell r="E2470">
            <v>2544.12</v>
          </cell>
        </row>
        <row r="2471">
          <cell r="A2471" t="str">
            <v>5/7/2004 0:00</v>
          </cell>
          <cell r="E2471">
            <v>2568.2399999999998</v>
          </cell>
        </row>
        <row r="2472">
          <cell r="A2472" t="str">
            <v>6/17/2004 0:00</v>
          </cell>
          <cell r="E2472">
            <v>2108</v>
          </cell>
        </row>
        <row r="2473">
          <cell r="A2473" t="str">
            <v>7/21/2004 0:00</v>
          </cell>
          <cell r="E2473">
            <v>1372.14</v>
          </cell>
        </row>
        <row r="2474">
          <cell r="A2474" t="str">
            <v>8/20/2004 0:00</v>
          </cell>
          <cell r="E2474">
            <v>3540.15</v>
          </cell>
        </row>
        <row r="2475">
          <cell r="A2475" t="str">
            <v>9/10/2004 0:00</v>
          </cell>
          <cell r="E2475">
            <v>1958.84</v>
          </cell>
        </row>
        <row r="2476">
          <cell r="A2476" t="str">
            <v>10/14/2004 0:00</v>
          </cell>
          <cell r="E2476">
            <v>2700</v>
          </cell>
        </row>
        <row r="2477">
          <cell r="A2477" t="str">
            <v>10/29/2004 0:00</v>
          </cell>
          <cell r="E2477">
            <v>2542</v>
          </cell>
        </row>
        <row r="2478">
          <cell r="A2478" t="str">
            <v>11/9/2004 0:00</v>
          </cell>
          <cell r="E2478">
            <v>2340</v>
          </cell>
        </row>
        <row r="2479">
          <cell r="A2479" t="str">
            <v>11/23/2004 0:00</v>
          </cell>
          <cell r="E2479">
            <v>2816.44</v>
          </cell>
        </row>
        <row r="2480">
          <cell r="A2480" t="str">
            <v>12/2/2004 0:00</v>
          </cell>
          <cell r="E2480">
            <v>3526.82</v>
          </cell>
        </row>
        <row r="2481">
          <cell r="A2481" t="str">
            <v>1/31/2005 0:00</v>
          </cell>
          <cell r="E2481">
            <v>4627.92</v>
          </cell>
        </row>
        <row r="2482">
          <cell r="A2482" t="str">
            <v>2/28/2005 0:00</v>
          </cell>
          <cell r="E2482">
            <v>1933.5</v>
          </cell>
        </row>
        <row r="2483">
          <cell r="A2483" t="str">
            <v>3/23/2005 0:00</v>
          </cell>
          <cell r="E2483">
            <v>2600.13</v>
          </cell>
        </row>
        <row r="2484">
          <cell r="A2484" t="str">
            <v>5/6/2005 0:00</v>
          </cell>
          <cell r="E2484">
            <v>2639.58</v>
          </cell>
        </row>
        <row r="2485">
          <cell r="A2485" t="str">
            <v>2/17/2003 0:00</v>
          </cell>
          <cell r="E2485">
            <v>3312.97</v>
          </cell>
        </row>
        <row r="2486">
          <cell r="A2486" t="str">
            <v>4/29/2003 0:00</v>
          </cell>
          <cell r="E2486">
            <v>3863.87</v>
          </cell>
        </row>
        <row r="2487">
          <cell r="A2487" t="str">
            <v>6/27/2003 0:00</v>
          </cell>
          <cell r="E2487">
            <v>1863.36</v>
          </cell>
        </row>
        <row r="2488">
          <cell r="A2488" t="str">
            <v>8/10/2003 0:00</v>
          </cell>
          <cell r="E2488">
            <v>3945.96</v>
          </cell>
        </row>
        <row r="2489">
          <cell r="A2489" t="str">
            <v>10/8/2003 0:00</v>
          </cell>
          <cell r="E2489">
            <v>4954.08</v>
          </cell>
        </row>
        <row r="2490">
          <cell r="A2490" t="str">
            <v>10/28/2003 0:00</v>
          </cell>
          <cell r="E2490">
            <v>2762.2</v>
          </cell>
        </row>
        <row r="2491">
          <cell r="A2491" t="str">
            <v>12/1/2003 0:00</v>
          </cell>
          <cell r="E2491">
            <v>3989.76</v>
          </cell>
        </row>
        <row r="2492">
          <cell r="A2492" t="str">
            <v>1/12/2004 0:00</v>
          </cell>
          <cell r="E2492">
            <v>1649.55</v>
          </cell>
        </row>
        <row r="2493">
          <cell r="A2493" t="str">
            <v>2/20/2004 0:00</v>
          </cell>
          <cell r="E2493">
            <v>2534.75</v>
          </cell>
        </row>
        <row r="2494">
          <cell r="A2494" t="str">
            <v>4/2/2004 0:00</v>
          </cell>
          <cell r="E2494">
            <v>2580.25</v>
          </cell>
        </row>
        <row r="2495">
          <cell r="A2495" t="str">
            <v>5/11/2004 0:00</v>
          </cell>
          <cell r="E2495">
            <v>2831.54</v>
          </cell>
        </row>
        <row r="2496">
          <cell r="A2496" t="str">
            <v>6/24/2004 0:00</v>
          </cell>
          <cell r="E2496">
            <v>3361.2</v>
          </cell>
        </row>
        <row r="2497">
          <cell r="A2497" t="str">
            <v>7/23/2004 0:00</v>
          </cell>
          <cell r="E2497">
            <v>2864.32</v>
          </cell>
        </row>
        <row r="2498">
          <cell r="A2498" t="str">
            <v>8/21/2004 0:00</v>
          </cell>
          <cell r="E2498">
            <v>1994.88</v>
          </cell>
        </row>
        <row r="2499">
          <cell r="A2499" t="str">
            <v>9/15/2004 0:00</v>
          </cell>
          <cell r="E2499">
            <v>4296.6000000000004</v>
          </cell>
        </row>
        <row r="2500">
          <cell r="A2500" t="str">
            <v>10/15/2004 0:00</v>
          </cell>
          <cell r="E2500">
            <v>2224.9499999999998</v>
          </cell>
        </row>
        <row r="2501">
          <cell r="A2501" t="str">
            <v>11/1/2004 0:00</v>
          </cell>
          <cell r="E2501">
            <v>2795.14</v>
          </cell>
        </row>
        <row r="2502">
          <cell r="A2502" t="str">
            <v>11/12/2004 0:00</v>
          </cell>
          <cell r="E2502">
            <v>2762.1</v>
          </cell>
        </row>
        <row r="2503">
          <cell r="A2503" t="str">
            <v>11/24/2004 0:00</v>
          </cell>
          <cell r="E2503">
            <v>2658</v>
          </cell>
        </row>
        <row r="2504">
          <cell r="A2504" t="str">
            <v>12/4/2004 0:00</v>
          </cell>
          <cell r="E2504">
            <v>5043.87</v>
          </cell>
        </row>
        <row r="2505">
          <cell r="A2505" t="str">
            <v>12/17/2004 0:00</v>
          </cell>
          <cell r="E2505">
            <v>1210.8</v>
          </cell>
        </row>
        <row r="2506">
          <cell r="A2506" t="str">
            <v>2/3/2005 0:00</v>
          </cell>
          <cell r="E2506">
            <v>3029.19</v>
          </cell>
        </row>
        <row r="2507">
          <cell r="A2507" t="str">
            <v>3/3/2005 0:00</v>
          </cell>
          <cell r="E2507">
            <v>10066.6</v>
          </cell>
        </row>
        <row r="2508">
          <cell r="A2508" t="str">
            <v>3/30/2005 0:00</v>
          </cell>
          <cell r="E2508">
            <v>4121.43</v>
          </cell>
        </row>
        <row r="2509">
          <cell r="A2509" t="str">
            <v>4/3/2005 0:00</v>
          </cell>
          <cell r="E2509">
            <v>1135.31</v>
          </cell>
        </row>
        <row r="2510">
          <cell r="A2510" t="str">
            <v>5/10/2005 0:00</v>
          </cell>
          <cell r="E2510">
            <v>2100.8200000000002</v>
          </cell>
        </row>
        <row r="2511">
          <cell r="A2511" t="str">
            <v>2/11/2003 0:00</v>
          </cell>
          <cell r="E2511">
            <v>2034.35</v>
          </cell>
        </row>
        <row r="2512">
          <cell r="A2512" t="str">
            <v>4/16/2003 0:00</v>
          </cell>
          <cell r="E2512">
            <v>3027.84</v>
          </cell>
        </row>
        <row r="2513">
          <cell r="A2513" t="str">
            <v>6/6/2003 0:00</v>
          </cell>
          <cell r="E2513">
            <v>3104</v>
          </cell>
        </row>
        <row r="2514">
          <cell r="A2514" t="str">
            <v>8/8/2003 0:00</v>
          </cell>
          <cell r="E2514">
            <v>3612.43</v>
          </cell>
        </row>
        <row r="2515">
          <cell r="A2515" t="str">
            <v>9/28/2003 0:00</v>
          </cell>
          <cell r="E2515">
            <v>2711.88</v>
          </cell>
        </row>
        <row r="2516">
          <cell r="A2516" t="str">
            <v>10/21/2003 0:00</v>
          </cell>
          <cell r="E2516">
            <v>3013.97</v>
          </cell>
        </row>
        <row r="2517">
          <cell r="A2517" t="str">
            <v>11/7/2003 0:00</v>
          </cell>
          <cell r="E2517">
            <v>2738.54</v>
          </cell>
        </row>
        <row r="2518">
          <cell r="A2518" t="str">
            <v>11/14/2003 0:00</v>
          </cell>
          <cell r="E2518">
            <v>2832</v>
          </cell>
        </row>
        <row r="2519">
          <cell r="A2519" t="str">
            <v>11/26/2003 0:00</v>
          </cell>
          <cell r="E2519">
            <v>4720</v>
          </cell>
        </row>
        <row r="2520">
          <cell r="A2520" t="str">
            <v>1/2/2004 0:00</v>
          </cell>
          <cell r="E2520">
            <v>3222</v>
          </cell>
        </row>
        <row r="2521">
          <cell r="A2521" t="str">
            <v>2/18/2004 0:00</v>
          </cell>
          <cell r="E2521">
            <v>2231</v>
          </cell>
        </row>
        <row r="2522">
          <cell r="A2522" t="str">
            <v>3/20/2004 0:00</v>
          </cell>
          <cell r="E2522">
            <v>2296.84</v>
          </cell>
        </row>
        <row r="2523">
          <cell r="A2523" t="str">
            <v>5/7/2004 0:00</v>
          </cell>
          <cell r="E2523">
            <v>4157.2</v>
          </cell>
        </row>
        <row r="2524">
          <cell r="A2524" t="str">
            <v>7/21/2004 0:00</v>
          </cell>
          <cell r="E2524">
            <v>2146.1999999999998</v>
          </cell>
        </row>
        <row r="2525">
          <cell r="A2525" t="str">
            <v>8/20/2004 0:00</v>
          </cell>
          <cell r="E2525">
            <v>3724.23</v>
          </cell>
        </row>
        <row r="2526">
          <cell r="A2526" t="str">
            <v>9/9/2004 0:00</v>
          </cell>
          <cell r="E2526">
            <v>2084.81</v>
          </cell>
        </row>
        <row r="2527">
          <cell r="A2527" t="str">
            <v>10/14/2004 0:00</v>
          </cell>
          <cell r="E2527">
            <v>3488.78</v>
          </cell>
        </row>
        <row r="2528">
          <cell r="A2528" t="str">
            <v>10/22/2004 0:00</v>
          </cell>
          <cell r="E2528">
            <v>1753.06</v>
          </cell>
        </row>
        <row r="2529">
          <cell r="A2529" t="str">
            <v>11/10/2004 0:00</v>
          </cell>
          <cell r="E2529">
            <v>3469.2</v>
          </cell>
        </row>
        <row r="2530">
          <cell r="A2530" t="str">
            <v>11/21/2004 0:00</v>
          </cell>
          <cell r="E2530">
            <v>2530.8000000000002</v>
          </cell>
        </row>
        <row r="2531">
          <cell r="A2531" t="str">
            <v>12/2/2004 0:00</v>
          </cell>
          <cell r="E2531">
            <v>2924.32</v>
          </cell>
        </row>
        <row r="2532">
          <cell r="A2532" t="str">
            <v>1/26/2005 0:00</v>
          </cell>
          <cell r="E2532">
            <v>4496.8</v>
          </cell>
        </row>
        <row r="2533">
          <cell r="A2533" t="str">
            <v>2/23/2005 0:00</v>
          </cell>
          <cell r="E2533">
            <v>6397.44</v>
          </cell>
        </row>
        <row r="2534">
          <cell r="A2534" t="str">
            <v>3/28/2005 0:00</v>
          </cell>
          <cell r="E2534">
            <v>2577.6</v>
          </cell>
        </row>
        <row r="2535">
          <cell r="A2535" t="str">
            <v>5/6/2005 0:00</v>
          </cell>
          <cell r="E2535">
            <v>3533.62</v>
          </cell>
        </row>
        <row r="2536">
          <cell r="A2536" t="str">
            <v>2/17/2003 0:00</v>
          </cell>
          <cell r="E2536">
            <v>3177.3</v>
          </cell>
        </row>
        <row r="2537">
          <cell r="A2537" t="str">
            <v>4/28/2003 0:00</v>
          </cell>
          <cell r="E2537">
            <v>2730.06</v>
          </cell>
        </row>
        <row r="2538">
          <cell r="A2538" t="str">
            <v>6/16/2003 0:00</v>
          </cell>
          <cell r="E2538">
            <v>1891.78</v>
          </cell>
        </row>
        <row r="2539">
          <cell r="A2539" t="str">
            <v>8/10/2003 0:00</v>
          </cell>
          <cell r="E2539">
            <v>2612.48</v>
          </cell>
        </row>
        <row r="2540">
          <cell r="A2540" t="str">
            <v>10/6/2003 0:00</v>
          </cell>
          <cell r="E2540">
            <v>2925.76</v>
          </cell>
        </row>
        <row r="2541">
          <cell r="A2541" t="str">
            <v>10/23/2003 0:00</v>
          </cell>
          <cell r="E2541">
            <v>2940.02</v>
          </cell>
        </row>
        <row r="2542">
          <cell r="A2542" t="str">
            <v>11/8/2003 0:00</v>
          </cell>
          <cell r="E2542">
            <v>3293.24</v>
          </cell>
        </row>
        <row r="2543">
          <cell r="A2543" t="str">
            <v>11/14/2003 0:00</v>
          </cell>
          <cell r="E2543">
            <v>2389.6799999999998</v>
          </cell>
        </row>
        <row r="2544">
          <cell r="A2544" t="str">
            <v>11/26/2003 0:00</v>
          </cell>
          <cell r="E2544">
            <v>2172.48</v>
          </cell>
        </row>
        <row r="2545">
          <cell r="A2545" t="str">
            <v>1/9/2004 0:00</v>
          </cell>
          <cell r="E2545">
            <v>2927.43</v>
          </cell>
        </row>
        <row r="2546">
          <cell r="A2546" t="str">
            <v>2/19/2004 0:00</v>
          </cell>
          <cell r="E2546">
            <v>2659.54</v>
          </cell>
        </row>
        <row r="2547">
          <cell r="A2547" t="str">
            <v>5/8/2004 0:00</v>
          </cell>
          <cell r="E2547">
            <v>3838</v>
          </cell>
        </row>
        <row r="2548">
          <cell r="A2548" t="str">
            <v>6/24/2004 0:00</v>
          </cell>
          <cell r="E2548">
            <v>4142.16</v>
          </cell>
        </row>
        <row r="2549">
          <cell r="A2549" t="str">
            <v>7/21/2004 0:00</v>
          </cell>
          <cell r="E2549">
            <v>2172.48</v>
          </cell>
        </row>
        <row r="2550">
          <cell r="A2550" t="str">
            <v>8/20/2004 0:00</v>
          </cell>
          <cell r="E2550">
            <v>1882.8</v>
          </cell>
        </row>
        <row r="2551">
          <cell r="A2551" t="str">
            <v>9/15/2004 0:00</v>
          </cell>
          <cell r="E2551">
            <v>3477.86</v>
          </cell>
        </row>
        <row r="2552">
          <cell r="A2552" t="str">
            <v>10/14/2004 0:00</v>
          </cell>
          <cell r="E2552">
            <v>3323.84</v>
          </cell>
        </row>
        <row r="2553">
          <cell r="A2553" t="str">
            <v>11/1/2004 0:00</v>
          </cell>
          <cell r="E2553">
            <v>4195.8</v>
          </cell>
        </row>
        <row r="2554">
          <cell r="A2554" t="str">
            <v>11/12/2004 0:00</v>
          </cell>
          <cell r="E2554">
            <v>4156.58</v>
          </cell>
        </row>
        <row r="2555">
          <cell r="A2555" t="str">
            <v>11/23/2004 0:00</v>
          </cell>
          <cell r="E2555">
            <v>3918.75</v>
          </cell>
        </row>
        <row r="2556">
          <cell r="A2556" t="str">
            <v>12/3/2004 0:00</v>
          </cell>
          <cell r="E2556">
            <v>2352.67</v>
          </cell>
        </row>
        <row r="2557">
          <cell r="A2557" t="str">
            <v>12/17/2004 0:00</v>
          </cell>
          <cell r="E2557">
            <v>1089.3599999999999</v>
          </cell>
        </row>
        <row r="2558">
          <cell r="A2558" t="str">
            <v>1/31/2005 0:00</v>
          </cell>
          <cell r="E2558">
            <v>2701.12</v>
          </cell>
        </row>
        <row r="2559">
          <cell r="A2559" t="str">
            <v>3/1/2005 0:00</v>
          </cell>
          <cell r="E2559">
            <v>2487.04</v>
          </cell>
        </row>
        <row r="2560">
          <cell r="A2560" t="str">
            <v>3/30/2005 0:00</v>
          </cell>
          <cell r="E2560">
            <v>3910.32</v>
          </cell>
        </row>
        <row r="2561">
          <cell r="A2561" t="str">
            <v>4/1/2005 0:00</v>
          </cell>
          <cell r="E2561">
            <v>4038.8</v>
          </cell>
        </row>
        <row r="2562">
          <cell r="A2562" t="str">
            <v>5/9/2005 0:00</v>
          </cell>
          <cell r="E2562">
            <v>3070.4</v>
          </cell>
        </row>
        <row r="2563">
          <cell r="A2563" t="str">
            <v>2/17/2003 0:00</v>
          </cell>
          <cell r="E2563">
            <v>3763.46</v>
          </cell>
        </row>
        <row r="2564">
          <cell r="A2564" t="str">
            <v>4/29/2003 0:00</v>
          </cell>
          <cell r="E2564">
            <v>2584.8000000000002</v>
          </cell>
        </row>
        <row r="2565">
          <cell r="A2565" t="str">
            <v>6/16/2003 0:00</v>
          </cell>
          <cell r="E2565">
            <v>4427.6000000000004</v>
          </cell>
        </row>
        <row r="2566">
          <cell r="A2566" t="str">
            <v>8/10/2003 0:00</v>
          </cell>
          <cell r="E2566">
            <v>2152.02</v>
          </cell>
        </row>
        <row r="2567">
          <cell r="A2567" t="str">
            <v>10/6/2003 0:00</v>
          </cell>
          <cell r="E2567">
            <v>2353.4</v>
          </cell>
        </row>
        <row r="2568">
          <cell r="A2568" t="str">
            <v>10/28/2003 0:00</v>
          </cell>
          <cell r="E2568">
            <v>3431.39</v>
          </cell>
        </row>
        <row r="2569">
          <cell r="A2569" t="str">
            <v>11/8/2003 0:00</v>
          </cell>
          <cell r="E2569">
            <v>1930.5</v>
          </cell>
        </row>
        <row r="2570">
          <cell r="A2570" t="str">
            <v>11/27/2003 0:00</v>
          </cell>
          <cell r="E2570">
            <v>4774.5600000000004</v>
          </cell>
        </row>
        <row r="2571">
          <cell r="A2571" t="str">
            <v>1/12/2004 0:00</v>
          </cell>
          <cell r="E2571">
            <v>2592.7199999999998</v>
          </cell>
        </row>
        <row r="2572">
          <cell r="A2572" t="str">
            <v>2/19/2004 0:00</v>
          </cell>
          <cell r="E2572">
            <v>3246.75</v>
          </cell>
        </row>
        <row r="2573">
          <cell r="A2573" t="str">
            <v>4/2/2004 0:00</v>
          </cell>
          <cell r="E2573">
            <v>3372.5</v>
          </cell>
        </row>
        <row r="2574">
          <cell r="A2574" t="str">
            <v>5/11/2004 0:00</v>
          </cell>
          <cell r="E2574">
            <v>3909.15</v>
          </cell>
        </row>
        <row r="2575">
          <cell r="A2575" t="str">
            <v>6/24/2004 0:00</v>
          </cell>
          <cell r="E2575">
            <v>2994.75</v>
          </cell>
        </row>
        <row r="2576">
          <cell r="A2576" t="str">
            <v>7/23/2004 0:00</v>
          </cell>
          <cell r="E2576">
            <v>4472.5200000000004</v>
          </cell>
        </row>
        <row r="2577">
          <cell r="A2577" t="str">
            <v>8/21/2004 0:00</v>
          </cell>
          <cell r="E2577">
            <v>4576.95</v>
          </cell>
        </row>
        <row r="2578">
          <cell r="A2578" t="str">
            <v>9/15/2004 0:00</v>
          </cell>
          <cell r="E2578">
            <v>2441.04</v>
          </cell>
        </row>
        <row r="2579">
          <cell r="A2579" t="str">
            <v>10/15/2004 0:00</v>
          </cell>
          <cell r="E2579">
            <v>3106.25</v>
          </cell>
        </row>
        <row r="2580">
          <cell r="A2580" t="str">
            <v>11/1/2004 0:00</v>
          </cell>
          <cell r="E2580">
            <v>2706.41</v>
          </cell>
        </row>
        <row r="2581">
          <cell r="A2581" t="str">
            <v>11/12/2004 0:00</v>
          </cell>
          <cell r="E2581">
            <v>4021.53</v>
          </cell>
        </row>
        <row r="2582">
          <cell r="A2582" t="str">
            <v>11/24/2004 0:00</v>
          </cell>
          <cell r="E2582">
            <v>4826.25</v>
          </cell>
        </row>
        <row r="2583">
          <cell r="A2583" t="str">
            <v>12/3/2004 0:00</v>
          </cell>
          <cell r="E2583">
            <v>4935.28</v>
          </cell>
        </row>
        <row r="2584">
          <cell r="A2584" t="str">
            <v>12/17/2004 0:00</v>
          </cell>
          <cell r="E2584">
            <v>2754.7</v>
          </cell>
        </row>
        <row r="2585">
          <cell r="A2585" t="str">
            <v>2/3/2005 0:00</v>
          </cell>
          <cell r="E2585">
            <v>3856.71</v>
          </cell>
        </row>
        <row r="2586">
          <cell r="A2586" t="str">
            <v>3/1/2005 0:00</v>
          </cell>
          <cell r="E2586">
            <v>3102.08</v>
          </cell>
        </row>
        <row r="2587">
          <cell r="A2587" t="str">
            <v>3/30/2005 0:00</v>
          </cell>
          <cell r="E2587">
            <v>1908.72</v>
          </cell>
        </row>
        <row r="2588">
          <cell r="A2588" t="str">
            <v>4/3/2005 0:00</v>
          </cell>
          <cell r="E2588">
            <v>7543.75</v>
          </cell>
        </row>
        <row r="2589">
          <cell r="A2589" t="str">
            <v>5/10/2005 0:00</v>
          </cell>
          <cell r="E2589">
            <v>2457.1799999999998</v>
          </cell>
        </row>
        <row r="2590">
          <cell r="A2590" t="str">
            <v>2/11/2003 0:00</v>
          </cell>
          <cell r="E2590">
            <v>2038.87</v>
          </cell>
        </row>
        <row r="2591">
          <cell r="A2591" t="str">
            <v>4/28/2003 0:00</v>
          </cell>
          <cell r="E2591">
            <v>2499.2600000000002</v>
          </cell>
        </row>
        <row r="2592">
          <cell r="A2592" t="str">
            <v>6/12/2003 0:00</v>
          </cell>
          <cell r="E2592">
            <v>3838.05</v>
          </cell>
        </row>
        <row r="2593">
          <cell r="A2593" t="str">
            <v>8/10/2003 0:00</v>
          </cell>
          <cell r="E2593">
            <v>2643.99</v>
          </cell>
        </row>
        <row r="2594">
          <cell r="A2594" t="str">
            <v>10/2/2003 0:00</v>
          </cell>
          <cell r="E2594">
            <v>2315.88</v>
          </cell>
        </row>
        <row r="2595">
          <cell r="A2595" t="str">
            <v>10/23/2003 0:00</v>
          </cell>
          <cell r="E2595">
            <v>3225.06</v>
          </cell>
        </row>
        <row r="2596">
          <cell r="A2596" t="str">
            <v>11/7/2003 0:00</v>
          </cell>
          <cell r="E2596">
            <v>2451.84</v>
          </cell>
        </row>
        <row r="2597">
          <cell r="A2597" t="str">
            <v>11/14/2003 0:00</v>
          </cell>
          <cell r="E2597">
            <v>2254.98</v>
          </cell>
        </row>
        <row r="2598">
          <cell r="A2598" t="str">
            <v>11/26/2003 0:00</v>
          </cell>
          <cell r="E2598">
            <v>3939.5</v>
          </cell>
        </row>
        <row r="2599">
          <cell r="A2599" t="str">
            <v>1/2/2004 0:00</v>
          </cell>
          <cell r="E2599">
            <v>3424.7</v>
          </cell>
        </row>
        <row r="2600">
          <cell r="A2600" t="str">
            <v>2/19/2004 0:00</v>
          </cell>
          <cell r="E2600">
            <v>2914.2</v>
          </cell>
        </row>
        <row r="2601">
          <cell r="A2601" t="str">
            <v>3/29/2004 0:00</v>
          </cell>
          <cell r="E2601">
            <v>2389.6</v>
          </cell>
        </row>
        <row r="2602">
          <cell r="A2602" t="str">
            <v>5/7/2004 0:00</v>
          </cell>
          <cell r="E2602">
            <v>2428.48</v>
          </cell>
        </row>
        <row r="2603">
          <cell r="A2603" t="str">
            <v>6/17/2004 0:00</v>
          </cell>
          <cell r="E2603">
            <v>3021.48</v>
          </cell>
        </row>
        <row r="2604">
          <cell r="A2604" t="str">
            <v>7/21/2004 0:00</v>
          </cell>
          <cell r="E2604">
            <v>2610.7199999999998</v>
          </cell>
        </row>
        <row r="2605">
          <cell r="A2605" t="str">
            <v>8/20/2004 0:00</v>
          </cell>
          <cell r="E2605">
            <v>3091.19</v>
          </cell>
        </row>
        <row r="2606">
          <cell r="A2606" t="str">
            <v>9/10/2004 0:00</v>
          </cell>
          <cell r="E2606">
            <v>2576.1999999999998</v>
          </cell>
        </row>
        <row r="2607">
          <cell r="A2607" t="str">
            <v>10/14/2004 0:00</v>
          </cell>
          <cell r="E2607">
            <v>3232.31</v>
          </cell>
        </row>
        <row r="2608">
          <cell r="A2608" t="str">
            <v>11/1/2004 0:00</v>
          </cell>
          <cell r="E2608">
            <v>3573.6</v>
          </cell>
        </row>
        <row r="2609">
          <cell r="A2609" t="str">
            <v>11/10/2004 0:00</v>
          </cell>
          <cell r="E2609">
            <v>2022.51</v>
          </cell>
        </row>
        <row r="2610">
          <cell r="A2610" t="str">
            <v>11/23/2004 0:00</v>
          </cell>
          <cell r="E2610">
            <v>3717.5</v>
          </cell>
        </row>
        <row r="2611">
          <cell r="A2611" t="str">
            <v>12/2/2004 0:00</v>
          </cell>
          <cell r="E2611">
            <v>2185.15</v>
          </cell>
        </row>
        <row r="2612">
          <cell r="A2612" t="str">
            <v>1/31/2005 0:00</v>
          </cell>
          <cell r="E2612">
            <v>2883.53</v>
          </cell>
        </row>
        <row r="2613">
          <cell r="A2613" t="str">
            <v>3/1/2005 0:00</v>
          </cell>
          <cell r="E2613">
            <v>5017.57</v>
          </cell>
        </row>
        <row r="2614">
          <cell r="A2614" t="str">
            <v>3/28/2005 0:00</v>
          </cell>
          <cell r="E2614">
            <v>1463</v>
          </cell>
        </row>
        <row r="2615">
          <cell r="A2615" t="str">
            <v>5/6/2005 0:00</v>
          </cell>
          <cell r="E2615">
            <v>2352.59</v>
          </cell>
        </row>
        <row r="2616">
          <cell r="A2616" t="str">
            <v>1/29/2003 0:00</v>
          </cell>
          <cell r="E2616">
            <v>4460.82</v>
          </cell>
        </row>
        <row r="2617">
          <cell r="A2617" t="str">
            <v>4/1/2003 0:00</v>
          </cell>
          <cell r="E2617">
            <v>4758.18</v>
          </cell>
        </row>
        <row r="2618">
          <cell r="A2618" t="str">
            <v>5/28/2003 0:00</v>
          </cell>
          <cell r="E2618">
            <v>4597.2</v>
          </cell>
        </row>
        <row r="2619">
          <cell r="A2619" t="str">
            <v>7/24/2003 0:00</v>
          </cell>
          <cell r="E2619">
            <v>4114.8</v>
          </cell>
        </row>
        <row r="2620">
          <cell r="A2620" t="str">
            <v>9/19/2003 0:00</v>
          </cell>
          <cell r="E2620">
            <v>2104</v>
          </cell>
        </row>
        <row r="2621">
          <cell r="A2621" t="str">
            <v>10/21/2003 0:00</v>
          </cell>
          <cell r="E2621">
            <v>3195.27</v>
          </cell>
        </row>
        <row r="2622">
          <cell r="A2622" t="str">
            <v>11/6/2003 0:00</v>
          </cell>
          <cell r="E2622">
            <v>3611.16</v>
          </cell>
        </row>
        <row r="2623">
          <cell r="A2623" t="str">
            <v>11/13/2003 0:00</v>
          </cell>
          <cell r="E2623">
            <v>2000.77</v>
          </cell>
        </row>
        <row r="2624">
          <cell r="A2624" t="str">
            <v>11/25/2003 0:00</v>
          </cell>
          <cell r="E2624">
            <v>2314.2600000000002</v>
          </cell>
        </row>
        <row r="2625">
          <cell r="A2625" t="str">
            <v>12/5/2003 0:00</v>
          </cell>
          <cell r="E2625">
            <v>3871.89</v>
          </cell>
        </row>
        <row r="2626">
          <cell r="A2626" t="str">
            <v>2/4/2004 0:00</v>
          </cell>
          <cell r="E2626">
            <v>2728</v>
          </cell>
        </row>
        <row r="2627">
          <cell r="A2627" t="str">
            <v>3/11/2004 0:00</v>
          </cell>
          <cell r="E2627">
            <v>5614</v>
          </cell>
        </row>
        <row r="2628">
          <cell r="A2628" t="str">
            <v>5/4/2004 0:00</v>
          </cell>
          <cell r="E2628">
            <v>4628.8</v>
          </cell>
        </row>
        <row r="2629">
          <cell r="A2629" t="str">
            <v>6/15/2004 0:00</v>
          </cell>
          <cell r="E2629">
            <v>3641.4</v>
          </cell>
        </row>
        <row r="2630">
          <cell r="A2630" t="str">
            <v>7/19/2004 0:00</v>
          </cell>
          <cell r="E2630">
            <v>4048</v>
          </cell>
        </row>
        <row r="2631">
          <cell r="A2631" t="str">
            <v>8/19/2004 0:00</v>
          </cell>
          <cell r="E2631">
            <v>2321.46</v>
          </cell>
        </row>
        <row r="2632">
          <cell r="A2632" t="str">
            <v>9/8/2004 0:00</v>
          </cell>
          <cell r="E2632">
            <v>3256.96</v>
          </cell>
        </row>
        <row r="2633">
          <cell r="A2633" t="str">
            <v>10/11/2004 0:00</v>
          </cell>
          <cell r="E2633">
            <v>4208</v>
          </cell>
        </row>
        <row r="2634">
          <cell r="A2634" t="str">
            <v>10/22/2004 0:00</v>
          </cell>
          <cell r="E2634">
            <v>2973.9</v>
          </cell>
        </row>
        <row r="2635">
          <cell r="A2635" t="str">
            <v>11/5/2004 0:00</v>
          </cell>
          <cell r="E2635">
            <v>4248.3</v>
          </cell>
        </row>
        <row r="2636">
          <cell r="A2636" t="str">
            <v>11/20/2004 0:00</v>
          </cell>
          <cell r="E2636">
            <v>9558.7999999999993</v>
          </cell>
        </row>
        <row r="2637">
          <cell r="A2637" t="str">
            <v>11/1/2004 0:00</v>
          </cell>
          <cell r="E2637">
            <v>2650.56</v>
          </cell>
        </row>
        <row r="2638">
          <cell r="A2638" t="str">
            <v>12/10/2004 0:00</v>
          </cell>
          <cell r="E2638">
            <v>3761.37</v>
          </cell>
        </row>
        <row r="2639">
          <cell r="A2639" t="str">
            <v>1/23/2005 0:00</v>
          </cell>
          <cell r="E2639">
            <v>4301.34</v>
          </cell>
        </row>
        <row r="2640">
          <cell r="A2640" t="str">
            <v>2/17/2005 0:00</v>
          </cell>
          <cell r="E2640">
            <v>1864.56</v>
          </cell>
        </row>
        <row r="2641">
          <cell r="A2641" t="str">
            <v>5/1/2005 0:00</v>
          </cell>
          <cell r="E2641">
            <v>3576.8</v>
          </cell>
        </row>
        <row r="2642">
          <cell r="A2642" t="str">
            <v>5/31/2005 0:00</v>
          </cell>
          <cell r="E2642">
            <v>3722.32</v>
          </cell>
        </row>
        <row r="2643">
          <cell r="A2643" t="str">
            <v>2/17/2003 0:00</v>
          </cell>
          <cell r="E2643">
            <v>3986.56</v>
          </cell>
        </row>
        <row r="2644">
          <cell r="A2644" t="str">
            <v>4/29/2003 0:00</v>
          </cell>
          <cell r="E2644">
            <v>3417.12</v>
          </cell>
        </row>
        <row r="2645">
          <cell r="A2645" t="str">
            <v>6/27/2003 0:00</v>
          </cell>
          <cell r="E2645">
            <v>2691.09</v>
          </cell>
        </row>
        <row r="2646">
          <cell r="A2646" t="str">
            <v>8/25/2003 0:00</v>
          </cell>
          <cell r="E2646">
            <v>2752.6</v>
          </cell>
        </row>
        <row r="2647">
          <cell r="A2647" t="str">
            <v>10/28/2003 0:00</v>
          </cell>
          <cell r="E2647">
            <v>4527.72</v>
          </cell>
        </row>
        <row r="2648">
          <cell r="A2648" t="str">
            <v>11/18/2003 0:00</v>
          </cell>
          <cell r="E2648">
            <v>3957.05</v>
          </cell>
        </row>
        <row r="2649">
          <cell r="A2649" t="str">
            <v>1/12/2004 0:00</v>
          </cell>
          <cell r="E2649">
            <v>2818</v>
          </cell>
        </row>
        <row r="2650">
          <cell r="A2650" t="str">
            <v>2/20/2004 0:00</v>
          </cell>
          <cell r="E2650">
            <v>3199.86</v>
          </cell>
        </row>
        <row r="2651">
          <cell r="A2651" t="str">
            <v>4/2/2004 0:00</v>
          </cell>
          <cell r="E2651">
            <v>2402.75</v>
          </cell>
        </row>
        <row r="2652">
          <cell r="A2652" t="str">
            <v>5/11/2004 0:00</v>
          </cell>
          <cell r="E2652">
            <v>6055.72</v>
          </cell>
        </row>
        <row r="2653">
          <cell r="A2653" t="str">
            <v>6/28/2004 0:00</v>
          </cell>
          <cell r="E2653">
            <v>5465.16</v>
          </cell>
        </row>
        <row r="2654">
          <cell r="A2654" t="str">
            <v>7/23/2004 0:00</v>
          </cell>
          <cell r="E2654">
            <v>6378.72</v>
          </cell>
        </row>
        <row r="2655">
          <cell r="A2655" t="str">
            <v>8/27/2004 0:00</v>
          </cell>
          <cell r="E2655">
            <v>5392.8</v>
          </cell>
        </row>
        <row r="2656">
          <cell r="A2656" t="str">
            <v>9/16/2004 0:00</v>
          </cell>
          <cell r="E2656">
            <v>3986.5</v>
          </cell>
        </row>
        <row r="2657">
          <cell r="A2657" t="str">
            <v>10/15/2004 0:00</v>
          </cell>
          <cell r="E2657">
            <v>4009.23</v>
          </cell>
        </row>
        <row r="2658">
          <cell r="A2658" t="str">
            <v>11/2/2004 0:00</v>
          </cell>
          <cell r="E2658">
            <v>7119</v>
          </cell>
        </row>
        <row r="2659">
          <cell r="A2659" t="str">
            <v>11/12/2004 0:00</v>
          </cell>
          <cell r="E2659">
            <v>4072.2</v>
          </cell>
        </row>
        <row r="2660">
          <cell r="A2660" t="str">
            <v>11/24/2004 0:00</v>
          </cell>
          <cell r="E2660">
            <v>4094.51</v>
          </cell>
        </row>
        <row r="2661">
          <cell r="A2661" t="str">
            <v>12/4/2004 0:00</v>
          </cell>
          <cell r="E2661">
            <v>3302.4</v>
          </cell>
        </row>
        <row r="2662">
          <cell r="A2662" t="str">
            <v>12/17/2004 0:00</v>
          </cell>
          <cell r="E2662">
            <v>3186.48</v>
          </cell>
        </row>
        <row r="2663">
          <cell r="A2663" t="str">
            <v>2/3/2005 0:00</v>
          </cell>
          <cell r="E2663">
            <v>1668.25</v>
          </cell>
        </row>
        <row r="2664">
          <cell r="A2664" t="str">
            <v>3/3/2005 0:00</v>
          </cell>
          <cell r="E2664">
            <v>7154.5</v>
          </cell>
        </row>
        <row r="2665">
          <cell r="A2665" t="str">
            <v>3/30/2005 0:00</v>
          </cell>
          <cell r="E2665">
            <v>2810.83</v>
          </cell>
        </row>
        <row r="2666">
          <cell r="A2666" t="str">
            <v>4/3/2005 0:00</v>
          </cell>
          <cell r="E2666">
            <v>2018.31</v>
          </cell>
        </row>
        <row r="2667">
          <cell r="A2667" t="str">
            <v>5/10/2005 0:00</v>
          </cell>
          <cell r="E2667">
            <v>5642.83</v>
          </cell>
        </row>
        <row r="2668">
          <cell r="A2668" t="str">
            <v>2/17/2003 0:00</v>
          </cell>
          <cell r="E2668">
            <v>3273.6</v>
          </cell>
        </row>
        <row r="2669">
          <cell r="A2669" t="str">
            <v>4/29/2003 0:00</v>
          </cell>
          <cell r="E2669">
            <v>3268</v>
          </cell>
        </row>
        <row r="2670">
          <cell r="A2670" t="str">
            <v>8/10/2003 0:00</v>
          </cell>
          <cell r="E2670">
            <v>2688</v>
          </cell>
        </row>
        <row r="2671">
          <cell r="A2671" t="str">
            <v>10/6/2003 0:00</v>
          </cell>
          <cell r="E2671">
            <v>3715.2</v>
          </cell>
        </row>
        <row r="2672">
          <cell r="A2672" t="str">
            <v>10/28/2003 0:00</v>
          </cell>
          <cell r="E2672">
            <v>4608</v>
          </cell>
        </row>
        <row r="2673">
          <cell r="A2673" t="str">
            <v>12/1/2003 0:00</v>
          </cell>
          <cell r="E2673">
            <v>3131.2</v>
          </cell>
        </row>
        <row r="2674">
          <cell r="A2674" t="str">
            <v>1/12/2004 0:00</v>
          </cell>
          <cell r="E2674">
            <v>2678.4</v>
          </cell>
        </row>
        <row r="2675">
          <cell r="A2675" t="str">
            <v>2/20/2004 0:00</v>
          </cell>
          <cell r="E2675">
            <v>1747.2</v>
          </cell>
        </row>
        <row r="2676">
          <cell r="A2676" t="str">
            <v>4/2/2004 0:00</v>
          </cell>
          <cell r="E2676">
            <v>2944</v>
          </cell>
        </row>
        <row r="2677">
          <cell r="A2677" t="str">
            <v>5/11/2004 0:00</v>
          </cell>
          <cell r="E2677">
            <v>2956.8</v>
          </cell>
        </row>
        <row r="2678">
          <cell r="A2678" t="str">
            <v>6/24/2004 0:00</v>
          </cell>
          <cell r="E2678">
            <v>2052</v>
          </cell>
        </row>
        <row r="2679">
          <cell r="A2679" t="str">
            <v>7/23/2004 0:00</v>
          </cell>
          <cell r="E2679">
            <v>3164.8</v>
          </cell>
        </row>
        <row r="2680">
          <cell r="A2680" t="str">
            <v>8/21/2004 0:00</v>
          </cell>
          <cell r="E2680">
            <v>1740</v>
          </cell>
        </row>
        <row r="2681">
          <cell r="A2681" t="str">
            <v>9/15/2004 0:00</v>
          </cell>
          <cell r="E2681">
            <v>1777.6</v>
          </cell>
        </row>
        <row r="2682">
          <cell r="A2682" t="str">
            <v>10/15/2004 0:00</v>
          </cell>
          <cell r="E2682">
            <v>1831.2</v>
          </cell>
        </row>
        <row r="2683">
          <cell r="A2683" t="str">
            <v>11/1/2004 0:00</v>
          </cell>
          <cell r="E2683">
            <v>3609.6</v>
          </cell>
        </row>
        <row r="2684">
          <cell r="A2684" t="str">
            <v>11/12/2004 0:00</v>
          </cell>
          <cell r="E2684">
            <v>2112</v>
          </cell>
        </row>
        <row r="2685">
          <cell r="A2685" t="str">
            <v>11/24/2004 0:00</v>
          </cell>
          <cell r="E2685">
            <v>3644.12</v>
          </cell>
        </row>
        <row r="2686">
          <cell r="A2686" t="str">
            <v>12/4/2004 0:00</v>
          </cell>
          <cell r="E2686">
            <v>3523.85</v>
          </cell>
        </row>
        <row r="2687">
          <cell r="A2687" t="str">
            <v>12/17/2004 0:00</v>
          </cell>
          <cell r="E2687">
            <v>5001.92</v>
          </cell>
        </row>
        <row r="2688">
          <cell r="A2688" t="str">
            <v>2/3/2005 0:00</v>
          </cell>
          <cell r="E2688">
            <v>5208.72</v>
          </cell>
        </row>
        <row r="2689">
          <cell r="A2689" t="str">
            <v>3/1/2005 0:00</v>
          </cell>
          <cell r="E2689">
            <v>3018.88</v>
          </cell>
        </row>
        <row r="2690">
          <cell r="A2690" t="str">
            <v>3/30/2005 0:00</v>
          </cell>
          <cell r="E2690">
            <v>1902.4</v>
          </cell>
        </row>
        <row r="2691">
          <cell r="A2691" t="str">
            <v>4/3/2005 0:00</v>
          </cell>
          <cell r="E2691">
            <v>7084</v>
          </cell>
        </row>
        <row r="2692">
          <cell r="A2692" t="str">
            <v>5/10/2005 0:00</v>
          </cell>
          <cell r="E2692">
            <v>2620.8000000000002</v>
          </cell>
        </row>
        <row r="2693">
          <cell r="A2693" t="str">
            <v>2/11/2003 0:00</v>
          </cell>
          <cell r="E2693">
            <v>3164.46</v>
          </cell>
        </row>
        <row r="2694">
          <cell r="A2694" t="str">
            <v>4/21/2003 0:00</v>
          </cell>
          <cell r="E2694">
            <v>4219.2</v>
          </cell>
        </row>
        <row r="2695">
          <cell r="A2695" t="str">
            <v>6/12/2003 0:00</v>
          </cell>
          <cell r="E2695">
            <v>3828.3</v>
          </cell>
        </row>
        <row r="2696">
          <cell r="A2696" t="str">
            <v>8/8/2003 0:00</v>
          </cell>
          <cell r="E2696">
            <v>2334.9899999999998</v>
          </cell>
        </row>
        <row r="2697">
          <cell r="A2697" t="str">
            <v>9/28/2003 0:00</v>
          </cell>
          <cell r="E2697">
            <v>4407.5</v>
          </cell>
        </row>
        <row r="2698">
          <cell r="A2698" t="str">
            <v>10/23/2003 0:00</v>
          </cell>
          <cell r="E2698">
            <v>2812.8</v>
          </cell>
        </row>
        <row r="2699">
          <cell r="A2699" t="str">
            <v>11/7/2003 0:00</v>
          </cell>
          <cell r="E2699">
            <v>4055.04</v>
          </cell>
        </row>
        <row r="2700">
          <cell r="A2700" t="str">
            <v>11/14/2003 0:00</v>
          </cell>
          <cell r="E2700">
            <v>3891.66</v>
          </cell>
        </row>
        <row r="2701">
          <cell r="A2701" t="str">
            <v>11/26/2003 0:00</v>
          </cell>
          <cell r="E2701">
            <v>2488.3200000000002</v>
          </cell>
        </row>
        <row r="2702">
          <cell r="A2702" t="str">
            <v>1/2/2004 0:00</v>
          </cell>
          <cell r="E2702">
            <v>4447.3999999999996</v>
          </cell>
        </row>
        <row r="2703">
          <cell r="A2703" t="str">
            <v>2/19/2004 0:00</v>
          </cell>
          <cell r="E2703">
            <v>4187.22</v>
          </cell>
        </row>
        <row r="2704">
          <cell r="A2704" t="str">
            <v>3/20/2004 0:00</v>
          </cell>
          <cell r="E2704">
            <v>4615.68</v>
          </cell>
        </row>
        <row r="2705">
          <cell r="A2705" t="str">
            <v>5/7/2004 0:00</v>
          </cell>
          <cell r="E2705">
            <v>3245.4</v>
          </cell>
        </row>
        <row r="2706">
          <cell r="A2706" t="str">
            <v>6/17/2004 0:00</v>
          </cell>
          <cell r="E2706">
            <v>2203.75</v>
          </cell>
        </row>
        <row r="2707">
          <cell r="A2707" t="str">
            <v>7/21/2004 0:00</v>
          </cell>
          <cell r="E2707">
            <v>3446</v>
          </cell>
        </row>
        <row r="2708">
          <cell r="A2708" t="str">
            <v>8/20/2004 0:00</v>
          </cell>
          <cell r="E2708">
            <v>1939.3</v>
          </cell>
        </row>
        <row r="2709">
          <cell r="A2709" t="str">
            <v>9/10/2004 0:00</v>
          </cell>
          <cell r="E2709">
            <v>3473.78</v>
          </cell>
        </row>
        <row r="2710">
          <cell r="A2710" t="str">
            <v>10/14/2004 0:00</v>
          </cell>
          <cell r="E2710">
            <v>2884.8</v>
          </cell>
        </row>
        <row r="2711">
          <cell r="A2711" t="str">
            <v>10/29/2004 0:00</v>
          </cell>
          <cell r="E2711">
            <v>2670.65</v>
          </cell>
        </row>
        <row r="2712">
          <cell r="A2712" t="str">
            <v>11/10/2004 0:00</v>
          </cell>
          <cell r="E2712">
            <v>3440</v>
          </cell>
        </row>
        <row r="2713">
          <cell r="A2713" t="str">
            <v>11/21/2004 0:00</v>
          </cell>
          <cell r="E2713">
            <v>2770.78</v>
          </cell>
        </row>
        <row r="2714">
          <cell r="A2714" t="str">
            <v>12/2/2004 0:00</v>
          </cell>
          <cell r="E2714">
            <v>2397.54</v>
          </cell>
        </row>
        <row r="2715">
          <cell r="A2715" t="str">
            <v>1/31/2005 0:00</v>
          </cell>
          <cell r="E2715">
            <v>3275.56</v>
          </cell>
        </row>
        <row r="2716">
          <cell r="A2716" t="str">
            <v>3/1/2005 0:00</v>
          </cell>
          <cell r="E2716">
            <v>4143.6000000000004</v>
          </cell>
        </row>
        <row r="2717">
          <cell r="A2717" t="str">
            <v>3/28/2005 0:00</v>
          </cell>
          <cell r="E2717">
            <v>5192.6400000000003</v>
          </cell>
        </row>
        <row r="2718">
          <cell r="A2718" t="str">
            <v>5/6/2005 0:00</v>
          </cell>
          <cell r="E2718">
            <v>3029.04</v>
          </cell>
        </row>
        <row r="2719">
          <cell r="A2719" t="str">
            <v>2/11/2003 0:00</v>
          </cell>
          <cell r="E2719">
            <v>2556.1799999999998</v>
          </cell>
        </row>
        <row r="2720">
          <cell r="A2720" t="str">
            <v>4/16/2003 0:00</v>
          </cell>
          <cell r="E2720">
            <v>3753.9</v>
          </cell>
        </row>
        <row r="2721">
          <cell r="A2721" t="str">
            <v>6/12/2003 0:00</v>
          </cell>
          <cell r="E2721">
            <v>2562.3000000000002</v>
          </cell>
        </row>
        <row r="2722">
          <cell r="A2722" t="str">
            <v>8/8/2003 0:00</v>
          </cell>
          <cell r="E2722">
            <v>3245.58</v>
          </cell>
        </row>
        <row r="2723">
          <cell r="A2723" t="str">
            <v>9/28/2003 0:00</v>
          </cell>
          <cell r="E2723">
            <v>2204.6</v>
          </cell>
        </row>
        <row r="2724">
          <cell r="A2724" t="str">
            <v>10/23/2003 0:00</v>
          </cell>
          <cell r="E2724">
            <v>3003</v>
          </cell>
        </row>
        <row r="2725">
          <cell r="A2725" t="str">
            <v>11/7/2003 0:00</v>
          </cell>
          <cell r="E2725">
            <v>2526.48</v>
          </cell>
        </row>
        <row r="2726">
          <cell r="A2726" t="str">
            <v>11/14/2003 0:00</v>
          </cell>
          <cell r="E2726">
            <v>1747.9</v>
          </cell>
        </row>
        <row r="2727">
          <cell r="A2727" t="str">
            <v>11/26/2003 0:00</v>
          </cell>
          <cell r="E2727">
            <v>3267.25</v>
          </cell>
        </row>
        <row r="2728">
          <cell r="A2728" t="str">
            <v>1/2/2004 0:00</v>
          </cell>
          <cell r="E2728">
            <v>2818.53</v>
          </cell>
        </row>
        <row r="2729">
          <cell r="A2729" t="str">
            <v>2/19/2004 0:00</v>
          </cell>
          <cell r="E2729">
            <v>2955.54</v>
          </cell>
        </row>
        <row r="2730">
          <cell r="A2730" t="str">
            <v>3/20/2004 0:00</v>
          </cell>
          <cell r="E2730">
            <v>2885.05</v>
          </cell>
        </row>
        <row r="2731">
          <cell r="A2731" t="str">
            <v>5/7/2004 0:00</v>
          </cell>
          <cell r="E2731">
            <v>3162.95</v>
          </cell>
        </row>
        <row r="2732">
          <cell r="A2732" t="str">
            <v>6/17/2004 0:00</v>
          </cell>
          <cell r="E2732">
            <v>4071.5</v>
          </cell>
        </row>
        <row r="2733">
          <cell r="A2733" t="str">
            <v>7/21/2004 0:00</v>
          </cell>
          <cell r="E2733">
            <v>2969.46</v>
          </cell>
        </row>
        <row r="2734">
          <cell r="A2734" t="str">
            <v>8/20/2004 0:00</v>
          </cell>
          <cell r="E2734">
            <v>3396.44</v>
          </cell>
        </row>
        <row r="2735">
          <cell r="A2735" t="str">
            <v>9/10/2004 0:00</v>
          </cell>
          <cell r="E2735">
            <v>4692.6000000000004</v>
          </cell>
        </row>
        <row r="2736">
          <cell r="A2736" t="str">
            <v>10/14/2004 0:00</v>
          </cell>
          <cell r="E2736">
            <v>3515.7</v>
          </cell>
        </row>
        <row r="2737">
          <cell r="A2737" t="str">
            <v>10/29/2004 0:00</v>
          </cell>
          <cell r="E2737">
            <v>3380.69</v>
          </cell>
        </row>
        <row r="2738">
          <cell r="A2738" t="str">
            <v>11/10/2004 0:00</v>
          </cell>
          <cell r="E2738">
            <v>3204.57</v>
          </cell>
        </row>
        <row r="2739">
          <cell r="A2739" t="str">
            <v>11/21/2004 0:00</v>
          </cell>
          <cell r="E2739">
            <v>2588.04</v>
          </cell>
        </row>
        <row r="2740">
          <cell r="A2740" t="str">
            <v>12/2/2004 0:00</v>
          </cell>
          <cell r="E2740">
            <v>2854.75</v>
          </cell>
        </row>
        <row r="2741">
          <cell r="A2741" t="str">
            <v>1/31/2005 0:00</v>
          </cell>
          <cell r="E2741">
            <v>4025.6</v>
          </cell>
        </row>
        <row r="2742">
          <cell r="A2742" t="str">
            <v>3/1/2005 0:00</v>
          </cell>
          <cell r="E2742">
            <v>2864.4</v>
          </cell>
        </row>
        <row r="2743">
          <cell r="A2743" t="str">
            <v>3/28/2005 0:00</v>
          </cell>
          <cell r="E2743">
            <v>3789.72</v>
          </cell>
        </row>
        <row r="2744">
          <cell r="A2744" t="str">
            <v>5/6/2005 0:00</v>
          </cell>
          <cell r="E2744">
            <v>2439.9899999999998</v>
          </cell>
        </row>
        <row r="2745">
          <cell r="A2745" t="str">
            <v>2/17/2003 0:00</v>
          </cell>
          <cell r="E2745">
            <v>2949.12</v>
          </cell>
        </row>
        <row r="2746">
          <cell r="A2746" t="str">
            <v>4/28/2003 0:00</v>
          </cell>
          <cell r="E2746">
            <v>1539.72</v>
          </cell>
        </row>
        <row r="2747">
          <cell r="A2747" t="str">
            <v>6/16/2003 0:00</v>
          </cell>
          <cell r="E2747">
            <v>2213.38</v>
          </cell>
        </row>
        <row r="2748">
          <cell r="A2748" t="str">
            <v>8/10/2003 0:00</v>
          </cell>
          <cell r="E2748">
            <v>2919.58</v>
          </cell>
        </row>
        <row r="2749">
          <cell r="A2749" t="str">
            <v>10/6/2003 0:00</v>
          </cell>
          <cell r="E2749">
            <v>3778.28</v>
          </cell>
        </row>
        <row r="2750">
          <cell r="A2750" t="str">
            <v>10/28/2003 0:00</v>
          </cell>
          <cell r="E2750">
            <v>3233.49</v>
          </cell>
        </row>
        <row r="2751">
          <cell r="A2751" t="str">
            <v>11/8/2003 0:00</v>
          </cell>
          <cell r="E2751">
            <v>3431.25</v>
          </cell>
        </row>
        <row r="2752">
          <cell r="A2752" t="str">
            <v>11/27/2003 0:00</v>
          </cell>
          <cell r="E2752">
            <v>2546.8000000000002</v>
          </cell>
        </row>
        <row r="2753">
          <cell r="A2753" t="str">
            <v>1/12/2004 0:00</v>
          </cell>
          <cell r="E2753">
            <v>2953.86</v>
          </cell>
        </row>
        <row r="2754">
          <cell r="A2754" t="str">
            <v>2/19/2004 0:00</v>
          </cell>
          <cell r="E2754">
            <v>3183.29</v>
          </cell>
        </row>
        <row r="2755">
          <cell r="A2755" t="str">
            <v>4/2/2004 0:00</v>
          </cell>
          <cell r="E2755">
            <v>2466.6999999999998</v>
          </cell>
        </row>
        <row r="2756">
          <cell r="A2756" t="str">
            <v>5/11/2004 0:00</v>
          </cell>
          <cell r="E2756">
            <v>2363.2199999999998</v>
          </cell>
        </row>
        <row r="2757">
          <cell r="A2757" t="str">
            <v>6/24/2004 0:00</v>
          </cell>
          <cell r="E2757">
            <v>2487.4499999999998</v>
          </cell>
        </row>
        <row r="2758">
          <cell r="A2758" t="str">
            <v>7/23/2004 0:00</v>
          </cell>
          <cell r="E2758">
            <v>2249.0500000000002</v>
          </cell>
        </row>
        <row r="2759">
          <cell r="A2759" t="str">
            <v>8/21/2004 0:00</v>
          </cell>
          <cell r="E2759">
            <v>2061.12</v>
          </cell>
        </row>
        <row r="2760">
          <cell r="A2760" t="str">
            <v>9/15/2004 0:00</v>
          </cell>
          <cell r="E2760">
            <v>4071.14</v>
          </cell>
        </row>
        <row r="2761">
          <cell r="A2761" t="str">
            <v>10/15/2004 0:00</v>
          </cell>
          <cell r="E2761">
            <v>2656.29</v>
          </cell>
        </row>
        <row r="2762">
          <cell r="A2762" t="str">
            <v>11/1/2004 0:00</v>
          </cell>
          <cell r="E2762">
            <v>2736.36</v>
          </cell>
        </row>
        <row r="2763">
          <cell r="A2763" t="str">
            <v>11/12/2004 0:00</v>
          </cell>
          <cell r="E2763">
            <v>3348.93</v>
          </cell>
        </row>
        <row r="2764">
          <cell r="A2764" t="str">
            <v>11/23/2004 0:00</v>
          </cell>
          <cell r="E2764">
            <v>2893</v>
          </cell>
        </row>
        <row r="2765">
          <cell r="A2765" t="str">
            <v>12/3/2004 0:00</v>
          </cell>
          <cell r="E2765">
            <v>1661.22</v>
          </cell>
        </row>
        <row r="2766">
          <cell r="A2766" t="str">
            <v>12/17/2004 0:00</v>
          </cell>
          <cell r="E2766">
            <v>4277.3500000000004</v>
          </cell>
        </row>
        <row r="2767">
          <cell r="A2767" t="str">
            <v>1/31/2005 0:00</v>
          </cell>
          <cell r="E2767">
            <v>2502.9</v>
          </cell>
        </row>
        <row r="2768">
          <cell r="A2768" t="str">
            <v>3/1/2005 0:00</v>
          </cell>
          <cell r="E2768">
            <v>3801.6</v>
          </cell>
        </row>
        <row r="2769">
          <cell r="A2769" t="str">
            <v>3/30/2005 0:00</v>
          </cell>
          <cell r="E2769">
            <v>3144.96</v>
          </cell>
        </row>
        <row r="2770">
          <cell r="A2770" t="str">
            <v>4/3/2005 0:00</v>
          </cell>
          <cell r="E2770">
            <v>2031.4</v>
          </cell>
        </row>
        <row r="2771">
          <cell r="A2771" t="str">
            <v>5/10/2005 0:00</v>
          </cell>
          <cell r="E2771">
            <v>2674.17</v>
          </cell>
        </row>
        <row r="2772">
          <cell r="A2772" t="str">
            <v>2/17/2003 0:00</v>
          </cell>
          <cell r="E2772">
            <v>2526.7199999999998</v>
          </cell>
        </row>
        <row r="2773">
          <cell r="A2773" t="str">
            <v>4/28/2003 0:00</v>
          </cell>
          <cell r="E2773">
            <v>1348.76</v>
          </cell>
        </row>
        <row r="2774">
          <cell r="A2774" t="str">
            <v>6/16/2003 0:00</v>
          </cell>
          <cell r="E2774">
            <v>875.91</v>
          </cell>
        </row>
        <row r="2775">
          <cell r="A2775" t="str">
            <v>8/10/2003 0:00</v>
          </cell>
          <cell r="E2775">
            <v>1874.05</v>
          </cell>
        </row>
        <row r="2776">
          <cell r="A2776" t="str">
            <v>10/6/2003 0:00</v>
          </cell>
          <cell r="E2776">
            <v>1671.44</v>
          </cell>
        </row>
        <row r="2777">
          <cell r="A2777" t="str">
            <v>10/23/2003 0:00</v>
          </cell>
          <cell r="E2777">
            <v>1668.4</v>
          </cell>
        </row>
        <row r="2778">
          <cell r="A2778" t="str">
            <v>11/8/2003 0:00</v>
          </cell>
          <cell r="E2778">
            <v>2301.75</v>
          </cell>
        </row>
        <row r="2779">
          <cell r="A2779" t="str">
            <v>11/14/2003 0:00</v>
          </cell>
          <cell r="E2779">
            <v>1459.92</v>
          </cell>
        </row>
        <row r="2780">
          <cell r="A2780" t="str">
            <v>11/26/2003 0:00</v>
          </cell>
          <cell r="E2780">
            <v>1209.5899999999999</v>
          </cell>
        </row>
        <row r="2781">
          <cell r="A2781" t="str">
            <v>1/9/2004 0:00</v>
          </cell>
          <cell r="E2781">
            <v>2145.12</v>
          </cell>
        </row>
        <row r="2782">
          <cell r="A2782" t="str">
            <v>2/19/2004 0:00</v>
          </cell>
          <cell r="E2782">
            <v>1416.39</v>
          </cell>
        </row>
        <row r="2783">
          <cell r="A2783" t="str">
            <v>5/8/2004 0:00</v>
          </cell>
          <cell r="E2783">
            <v>1843.52</v>
          </cell>
        </row>
        <row r="2784">
          <cell r="A2784" t="str">
            <v>6/24/2004 0:00</v>
          </cell>
          <cell r="E2784">
            <v>1199.31</v>
          </cell>
        </row>
        <row r="2785">
          <cell r="A2785" t="str">
            <v>7/21/2004 0:00</v>
          </cell>
          <cell r="E2785">
            <v>1875.2</v>
          </cell>
        </row>
        <row r="2786">
          <cell r="A2786" t="str">
            <v>8/20/2004 0:00</v>
          </cell>
          <cell r="E2786">
            <v>2477.23</v>
          </cell>
        </row>
        <row r="2787">
          <cell r="A2787" t="str">
            <v>9/15/2004 0:00</v>
          </cell>
          <cell r="E2787">
            <v>948.99</v>
          </cell>
        </row>
        <row r="2788">
          <cell r="A2788" t="str">
            <v>10/14/2004 0:00</v>
          </cell>
          <cell r="E2788">
            <v>1823.42</v>
          </cell>
        </row>
        <row r="2789">
          <cell r="A2789" t="str">
            <v>11/1/2004 0:00</v>
          </cell>
          <cell r="E2789">
            <v>1485.8</v>
          </cell>
        </row>
        <row r="2790">
          <cell r="A2790" t="str">
            <v>11/15/2004 0:00</v>
          </cell>
          <cell r="E2790">
            <v>3789.72</v>
          </cell>
        </row>
        <row r="2791">
          <cell r="A2791" t="str">
            <v>11/23/2004 0:00</v>
          </cell>
          <cell r="E2791">
            <v>2060.37</v>
          </cell>
        </row>
        <row r="2792">
          <cell r="A2792" t="str">
            <v>12/3/2004 0:00</v>
          </cell>
          <cell r="E2792">
            <v>2579.36</v>
          </cell>
        </row>
        <row r="2793">
          <cell r="A2793" t="str">
            <v>12/17/2004 0:00</v>
          </cell>
          <cell r="E2793">
            <v>2189.6</v>
          </cell>
        </row>
        <row r="2794">
          <cell r="A2794" t="str">
            <v>1/31/2005 0:00</v>
          </cell>
          <cell r="E2794">
            <v>1624.25</v>
          </cell>
        </row>
        <row r="2795">
          <cell r="A2795" t="str">
            <v>3/1/2005 0:00</v>
          </cell>
          <cell r="E2795">
            <v>4357.5</v>
          </cell>
        </row>
        <row r="2796">
          <cell r="A2796" t="str">
            <v>3/30/2005 0:00</v>
          </cell>
          <cell r="E2796">
            <v>1367.48</v>
          </cell>
        </row>
        <row r="2797">
          <cell r="A2797" t="str">
            <v>4/1/2005 0:00</v>
          </cell>
          <cell r="E2797">
            <v>1122.4000000000001</v>
          </cell>
        </row>
        <row r="2798">
          <cell r="A2798" t="str">
            <v>5/9/2005 0:00</v>
          </cell>
          <cell r="E2798">
            <v>2419.62</v>
          </cell>
        </row>
        <row r="2799">
          <cell r="A2799" t="str">
            <v>2/11/2003 0:00</v>
          </cell>
          <cell r="E2799">
            <v>1419.5</v>
          </cell>
        </row>
        <row r="2800">
          <cell r="A2800" t="str">
            <v>4/16/2003 0:00</v>
          </cell>
          <cell r="E2800">
            <v>2184</v>
          </cell>
        </row>
        <row r="2801">
          <cell r="A2801" t="str">
            <v>6/12/2003 0:00</v>
          </cell>
          <cell r="E2801">
            <v>2079.04</v>
          </cell>
        </row>
        <row r="2802">
          <cell r="A2802" t="str">
            <v>8/8/2003 0:00</v>
          </cell>
          <cell r="E2802">
            <v>1724.97</v>
          </cell>
        </row>
        <row r="2803">
          <cell r="A2803" t="str">
            <v>9/28/2003 0:00</v>
          </cell>
          <cell r="E2803">
            <v>3003</v>
          </cell>
        </row>
        <row r="2804">
          <cell r="A2804" t="str">
            <v>10/23/2003 0:00</v>
          </cell>
          <cell r="E2804">
            <v>1846.42</v>
          </cell>
        </row>
        <row r="2805">
          <cell r="A2805" t="str">
            <v>11/7/2003 0:00</v>
          </cell>
          <cell r="E2805">
            <v>2009.2</v>
          </cell>
        </row>
        <row r="2806">
          <cell r="A2806" t="str">
            <v>11/14/2003 0:00</v>
          </cell>
          <cell r="E2806">
            <v>1804.04</v>
          </cell>
        </row>
        <row r="2807">
          <cell r="A2807" t="str">
            <v>11/26/2003 0:00</v>
          </cell>
          <cell r="E2807">
            <v>2109.66</v>
          </cell>
        </row>
        <row r="2808">
          <cell r="A2808" t="str">
            <v>1/2/2004 0:00</v>
          </cell>
          <cell r="E2808">
            <v>2682.96</v>
          </cell>
        </row>
        <row r="2809">
          <cell r="A2809" t="str">
            <v>2/19/2004 0:00</v>
          </cell>
          <cell r="E2809">
            <v>2280.2399999999998</v>
          </cell>
        </row>
        <row r="2810">
          <cell r="A2810" t="str">
            <v>3/20/2004 0:00</v>
          </cell>
          <cell r="E2810">
            <v>1192.56</v>
          </cell>
        </row>
        <row r="2811">
          <cell r="A2811" t="str">
            <v>5/7/2004 0:00</v>
          </cell>
          <cell r="E2811">
            <v>1506.96</v>
          </cell>
        </row>
        <row r="2812">
          <cell r="A2812" t="str">
            <v>6/17/2004 0:00</v>
          </cell>
          <cell r="E2812">
            <v>1472.62</v>
          </cell>
        </row>
        <row r="2813">
          <cell r="A2813" t="str">
            <v>7/21/2004 0:00</v>
          </cell>
          <cell r="E2813">
            <v>1696.82</v>
          </cell>
        </row>
        <row r="2814">
          <cell r="A2814" t="str">
            <v>8/20/2004 0:00</v>
          </cell>
          <cell r="E2814">
            <v>1693.56</v>
          </cell>
        </row>
        <row r="2815">
          <cell r="A2815" t="str">
            <v>9/9/2004 0:00</v>
          </cell>
          <cell r="E2815">
            <v>1921.92</v>
          </cell>
        </row>
        <row r="2816">
          <cell r="A2816" t="str">
            <v>10/14/2004 0:00</v>
          </cell>
          <cell r="E2816">
            <v>2082.85</v>
          </cell>
        </row>
        <row r="2817">
          <cell r="A2817" t="str">
            <v>10/29/2004 0:00</v>
          </cell>
          <cell r="E2817">
            <v>2227.6</v>
          </cell>
        </row>
        <row r="2818">
          <cell r="A2818" t="str">
            <v>11/10/2004 0:00</v>
          </cell>
          <cell r="E2818">
            <v>3209.38</v>
          </cell>
        </row>
        <row r="2819">
          <cell r="A2819" t="str">
            <v>11/21/2004 0:00</v>
          </cell>
          <cell r="E2819">
            <v>4080.72</v>
          </cell>
        </row>
        <row r="2820">
          <cell r="A2820" t="str">
            <v>12/2/2004 0:00</v>
          </cell>
          <cell r="E2820">
            <v>2244.4</v>
          </cell>
        </row>
        <row r="2821">
          <cell r="A2821" t="str">
            <v>1/31/2005 0:00</v>
          </cell>
          <cell r="E2821">
            <v>3978.51</v>
          </cell>
        </row>
        <row r="2822">
          <cell r="A2822" t="str">
            <v>3/1/2005 0:00</v>
          </cell>
          <cell r="E2822">
            <v>5417.57</v>
          </cell>
        </row>
        <row r="2823">
          <cell r="A2823" t="str">
            <v>3/28/2005 0:00</v>
          </cell>
          <cell r="E2823">
            <v>2116.16</v>
          </cell>
        </row>
        <row r="2824">
          <cell r="A2824" t="str">
            <v>5/6/2005 0:00</v>
          </cell>
          <cell r="E2824">
            <v>3079.44</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Dell" refreshedDate="46033.923272453707" createdVersion="5" refreshedVersion="5" minRefreshableVersion="3" recordCount="2832">
  <cacheSource type="worksheet">
    <worksheetSource ref="B1:B1048576" sheet="Sheet1"/>
  </cacheSource>
  <cacheFields count="1">
    <cacheField name="Region" numFmtId="0">
      <sharedItems containsBlank="1" count="4">
        <m/>
        <s v="EMEA"/>
        <s v="APAC"/>
        <s v="Japan"/>
      </sharedItems>
    </cacheField>
  </cacheFields>
  <extLst>
    <ext xmlns:x14="http://schemas.microsoft.com/office/spreadsheetml/2009/9/main" uri="{725AE2AE-9491-48be-B2B4-4EB974FC3084}">
      <x14:pivotCacheDefinition pivotCacheId="2"/>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033.925554629626" createdVersion="5" refreshedVersion="5" minRefreshableVersion="3" recordCount="2952">
  <cacheSource type="worksheet">
    <worksheetSource ref="F1:F1048576" sheet="Sheet1"/>
  </cacheSource>
  <cacheFields count="1">
    <cacheField name="Sales" numFmtId="0">
      <sharedItems containsString="0" containsBlank="1" containsNumber="1" minValue="482.13" maxValue="14082.8" count="2764">
        <n v="2871"/>
        <n v="2765.9"/>
        <n v="3884.34"/>
        <n v="3746.7"/>
        <n v="5205.2700000000004"/>
        <n v="3479.76"/>
        <n v="2497.77"/>
        <n v="5512.32"/>
        <n v="2168.54"/>
        <n v="4708.4399999999996"/>
        <n v="3965.66"/>
        <n v="2333.12"/>
        <n v="3188.64"/>
        <n v="3676.76"/>
        <n v="4177.3500000000004"/>
        <n v="4099.68"/>
        <n v="2597.39"/>
        <n v="4394.38"/>
        <n v="4358.04"/>
        <n v="4396.1400000000003"/>
        <n v="7737.93"/>
        <n v="1451"/>
        <n v="733.11"/>
        <n v="3207.12"/>
        <n v="2434.56"/>
        <n v="7516.08"/>
        <n v="5404.62"/>
        <n v="7209.11"/>
        <n v="7329.06"/>
        <n v="7374.1"/>
        <n v="10993.5"/>
        <n v="4860.24"/>
        <n v="8014.82"/>
        <n v="5372.57"/>
        <n v="7290.36"/>
        <n v="9064.89"/>
        <n v="6075.3"/>
        <n v="6463.23"/>
        <n v="6120.34"/>
        <n v="7680.64"/>
        <n v="4905.3900000000003"/>
        <n v="7136.19"/>
        <n v="10172.700000000001"/>
        <n v="11623.7"/>
        <n v="6000.4"/>
        <n v="3003"/>
        <n v="3944.7"/>
        <n v="5691.84"/>
        <n v="4514.92"/>
        <n v="8254.7999999999993"/>
        <n v="2416.56"/>
        <n v="4140.2299999999996"/>
        <n v="12001"/>
        <n v="3896.49"/>
        <n v="2793.86"/>
        <n v="3307.77"/>
        <n v="5192.95"/>
        <n v="5016.83"/>
        <n v="3660.93"/>
        <n v="4695.6000000000004"/>
        <n v="3660.92"/>
        <n v="3025.92"/>
        <n v="3009.09"/>
        <n v="5422.39"/>
        <n v="2852.08"/>
        <n v="5756.52"/>
        <n v="4472"/>
        <n v="2904.44"/>
        <n v="6484.59"/>
        <n v="3757.26"/>
        <n v="4043.96"/>
        <n v="5566.5"/>
        <n v="3176"/>
        <n v="2756.8"/>
        <n v="1329.9"/>
        <n v="5288.01"/>
        <n v="2225.5"/>
        <n v="5833.8"/>
        <n v="5887.35"/>
        <n v="6065.55"/>
        <n v="9264.86"/>
        <n v="7023.98"/>
        <n v="5176.38"/>
        <n v="4132.7"/>
        <n v="4183"/>
        <n v="8892.9"/>
        <n v="8714.7000000000007"/>
        <n v="8065.89"/>
        <n v="6123.4"/>
        <n v="9774.0300000000007"/>
        <n v="7023.9"/>
        <n v="7078.23"/>
        <n v="8336.94"/>
        <n v="6901.92"/>
        <n v="5438.07"/>
        <n v="6683.34"/>
        <n v="4570.3999999999996"/>
        <n v="7667.14"/>
        <n v="5868.2"/>
        <n v="2990.13"/>
        <n v="3664.1"/>
        <n v="3834.38"/>
        <n v="1822.17"/>
        <n v="11886.6"/>
        <n v="9218.16"/>
        <n v="7208"/>
        <n v="5004.8"/>
        <n v="4398.24"/>
        <n v="5597.76"/>
        <n v="4526.08"/>
        <n v="5924.16"/>
        <n v="3492.48"/>
        <n v="3854.24"/>
        <n v="5324.4"/>
        <n v="5197.92"/>
        <n v="5997.6"/>
        <n v="2910.4"/>
        <n v="3378.24"/>
        <n v="3508.8"/>
        <n v="2992"/>
        <n v="3427.2"/>
        <n v="2692.8"/>
        <n v="4128.96"/>
        <n v="3051.71"/>
        <n v="1201.25"/>
        <n v="1962.22"/>
        <n v="2624.64"/>
        <n v="4046.25"/>
        <n v="4846.7"/>
        <n v="3370.56"/>
        <n v="9661.44"/>
        <n v="2764.88"/>
        <n v="5398.26"/>
        <n v="4305.28"/>
        <n v="3347.74"/>
        <n v="3188.12"/>
        <n v="3191.2"/>
        <n v="3536.82"/>
        <n v="5362.83"/>
        <n v="3433.36"/>
        <n v="4263.74"/>
        <n v="4076.19"/>
        <n v="7020.48"/>
        <n v="6426.5"/>
        <n v="4591.72"/>
        <n v="4033.38"/>
        <n v="4302.08"/>
        <n v="7020.64"/>
        <n v="3855.9"/>
        <n v="6680.78"/>
        <n v="6678"/>
        <n v="2851.54"/>
        <n v="4428"/>
        <n v="5780.92"/>
        <n v="2297.0500000000002"/>
        <n v="6231.54"/>
        <n v="1735.3"/>
        <n v="4427.7299999999996"/>
        <n v="5894.94"/>
        <n v="5265.15"/>
        <n v="7599.9"/>
        <n v="8008.56"/>
        <n v="9245.76"/>
        <n v="8296.35"/>
        <n v="5019.8999999999996"/>
        <n v="5411.07"/>
        <n v="3840.9"/>
        <n v="3930.4"/>
        <n v="7498.9"/>
        <n v="4517.91"/>
        <n v="5774.72"/>
        <n v="3922.56"/>
        <n v="9160.36"/>
        <n v="9631"/>
        <n v="3432.24"/>
        <n v="5521.89"/>
        <n v="6934.62"/>
        <n v="6876.11"/>
        <n v="2930.27"/>
        <n v="3584.25"/>
        <n v="2817.87"/>
        <n v="3420"/>
        <n v="2575.04"/>
        <n v="1961.28"/>
        <n v="8690.36"/>
        <n v="6034.38"/>
        <n v="11279.2"/>
        <n v="8023.29"/>
        <n v="4904"/>
        <n v="8594.52"/>
        <n v="7474.5"/>
        <n v="3883.74"/>
        <n v="8887.7000000000007"/>
        <n v="8602.92"/>
        <n v="7181.44"/>
        <n v="8378.58"/>
        <n v="10606.2"/>
        <n v="5818.4"/>
        <n v="7071.27"/>
        <n v="8411.56"/>
        <n v="6570.76"/>
        <n v="7975.44"/>
        <n v="2688"/>
        <n v="1888.26"/>
        <n v="2513.2800000000002"/>
        <n v="4764.4799999999996"/>
        <n v="3560.64"/>
        <n v="3823.64"/>
        <n v="2280.96"/>
        <n v="8677.7999999999993"/>
        <n v="3394.98"/>
        <n v="3415.44"/>
        <n v="2439.5700000000002"/>
        <n v="4829.8"/>
        <n v="4100.1000000000004"/>
        <n v="6563.06"/>
        <n v="6817.22"/>
        <n v="6163.94"/>
        <n v="4933.92"/>
        <n v="4056.36"/>
        <n v="5759.42"/>
        <n v="3451"/>
        <n v="5920.4"/>
        <n v="6668.24"/>
        <n v="4094.72"/>
        <n v="2938.5"/>
        <n v="6387.8"/>
        <n v="6396"/>
        <n v="2669.1"/>
        <n v="4784.13"/>
        <n v="3273.93"/>
        <n v="3586.43"/>
        <n v="5960.36"/>
        <n v="8470.14"/>
        <n v="2952"/>
        <n v="2464.8000000000002"/>
        <n v="6232"/>
        <n v="7969.36"/>
        <n v="3036.6"/>
        <n v="8284"/>
        <n v="2711.2"/>
        <n v="8339.7999999999993"/>
        <n v="6238.84"/>
        <n v="4639.25"/>
        <n v="6747.6"/>
        <n v="4512.4799999999996"/>
        <n v="4029"/>
        <n v="4771.8"/>
        <n v="6087.94"/>
        <n v="4193.28"/>
        <n v="7552.28"/>
        <n v="6434.4"/>
        <n v="5181.5"/>
        <n v="6863.92"/>
        <n v="4157.04"/>
        <n v="4660.24"/>
        <n v="4111.8"/>
        <n v="3542.64"/>
        <n v="8118.55"/>
        <n v="3877.06"/>
        <n v="3867.08"/>
        <n v="5951.44"/>
        <n v="8648.64"/>
        <n v="3447.78"/>
        <n v="5958.5"/>
        <n v="5911.64"/>
        <n v="7366.44"/>
        <n v="4985.6400000000003"/>
        <n v="5393.64"/>
        <n v="4880.0200000000004"/>
        <n v="8378.69"/>
        <n v="4038.21"/>
        <n v="3807.12"/>
        <n v="3142.36"/>
        <n v="4713.6000000000004"/>
        <n v="7016.31"/>
        <n v="4381.25"/>
        <n v="4283.01"/>
        <n v="4364.82"/>
        <n v="4242.24"/>
        <n v="4982.7"/>
        <n v="6393.54"/>
        <n v="1466.91"/>
        <n v="4059.33"/>
        <n v="4801.5200000000004"/>
        <n v="2711.66"/>
        <n v="5862"/>
        <n v="4071.85"/>
        <n v="8236.75"/>
        <n v="6130.35"/>
        <n v="3693.34"/>
        <n v="6031.68"/>
        <n v="3494.94"/>
        <n v="5294.14"/>
        <n v="5464.69"/>
        <n v="2860.76"/>
        <n v="5590"/>
        <n v="2254.8000000000002"/>
        <n v="4946.76"/>
        <n v="2495.5"/>
        <n v="3167.38"/>
        <n v="2402.84"/>
        <n v="2454.54"/>
        <n v="4756.5"/>
        <n v="3984.6"/>
        <n v="3100.32"/>
        <n v="4850.3"/>
        <n v="3846.98"/>
        <n v="4220.92"/>
        <n v="3288.82"/>
        <n v="3987.2"/>
        <n v="1809.5"/>
        <n v="1092.2"/>
        <n v="4566.05"/>
        <n v="5938.14"/>
        <n v="8138.76"/>
        <n v="9470.94"/>
        <n v="7036.89"/>
        <n v="5559.03"/>
        <n v="7872.5"/>
        <n v="7886.2"/>
        <n v="7232.16"/>
        <n v="3114.4"/>
        <n v="5045.22"/>
        <n v="6952.12"/>
        <n v="4157.7299999999996"/>
        <n v="7962.24"/>
        <n v="3778.8"/>
        <n v="8253"/>
        <n v="3633.4"/>
        <n v="6913.8"/>
        <n v="2583.6"/>
        <n v="3105.62"/>
        <n v="4408.5600000000004"/>
        <n v="3042.41"/>
        <n v="5941.5"/>
        <n v="3241.9"/>
        <n v="6109.29"/>
        <n v="3387.78"/>
        <n v="3485.82"/>
        <n v="2042.88"/>
        <n v="1800.24"/>
        <n v="1340.64"/>
        <n v="1762.08"/>
        <n v="2298.2399999999998"/>
        <n v="1628"/>
        <n v="1939.2"/>
        <n v="3651.56"/>
        <n v="2591.96"/>
        <n v="2864.17"/>
        <n v="1484.2"/>
        <n v="2254.25"/>
        <n v="2681.35"/>
        <n v="3184.02"/>
        <n v="2846.63"/>
        <n v="1685.42"/>
        <n v="3988.6"/>
        <n v="2789.96"/>
        <n v="3607.56"/>
        <n v="3368.16"/>
        <n v="2775.08"/>
        <n v="1627.92"/>
        <n v="2529.36"/>
        <n v="3065.78"/>
        <n v="4615.78"/>
        <n v="5723.78"/>
        <n v="2559.6"/>
        <n v="2140.11"/>
        <n v="3327.6"/>
        <n v="6825.6"/>
        <n v="3543.28"/>
        <n v="4516.22"/>
        <n v="6445.46"/>
        <n v="3384.36"/>
        <n v="4891.68"/>
        <n v="4521.96"/>
        <n v="5069.66"/>
        <n v="6541.2"/>
        <n v="3012.27"/>
        <n v="5247.18"/>
        <n v="2214.87"/>
        <n v="4773.18"/>
        <n v="6185.7"/>
        <n v="1517.88"/>
        <n v="6372.6"/>
        <n v="5232.96"/>
        <n v="2694.72"/>
        <n v="1749.79"/>
        <n v="2130.56"/>
        <n v="5951.34"/>
        <n v="4692.6000000000004"/>
        <n v="3731.04"/>
        <n v="2142"/>
        <n v="2838.81"/>
        <n v="3230.37"/>
        <n v="5182"/>
        <n v="4391.1000000000004"/>
        <n v="4477.32"/>
        <n v="3544.56"/>
        <n v="5195.8500000000004"/>
        <n v="4180.4399999999996"/>
        <n v="2684.43"/>
        <n v="1958.88"/>
        <n v="4910.57"/>
        <n v="4468.3999999999996"/>
        <n v="3127.88"/>
        <n v="2675.13"/>
        <n v="2807.61"/>
        <n v="2504.75"/>
        <n v="2984.88"/>
        <n v="2524.86"/>
        <n v="4136"/>
        <n v="4068.7"/>
        <n v="5243.79"/>
        <n v="9048.16"/>
        <n v="3832.64"/>
        <n v="3920"/>
        <n v="4916.66"/>
        <n v="3857"/>
        <n v="4181.4399999999996"/>
        <n v="4641"/>
        <n v="3570.12"/>
        <n v="4480.32"/>
        <n v="2033.64"/>
        <n v="1960.14"/>
        <n v="3966.78"/>
        <n v="5152"/>
        <n v="3360"/>
        <n v="5453"/>
        <n v="4164.12"/>
        <n v="2800.08"/>
        <n v="4687.9399999999996"/>
        <n v="4508"/>
        <n v="2251.04"/>
        <n v="1167.25"/>
        <n v="2083.1999999999998"/>
        <n v="3822"/>
        <n v="3911.49"/>
        <n v="4704"/>
        <n v="2467.9"/>
        <n v="3213"/>
        <n v="7182"/>
        <n v="4379.18"/>
        <n v="3644.75"/>
        <n v="2702.04"/>
        <n v="3764.88"/>
        <n v="5418.16"/>
        <n v="3300.66"/>
        <n v="6182.4"/>
        <n v="4186.7299999999996"/>
        <n v="4529.28"/>
        <n v="5628.89"/>
        <n v="3054.48"/>
        <n v="2526.5100000000002"/>
        <n v="4667.8599999999997"/>
        <n v="6499.32"/>
        <n v="5917.78"/>
        <n v="6231.91"/>
        <n v="5803.14"/>
        <n v="6434.02"/>
        <n v="6454.4"/>
        <n v="4196.8"/>
        <n v="2611.8000000000002"/>
        <n v="5895.05"/>
        <n v="3375.72"/>
        <n v="8374.69"/>
        <n v="4464.24"/>
        <n v="4808.3100000000004"/>
        <n v="3288.78"/>
        <n v="3254.72"/>
        <n v="3184.94"/>
        <n v="5907.5"/>
        <n v="4389.12"/>
        <n v="5036.16"/>
        <n v="2183.25"/>
        <n v="3106.88"/>
        <n v="3735.72"/>
        <n v="2413.2600000000002"/>
        <n v="2953.75"/>
        <n v="4684.8"/>
        <n v="3248.7"/>
        <n v="5239.5"/>
        <n v="4567.9799999999996"/>
        <n v="3535.35"/>
        <n v="3843.34"/>
        <n v="3710.9"/>
        <n v="4375.9799999999996"/>
        <n v="1516.62"/>
        <n v="2509"/>
        <n v="9240.44"/>
        <n v="2515.3200000000002"/>
        <n v="5548.9"/>
        <n v="4873.05"/>
        <n v="2055.7399999999998"/>
        <n v="2354.88"/>
        <n v="2309.58"/>
        <n v="2113.37"/>
        <n v="1746.6"/>
        <n v="2304.4499999999998"/>
        <n v="2122.08"/>
        <n v="1742.4"/>
        <n v="2455.02"/>
        <n v="3053.28"/>
        <n v="1423.29"/>
        <n v="1504.12"/>
        <n v="1164.4000000000001"/>
        <n v="1500.75"/>
        <n v="1557.36"/>
        <n v="1345.68"/>
        <n v="1795.24"/>
        <n v="1105.25"/>
        <n v="2364.88"/>
        <n v="2427.0300000000002"/>
        <n v="1237.95"/>
        <n v="1593.02"/>
        <n v="3156.16"/>
        <n v="1320.75"/>
        <n v="4998"/>
        <n v="1293.75"/>
        <n v="5433.08"/>
        <n v="3073.72"/>
        <n v="4380.2"/>
        <n v="5848.68"/>
        <n v="6153.73"/>
        <n v="4965.24"/>
        <n v="5435.64"/>
        <n v="4258.3599999999997"/>
        <n v="4032"/>
        <n v="4492.3599999999997"/>
        <n v="4161.38"/>
        <n v="2508.66"/>
        <n v="3374.88"/>
        <n v="5196.6000000000004"/>
        <n v="2604.52"/>
        <n v="2936.8"/>
        <n v="3424.64"/>
        <n v="2923.2"/>
        <n v="4489.76"/>
        <n v="4849.24"/>
        <n v="5848.92"/>
        <n v="2758.7"/>
        <n v="1449.76"/>
        <n v="7048.14"/>
        <n v="5202.9399999999996"/>
        <n v="5279.4"/>
        <n v="6916.12"/>
        <n v="2781.66"/>
        <n v="5248"/>
        <n v="6531.44"/>
        <n v="5763.72"/>
        <n v="6490.68"/>
        <n v="6004.8"/>
        <n v="7483.98"/>
        <n v="5719.5"/>
        <n v="6954.08"/>
        <n v="8160.3"/>
        <n v="6567.96"/>
        <n v="6724"/>
        <n v="5747.85"/>
        <n v="5676.84"/>
        <n v="7379.97"/>
        <n v="3704.13"/>
        <n v="2804.75"/>
        <n v="5624.79"/>
        <n v="3881.28"/>
        <n v="1611.4"/>
        <n v="1364.25"/>
        <n v="4215.09"/>
        <n v="6433.82"/>
        <n v="4352.16"/>
        <n v="5151"/>
        <n v="6069"/>
        <n v="2856"/>
        <n v="5375.4"/>
        <n v="5176.5"/>
        <n v="7554.8"/>
        <n v="3141.6"/>
        <n v="5890.5"/>
        <n v="5967"/>
        <n v="3712.8"/>
        <n v="7597.3"/>
        <n v="3668.6"/>
        <n v="5875.2"/>
        <n v="7310"/>
        <n v="8078.4"/>
        <n v="3257.76"/>
        <n v="7650"/>
        <n v="4703.8100000000004"/>
        <n v="5399.55"/>
        <n v="14082.8"/>
        <n v="5283.6"/>
        <n v="3130.82"/>
        <n v="3112.34"/>
        <n v="3806.88"/>
        <n v="2142.14"/>
        <n v="3364.9"/>
        <n v="1262.8"/>
        <n v="1626.24"/>
        <n v="4088.7"/>
        <n v="3846.15"/>
        <n v="1339.8"/>
        <n v="3039.96"/>
        <n v="3400.32"/>
        <n v="1930.39"/>
        <n v="2464.77"/>
        <n v="2634.94"/>
        <n v="3625.16"/>
        <n v="3788.4"/>
        <n v="1832.6"/>
        <n v="2905.98"/>
        <n v="2954.81"/>
        <n v="3599.75"/>
        <n v="3686.54"/>
        <n v="2100.56"/>
        <n v="3881.78"/>
        <n v="4509.12"/>
        <n v="3273.27"/>
        <n v="4432.7"/>
        <n v="4100.99"/>
        <n v="5274.72"/>
        <n v="4232"/>
        <n v="6145.44"/>
        <n v="4680.2"/>
        <n v="3286.08"/>
        <n v="7421.3"/>
        <n v="6432.64"/>
        <n v="4840.87"/>
        <n v="3892.08"/>
        <n v="5526.32"/>
        <n v="4459.62"/>
        <n v="6203.4"/>
        <n v="3754.05"/>
        <n v="3516.48"/>
        <n v="7488.04"/>
        <n v="3448.08"/>
        <n v="3734"/>
        <n v="974.1"/>
        <n v="3160.74"/>
        <n v="1746.63"/>
        <n v="4207.84"/>
        <n v="4352.76"/>
        <n v="1463.7"/>
        <n v="7169.28"/>
        <n v="4594.76"/>
        <n v="3457.92"/>
        <n v="7381.16"/>
        <n v="7146.9"/>
        <n v="5938.53"/>
        <n v="7110.91"/>
        <n v="5032.95"/>
        <n v="3667.6"/>
        <n v="5128.1099999999997"/>
        <n v="7060.24"/>
        <n v="8448.64"/>
        <n v="7300.51"/>
        <n v="6549.2"/>
        <n v="5697.9"/>
        <n v="9169"/>
        <n v="3238.63"/>
        <n v="4554.9399999999996"/>
        <n v="3934.44"/>
        <n v="5776.26"/>
        <n v="7207.45"/>
        <n v="7460.74"/>
        <n v="6719.54"/>
        <n v="2428"/>
        <n v="2602.25"/>
        <n v="2200"/>
        <n v="6712.93"/>
        <n v="5318.04"/>
        <n v="3390"/>
        <n v="1608"/>
        <n v="2262.96"/>
        <n v="1496.64"/>
        <n v="1879.74"/>
        <n v="1495.26"/>
        <n v="2323.6999999999998"/>
        <n v="2491.86"/>
        <n v="1643.12"/>
        <n v="1322.16"/>
        <n v="1423.8"/>
        <n v="2397.4499999999998"/>
        <n v="1574"/>
        <n v="1729"/>
        <n v="2255.84"/>
        <n v="1834.5"/>
        <n v="3201.5"/>
        <n v="2276.4"/>
        <n v="8884.7999999999993"/>
        <n v="1331.1"/>
        <n v="3051.3"/>
        <n v="2288.52"/>
        <n v="3772.61"/>
        <n v="4164.42"/>
        <n v="6295.95"/>
        <n v="6287.66"/>
        <n v="5412.54"/>
        <n v="5984.14"/>
        <n v="5891.04"/>
        <n v="3608.15"/>
        <n v="5752.54"/>
        <n v="3765.32"/>
        <n v="2159.96"/>
        <n v="3379.94"/>
        <n v="5093.5"/>
        <n v="5773.44"/>
        <n v="4528.8599999999997"/>
        <n v="4816.08"/>
        <n v="3416.78"/>
        <n v="1236.8399999999999"/>
        <n v="5814.86"/>
        <n v="5223.4799999999996"/>
        <n v="728.4"/>
        <n v="3949"/>
        <n v="3843.99"/>
        <n v="5498.08"/>
        <n v="3777.58"/>
        <n v="3782"/>
        <n v="3859.68"/>
        <n v="4431.84"/>
        <n v="4950.33"/>
        <n v="4299.7"/>
        <n v="4492.83"/>
        <n v="2212"/>
        <n v="4642.88"/>
        <n v="3206.32"/>
        <n v="3604.23"/>
        <n v="7017.76"/>
        <n v="6154.18"/>
        <n v="4750.8"/>
        <n v="3822.92"/>
        <n v="2440.8000000000002"/>
        <n v="4729.3599999999997"/>
        <n v="12536.5"/>
        <n v="2264.15"/>
        <n v="3928.2"/>
        <n v="3630.22"/>
        <n v="4196.07"/>
        <n v="4931.6000000000004"/>
        <n v="3068.69"/>
        <n v="785.64"/>
        <n v="4977"/>
        <n v="1189.98"/>
        <n v="3090.15"/>
        <n v="2795.86"/>
        <n v="2701.92"/>
        <n v="2204.1"/>
        <n v="2840.48"/>
        <n v="2647.04"/>
        <n v="3172.05"/>
        <n v="2585.9299999999998"/>
        <n v="2148.3000000000002"/>
        <n v="1667.4"/>
        <n v="1859.7"/>
        <n v="1476.6"/>
        <n v="1732"/>
        <n v="1674.17"/>
        <n v="1500.98"/>
        <n v="2192.6799999999998"/>
        <n v="1797.58"/>
        <n v="2142.35"/>
        <n v="2086.92"/>
        <n v="6834.5"/>
        <n v="2541.59"/>
        <n v="2130.92"/>
        <n v="1701.7"/>
        <n v="1694"/>
        <n v="2913.53"/>
        <n v="935.18"/>
        <n v="3073.26"/>
        <n v="2082.4899999999998"/>
        <n v="3394.23"/>
        <n v="1490.16"/>
        <n v="3844"/>
        <n v="4724.91"/>
        <n v="1824.72"/>
        <n v="2668.68"/>
        <n v="2843.61"/>
        <n v="3163.65"/>
        <n v="2226.11"/>
        <n v="2069.75"/>
        <n v="2235.33"/>
        <n v="3116.43"/>
        <n v="4781.7"/>
        <n v="2810.7"/>
        <n v="3515.67"/>
        <n v="2909.34"/>
        <n v="1570.17"/>
        <n v="2613.92"/>
        <n v="3193.26"/>
        <n v="1482.6"/>
        <n v="2055.23"/>
        <n v="2674.9"/>
        <n v="1853.4"/>
        <n v="1490.1"/>
        <n v="2162.16"/>
        <n v="2814.28"/>
        <n v="1605"/>
        <n v="2093.44"/>
        <n v="1944.3"/>
        <n v="1986.8"/>
        <n v="1695.96"/>
        <n v="1281.56"/>
        <n v="1774.22"/>
        <n v="1997.5"/>
        <n v="2353.1999999999998"/>
        <n v="981.2"/>
        <n v="1550.72"/>
        <n v="1771.06"/>
        <n v="2213.4"/>
        <n v="5266.04"/>
        <n v="1864.8"/>
        <n v="1142.4100000000001"/>
        <n v="1172.5999999999999"/>
        <n v="6981"/>
        <n v="3064.6"/>
        <n v="2202.48"/>
        <n v="3773.38"/>
        <n v="5074.3900000000003"/>
        <n v="6483.46"/>
        <n v="7956.46"/>
        <n v="4230.62"/>
        <n v="7209.12"/>
        <n v="3452.68"/>
        <n v="3047.73"/>
        <n v="3675.32"/>
        <n v="7492.4"/>
        <n v="9534.5"/>
        <n v="5579.02"/>
        <n v="5950.34"/>
        <n v="3726"/>
        <n v="4455"/>
        <n v="8272.34"/>
        <n v="3577.6"/>
        <n v="3881.25"/>
        <n v="5797.44"/>
        <n v="1264.08"/>
        <n v="4815.3"/>
        <n v="4462.2"/>
        <n v="3033.28"/>
        <n v="990.78"/>
        <n v="2030.86"/>
        <n v="5433.75"/>
        <n v="3157.44"/>
        <n v="5161.2"/>
        <n v="4346.76"/>
        <n v="3528.36"/>
        <n v="3187.8"/>
        <n v="6023.16"/>
        <n v="3884.76"/>
        <n v="4965.84"/>
        <n v="4169.88"/>
        <n v="4910.3999999999996"/>
        <n v="3231.36"/>
        <n v="6853.44"/>
        <n v="5177.04"/>
        <n v="2824.8"/>
        <n v="4324.32"/>
        <n v="5052.96"/>
        <n v="3223.44"/>
        <n v="5278.68"/>
        <n v="2851.2"/>
        <n v="1687.4"/>
        <n v="1308"/>
        <n v="6144.6"/>
        <n v="5127.2"/>
        <n v="6386.16"/>
        <n v="7695.6"/>
        <n v="2242.89"/>
        <n v="2539.89"/>
        <n v="2795.27"/>
        <n v="5545.76"/>
        <n v="4285.46"/>
        <n v="3329.09"/>
        <n v="5592.22"/>
        <n v="3298.55"/>
        <n v="2609.88"/>
        <n v="3336.29"/>
        <n v="5510.05"/>
        <n v="2504.4"/>
        <n v="3525.6"/>
        <n v="4407"/>
        <n v="2983.44"/>
        <n v="5126.24"/>
        <n v="5713.79"/>
        <n v="4613.8"/>
        <n v="3711.1"/>
        <n v="3524.73"/>
        <n v="4814.3999999999996"/>
        <n v="3572.33"/>
        <n v="4581.3599999999997"/>
        <n v="4319.76"/>
        <n v="1448"/>
        <n v="881.4"/>
        <n v="2011.1"/>
        <n v="1801.24"/>
        <n v="3390.2"/>
        <n v="1424"/>
        <n v="1499.1"/>
        <n v="3358.08"/>
        <n v="1504.16"/>
        <n v="2655.12"/>
        <n v="1244.1600000000001"/>
        <n v="1888.88"/>
        <n v="1820.01"/>
        <n v="2866.95"/>
        <n v="1394.16"/>
        <n v="2632.28"/>
        <n v="2018.56"/>
        <n v="2954.53"/>
        <n v="1871.83"/>
        <n v="1559.04"/>
        <n v="1880.2"/>
        <n v="1224.67"/>
        <n v="2979.08"/>
        <n v="2208.64"/>
        <n v="3458.42"/>
        <n v="1237.8800000000001"/>
        <n v="2723.2"/>
        <n v="2218.52"/>
        <n v="1665.32"/>
        <n v="3421.04"/>
        <n v="1878.66"/>
        <n v="3853.6"/>
        <n v="3442.64"/>
        <n v="3482.16"/>
        <n v="3363.52"/>
        <n v="3350.52"/>
        <n v="2862.72"/>
        <n v="4036.04"/>
        <n v="2817.92"/>
        <n v="4636.38"/>
        <n v="1553.58"/>
        <n v="2697.6"/>
        <n v="3334.04"/>
        <n v="2059.2600000000002"/>
        <n v="2023.14"/>
        <n v="2586.64"/>
        <n v="1987.02"/>
        <n v="1146.5"/>
        <n v="2312.2399999999998"/>
        <n v="2793.71"/>
        <n v="1908.28"/>
        <n v="3441.37"/>
        <n v="2023.28"/>
        <n v="2245.1999999999998"/>
        <n v="3255.12"/>
        <n v="2539.5"/>
        <n v="4818.1499999999996"/>
        <n v="2921.7"/>
        <n v="1801.2"/>
        <n v="2804.36"/>
        <n v="4900.8"/>
        <n v="2759.31"/>
        <n v="2488.1999999999998"/>
        <n v="2769.89"/>
        <n v="3581.4"/>
        <n v="5285.14"/>
        <n v="3181.53"/>
        <n v="3340.51"/>
        <n v="3138.34"/>
        <n v="4775.08"/>
        <n v="3006.43"/>
        <n v="2866.26"/>
        <n v="2232.62"/>
        <n v="4457.0200000000004"/>
        <n v="2257.92"/>
        <n v="1592"/>
        <n v="4948.2"/>
        <n v="5160.76"/>
        <n v="1978.62"/>
        <n v="4288.2"/>
        <n v="2520.6799999999998"/>
        <n v="1781.22"/>
        <n v="3065.04"/>
        <n v="3551.34"/>
        <n v="5544.02"/>
        <n v="6034.33"/>
        <n v="3641.57"/>
        <n v="6930.74"/>
        <n v="3675.63"/>
        <n v="3442.04"/>
        <n v="6893.81"/>
        <n v="2622.48"/>
        <n v="4417.38"/>
        <n v="3606.02"/>
        <n v="3802.56"/>
        <n v="5026.3999999999996"/>
        <n v="6695.53"/>
        <n v="2819.28"/>
        <n v="3759.04"/>
        <n v="2731.8"/>
        <n v="1658.88"/>
        <n v="5778.24"/>
        <n v="5191.12"/>
        <n v="3862.88"/>
        <n v="1476.48"/>
        <n v="5273.73"/>
        <n v="4872.03"/>
        <n v="4556.99"/>
        <n v="8257"/>
        <n v="8209.44"/>
        <n v="3598.5"/>
        <n v="3837.24"/>
        <n v="8331.61"/>
        <n v="4836.5"/>
        <n v="5418.88"/>
        <n v="3734.01"/>
        <n v="3996.4"/>
        <n v="8754.69"/>
        <n v="5481.45"/>
        <n v="4419.8900000000003"/>
        <n v="6324.75"/>
        <n v="4409.72"/>
        <n v="3918.46"/>
        <n v="7620.5"/>
        <n v="8291.0400000000009"/>
        <n v="3937.25"/>
        <n v="5554.4"/>
        <n v="6407.86"/>
        <n v="4172.5200000000004"/>
        <n v="7083.37"/>
        <n v="7132.68"/>
        <n v="6773.6"/>
        <n v="3657.69"/>
        <n v="4812.55"/>
        <n v="3928.6"/>
        <n v="6401.22"/>
        <n v="4191.25"/>
        <n v="5852.52"/>
        <n v="2844.87"/>
        <n v="4011.66"/>
        <n v="7455.87"/>
        <n v="8940.9599999999991"/>
        <n v="4572.25"/>
        <n v="5700.09"/>
        <n v="3155.49"/>
        <n v="4170.6899999999996"/>
        <n v="2878.8"/>
        <n v="5029.5"/>
        <n v="7396.8"/>
        <n v="2991.68"/>
        <n v="6275.72"/>
        <n v="1534.95"/>
        <n v="7264.53"/>
        <n v="6869.05"/>
        <n v="3353.02"/>
        <n v="8289.0499999999993"/>
        <n v="11887.8"/>
        <n v="5926.9"/>
        <n v="3793.16"/>
        <n v="4330.1000000000004"/>
        <n v="2011.8"/>
        <n v="4837.18"/>
        <n v="2151.8200000000002"/>
        <n v="2573.46"/>
        <n v="5344.5"/>
        <n v="3070.52"/>
        <n v="3952.83"/>
        <n v="3564.75"/>
        <n v="5614.56"/>
        <n v="1855.41"/>
        <n v="4598.3999999999996"/>
        <n v="5082.42"/>
        <n v="5450.59"/>
        <n v="4174.92"/>
        <n v="2418.2399999999998"/>
        <n v="3670.4"/>
        <n v="2481.6999999999998"/>
        <n v="3807.68"/>
        <n v="2230.41"/>
        <n v="3814.64"/>
        <n v="2117.75"/>
        <n v="3340.48"/>
        <n v="2154"/>
        <n v="5808.48"/>
        <n v="1777.1"/>
        <n v="1536.57"/>
        <n v="3510"/>
        <n v="3097.44"/>
        <n v="1705.41"/>
        <n v="2264.3200000000002"/>
        <n v="2484.6"/>
        <n v="3415.68"/>
        <n v="2839.32"/>
        <n v="2730"/>
        <n v="3540.53"/>
        <n v="2999.97"/>
        <n v="1527.8"/>
        <n v="3907.8"/>
        <n v="2658.48"/>
        <n v="3042.68"/>
        <n v="3861.2"/>
        <n v="2171.0700000000002"/>
        <n v="3403.08"/>
        <n v="2245.8000000000002"/>
        <n v="1668.5"/>
        <n v="2773.8"/>
        <n v="2464"/>
        <n v="5491.6"/>
        <n v="4791.82"/>
        <n v="4178.8500000000004"/>
        <n v="3128.92"/>
        <n v="3095.4"/>
        <n v="3958.5"/>
        <n v="4991.4399999999996"/>
        <n v="2761.96"/>
        <n v="2848.23"/>
        <n v="2539.84"/>
        <n v="2444.4"/>
        <n v="4555.92"/>
        <n v="3666.96"/>
        <n v="3035.88"/>
        <n v="2321.54"/>
        <n v="3474.46"/>
        <n v="2501.98"/>
        <n v="3958.46"/>
        <n v="3535.95"/>
        <n v="3011.91"/>
        <n v="11336.7"/>
        <n v="2656.94"/>
        <n v="2604.25"/>
        <n v="3288.6"/>
        <n v="8935.5"/>
        <n v="4035.96"/>
        <n v="1875.09"/>
        <n v="4049.56"/>
        <n v="2469.39"/>
        <n v="5432.7"/>
        <n v="4405.22"/>
        <n v="3638"/>
        <n v="4444.92"/>
        <n v="3395.48"/>
        <n v="3414.58"/>
        <n v="5127.04"/>
        <n v="3745.28"/>
        <n v="4564.08"/>
        <n v="6554.24"/>
        <n v="6749.83"/>
        <n v="8427.02"/>
        <n v="3924.6"/>
        <n v="6761.6"/>
        <n v="3786.49"/>
        <n v="6266.12"/>
        <n v="3491"/>
        <n v="6548.3"/>
        <n v="3177.91"/>
        <n v="4142.6400000000003"/>
        <n v="4149.07"/>
        <n v="7397"/>
        <n v="6241.6"/>
        <n v="5331.88"/>
        <n v="5124.3"/>
        <n v="3639.44"/>
        <n v="5544"/>
        <n v="5493.12"/>
        <n v="5785.26"/>
        <n v="5340.6"/>
        <n v="5735.8"/>
        <n v="6357.6"/>
        <n v="7343.9"/>
        <n v="5959.22"/>
        <n v="4029.38"/>
        <n v="5035.1400000000003"/>
        <n v="4116.8"/>
        <n v="4310.55"/>
        <n v="6446.7"/>
        <n v="3616.64"/>
        <n v="4232.76"/>
        <n v="1765.66"/>
        <n v="3734.72"/>
        <n v="4808.38"/>
        <n v="2266.56"/>
        <n v="10468.9"/>
        <n v="5589.14"/>
        <n v="2914.11"/>
        <n v="1740.9"/>
        <n v="2266.1999999999998"/>
        <n v="3155.58"/>
        <n v="1357.86"/>
        <n v="2598.8200000000002"/>
        <n v="1057.56"/>
        <n v="3127.82"/>
        <n v="2488.14"/>
        <n v="2220.7199999999998"/>
        <n v="1357.72"/>
        <n v="1638.04"/>
        <n v="2626.08"/>
        <n v="1661.88"/>
        <n v="2173.6"/>
        <n v="2182.0500000000002"/>
        <n v="2819.88"/>
        <n v="2598.64"/>
        <n v="2019.27"/>
        <n v="1454.7"/>
        <n v="1657.57"/>
        <n v="2851.84"/>
        <n v="4609.6400000000003"/>
        <n v="5079.96"/>
        <n v="1879.92"/>
        <n v="4774.8599999999997"/>
        <n v="2687.04"/>
        <n v="3423.75"/>
        <n v="3455.76"/>
        <n v="3622.97"/>
        <n v="3599.58"/>
        <n v="5386.56"/>
        <n v="4918.78"/>
        <n v="2538.8000000000002"/>
        <n v="2498.6"/>
        <n v="3858.75"/>
        <n v="5600.5"/>
        <n v="4103.46"/>
        <n v="4287.5"/>
        <n v="5795.54"/>
        <n v="1863.4"/>
        <n v="4166.88"/>
        <n v="4080.07"/>
        <n v="3815.48"/>
        <n v="5526.45"/>
        <n v="3374.6"/>
        <n v="3024.5"/>
        <n v="1266.0999999999999"/>
        <n v="4811.8500000000004"/>
        <n v="7307.42"/>
        <n v="6209.25"/>
        <n v="5348.5"/>
        <n v="2780.58"/>
        <n v="3447"/>
        <n v="3791.52"/>
        <n v="4524.1000000000004"/>
        <n v="3337.6"/>
        <n v="5532.12"/>
        <n v="5096.91"/>
        <n v="4537.08"/>
        <n v="6146.8"/>
        <n v="8258"/>
        <n v="7238.28"/>
        <n v="6756"/>
        <n v="4674.8"/>
        <n v="7140.76"/>
        <n v="3600.65"/>
        <n v="4206.74"/>
        <n v="5379.71"/>
        <n v="5679.36"/>
        <n v="4394.84"/>
        <n v="2528.25"/>
        <n v="7031.52"/>
        <n v="5340.9"/>
        <n v="6376.58"/>
        <n v="6896.75"/>
        <n v="1903.22"/>
        <n v="2499.56"/>
        <n v="3081.24"/>
        <n v="3598.22"/>
        <n v="3912.09"/>
        <n v="1584.66"/>
        <n v="3942.72"/>
        <n v="2341.1999999999998"/>
        <n v="2482.11"/>
        <n v="3602.02"/>
        <n v="3566.94"/>
        <n v="3787.98"/>
        <n v="3704.05"/>
        <n v="2834.65"/>
        <n v="3392.26"/>
        <n v="3358.31"/>
        <n v="2203.11"/>
        <n v="2696.96"/>
        <n v="3376.64"/>
        <n v="541.14"/>
        <n v="6134.7"/>
        <n v="3382.5"/>
        <n v="2240.66"/>
        <n v="3962.88"/>
        <n v="1685.28"/>
        <n v="1834.36"/>
        <n v="1916.98"/>
        <n v="2611"/>
        <n v="3630.28"/>
        <n v="5090.5"/>
        <n v="3949.65"/>
        <n v="3491.67"/>
        <n v="2059.19"/>
        <n v="3170.16"/>
        <n v="1790.6"/>
        <n v="2345.9699999999998"/>
        <n v="3580.88"/>
        <n v="4946.0600000000004"/>
        <n v="3602.16"/>
        <n v="4300.5"/>
        <n v="4498.1899999999996"/>
        <n v="3023.1"/>
        <n v="3562.49"/>
        <n v="1640.24"/>
        <n v="4739.3999999999996"/>
        <n v="1207.68"/>
        <n v="4228.2"/>
        <n v="4815.45"/>
        <n v="7083"/>
        <n v="4601.2"/>
        <n v="6467.02"/>
        <n v="5012.55"/>
        <n v="5121.59"/>
        <n v="2441.04"/>
        <n v="4262.08"/>
        <n v="6658.02"/>
        <n v="4509.08"/>
        <n v="4716.2299999999996"/>
        <n v="2390.2199999999998"/>
        <n v="4666.62"/>
        <n v="5383.08"/>
        <n v="2482.25"/>
        <n v="5288.64"/>
        <n v="2184.38"/>
        <n v="2881.76"/>
        <n v="6203.06"/>
        <n v="6763.47"/>
        <n v="5884.65"/>
        <n v="3559.64"/>
        <n v="1668.37"/>
        <n v="4890.6000000000004"/>
        <n v="5235.72"/>
        <n v="4325.16"/>
        <n v="1938.89"/>
        <n v="2490.5"/>
        <n v="2314.69"/>
        <n v="1254.83"/>
        <n v="1282.8"/>
        <n v="1345.75"/>
        <n v="2194.2199999999998"/>
        <n v="1972"/>
        <n v="1835.98"/>
        <n v="1119.93"/>
        <n v="2082.88"/>
        <n v="1569.75"/>
        <n v="2694.15"/>
        <n v="1257.27"/>
        <n v="2567.84"/>
        <n v="2634.28"/>
        <n v="1502.78"/>
        <n v="1676.2"/>
        <n v="2217.15"/>
        <n v="6832.02"/>
        <n v="1916.64"/>
        <n v="7110.8"/>
        <n v="5302.8"/>
        <n v="7827.3"/>
        <n v="2095.4499999999998"/>
        <n v="1556.62"/>
        <n v="5565.12"/>
        <n v="3583.16"/>
        <n v="4705.18"/>
        <n v="4444.54"/>
        <n v="4618.88"/>
        <n v="4237.76"/>
        <n v="5673.58"/>
        <n v="5260.15"/>
        <n v="6350.96"/>
        <n v="3559.4"/>
        <n v="2410.6"/>
        <n v="5713.92"/>
        <n v="4300.32"/>
        <n v="7947.31"/>
        <n v="5356.8"/>
        <n v="7901.1"/>
        <n v="6101"/>
        <n v="6276.46"/>
        <n v="4203.5"/>
        <n v="1629.04"/>
        <n v="3289.86"/>
        <n v="6862.94"/>
        <n v="2574.1799999999998"/>
        <n v="1327.79"/>
        <n v="2356.25"/>
        <n v="2013.5"/>
        <n v="2807.22"/>
        <n v="3072.96"/>
        <n v="1906.5"/>
        <n v="3431.7"/>
        <n v="2084.75"/>
        <n v="2136.0100000000002"/>
        <n v="2009.7"/>
        <n v="2719.8"/>
        <n v="1575.08"/>
        <n v="1688.43"/>
        <n v="1672.1"/>
        <n v="1674.75"/>
        <n v="3472.98"/>
        <n v="1649.18"/>
        <n v="3751"/>
        <n v="4536"/>
        <n v="4421.34"/>
        <n v="2078.2800000000002"/>
        <n v="3069"/>
        <n v="1713.8"/>
        <n v="1506.5"/>
        <n v="2692.12"/>
        <n v="2422.08"/>
        <n v="3488.34"/>
        <n v="2583.34"/>
        <n v="1249.4000000000001"/>
        <n v="3374.71"/>
        <n v="1265.46"/>
        <n v="1681.46"/>
        <n v="3204"/>
        <n v="2398.7199999999998"/>
        <n v="2381.04"/>
        <n v="1944.54"/>
        <n v="2273.6999999999998"/>
        <n v="2116.5"/>
        <n v="1307.32"/>
        <n v="1726.37"/>
        <n v="1267.77"/>
        <n v="3441.82"/>
        <n v="1987.18"/>
        <n v="3880.2"/>
        <n v="1942.15"/>
        <n v="3259.92"/>
        <n v="1213.8"/>
        <n v="1086.5999999999999"/>
        <n v="1632.75"/>
        <n v="1734"/>
        <n v="1857.06"/>
        <n v="1863.41"/>
        <n v="2924.68"/>
        <n v="2294.1799999999998"/>
        <n v="1457.82"/>
        <n v="1955.88"/>
        <n v="2314.4"/>
        <n v="1310.96"/>
        <n v="2913.3"/>
        <n v="1357.78"/>
        <n v="2150"/>
        <n v="2783.25"/>
        <n v="2339.92"/>
        <n v="5972.4"/>
        <n v="2275.1999999999998"/>
        <n v="2673.44"/>
        <n v="2431.75"/>
        <n v="2018.72"/>
        <n v="1558.99"/>
        <n v="1104.5999999999999"/>
        <n v="2575.1"/>
        <n v="2845.75"/>
        <n v="3431.75"/>
        <n v="3273.9"/>
        <n v="4119.3999999999996"/>
        <n v="5355.68"/>
        <n v="5747.5"/>
        <n v="5355.36"/>
        <n v="2535.75"/>
        <n v="4351.2299999999996"/>
        <n v="2254"/>
        <n v="2921.28"/>
        <n v="2299"/>
        <n v="2637.18"/>
        <n v="4307.5200000000004"/>
        <n v="2153.7600000000002"/>
        <n v="3716.88"/>
        <n v="5455.76"/>
        <n v="2650.62"/>
        <n v="6437.28"/>
        <n v="2633.4"/>
        <n v="2278.5300000000002"/>
        <n v="4846"/>
        <n v="4197.1000000000004"/>
        <n v="4597.6499999999996"/>
        <n v="5287.7"/>
        <n v="3550.05"/>
        <n v="1721.73"/>
        <n v="2993.5"/>
        <n v="1295.06"/>
        <n v="2671.95"/>
        <n v="1226.5899999999999"/>
        <n v="1453.84"/>
        <n v="1830.22"/>
        <n v="2530.0100000000002"/>
        <n v="2241.4499999999998"/>
        <n v="2399.85"/>
        <n v="1557.72"/>
        <n v="845.25"/>
        <n v="1352.4"/>
        <n v="1584.8"/>
        <n v="2616"/>
        <n v="1129.04"/>
        <n v="2218.5"/>
        <n v="2028.48"/>
        <n v="1759.2"/>
        <n v="977.67"/>
        <n v="1463"/>
        <n v="3970.56"/>
        <n v="2576"/>
        <n v="2233.69"/>
        <n v="2481.64"/>
        <n v="4651.53"/>
        <n v="3858.1"/>
        <n v="3501.6"/>
        <n v="6433.7"/>
        <n v="2658.96"/>
        <n v="3608.76"/>
        <n v="2214.67"/>
        <n v="2747.53"/>
        <n v="3310.92"/>
        <n v="2380"/>
        <n v="2310.88"/>
        <n v="4061.76"/>
        <n v="3493.7"/>
        <n v="2872.25"/>
        <n v="4114.38"/>
        <n v="1063.6500000000001"/>
        <n v="2008.44"/>
        <n v="4328.6000000000004"/>
        <n v="1376.43"/>
        <n v="5552.16"/>
        <n v="3659.02"/>
        <n v="4165.6099999999997"/>
        <n v="1404"/>
        <n v="710.2"/>
        <n v="1702.8"/>
        <n v="1194.8399999999999"/>
        <n v="1007.14"/>
        <n v="977.43"/>
        <n v="1436.76"/>
        <n v="759.46"/>
        <n v="1189.44"/>
        <n v="683.8"/>
        <n v="1226.82"/>
        <n v="974.82"/>
        <n v="577.6"/>
        <n v="1106.93"/>
        <n v="694.6"/>
        <n v="1152.06"/>
        <n v="2624"/>
        <n v="3685.95"/>
        <n v="703.6"/>
        <n v="9720"/>
        <n v="834.67"/>
        <n v="8344.7099999999991"/>
        <n v="1801.94"/>
        <n v="1209.5999999999999"/>
        <n v="3155.14"/>
        <n v="2848.86"/>
        <n v="3570.29"/>
        <n v="3902.41"/>
        <n v="1474.66"/>
        <n v="2186.89"/>
        <n v="1919.4"/>
        <n v="3656"/>
        <n v="1847"/>
        <n v="1851"/>
        <n v="2633.78"/>
        <n v="3153.6"/>
        <n v="2803.2"/>
        <n v="2311.02"/>
        <n v="2399.4"/>
        <n v="2733.12"/>
        <n v="2096.3200000000002"/>
        <n v="2971.34"/>
        <n v="2257.58"/>
        <n v="3493.91"/>
        <n v="4398.8999999999996"/>
        <n v="3595.62"/>
        <n v="2443.29"/>
        <n v="5168.3999999999996"/>
        <n v="6341.21"/>
        <n v="5189.78"/>
        <n v="6027.75"/>
        <n v="3366"/>
        <n v="5456.4"/>
        <n v="3812.16"/>
        <n v="6083"/>
        <n v="3170.7"/>
        <n v="4534.6000000000004"/>
        <n v="4301.1499999999996"/>
        <n v="6804.63"/>
        <n v="5652.94"/>
        <n v="6960.48"/>
        <n v="4512.6000000000004"/>
        <n v="2784.76"/>
        <n v="5316.36"/>
        <n v="2941.89"/>
        <n v="3207.4"/>
        <n v="4215.05"/>
        <n v="4333.29"/>
        <n v="2087.13"/>
        <n v="1711.22"/>
        <n v="3910.53"/>
        <n v="2255.12"/>
        <n v="5720.75"/>
        <n v="3335.23"/>
        <n v="2472.96"/>
        <n v="1729.65"/>
        <n v="995.5"/>
        <n v="2414.7199999999998"/>
        <n v="1560.47"/>
        <n v="1112.94"/>
        <n v="1138.94"/>
        <n v="1012.4"/>
        <n v="913.92"/>
        <n v="2349.06"/>
        <n v="1161.1199999999999"/>
        <n v="1764.75"/>
        <n v="1690.9"/>
        <n v="2137.0500000000002"/>
        <n v="2177.1"/>
        <n v="1734.48"/>
        <n v="865.49"/>
        <n v="3500.1"/>
        <n v="2223.52"/>
        <n v="2311.6799999999998"/>
        <n v="828.36"/>
        <n v="856.52"/>
        <n v="1845.45"/>
        <n v="4042.08"/>
        <n v="1828"/>
        <n v="3680.28"/>
        <n v="2925.09"/>
        <n v="3415.77"/>
        <n v="5105.1400000000003"/>
        <n v="5098.8"/>
        <n v="4661.76"/>
        <n v="2969.96"/>
        <n v="3496.32"/>
        <n v="5760.93"/>
        <n v="6819.04"/>
        <n v="3148.88"/>
        <n v="5704.32"/>
        <n v="3520.6"/>
        <n v="5285.62"/>
        <n v="5605.05"/>
        <n v="2779.5"/>
        <n v="5398.08"/>
        <n v="3189.6"/>
        <n v="5581.8"/>
        <n v="3820.44"/>
        <n v="5528.04"/>
        <n v="5981.42"/>
        <n v="5684.65"/>
        <n v="3449.4"/>
        <n v="2654.4"/>
        <n v="8498"/>
        <n v="5510.54"/>
        <n v="2060.4499999999998"/>
        <n v="2460.16"/>
        <n v="1787.56"/>
        <n v="1645.65"/>
        <n v="2169.1799999999998"/>
        <n v="2816.18"/>
        <n v="2521.0500000000002"/>
        <n v="3199.98"/>
        <n v="1338.12"/>
        <n v="2972.58"/>
        <n v="2070.9"/>
        <n v="3092.6"/>
        <n v="2408.6999999999998"/>
        <n v="3472.54"/>
        <n v="2263.2800000000002"/>
        <n v="2194.17"/>
        <n v="1346.4"/>
        <n v="2533.63"/>
        <n v="3403.26"/>
        <n v="3307.2"/>
        <n v="2896.65"/>
        <n v="2632.89"/>
        <n v="2046"/>
        <n v="2279.5500000000002"/>
        <n v="2150.5500000000002"/>
        <n v="3360.45"/>
        <n v="2326.4"/>
        <n v="1545.6"/>
        <n v="2144.6"/>
        <n v="1639.22"/>
        <n v="2649.6"/>
        <n v="3845.6"/>
        <n v="4527.04"/>
        <n v="3966.3"/>
        <n v="4142.58"/>
        <n v="4441.5"/>
        <n v="3315.12"/>
        <n v="3918.53"/>
        <n v="2830.45"/>
        <n v="5298.86"/>
        <n v="2620.8000000000002"/>
        <n v="2181"/>
        <n v="3382.08"/>
        <n v="2876.75"/>
        <n v="4107.2"/>
        <n v="1350"/>
        <n v="3933.93"/>
        <n v="721.44"/>
        <n v="1489.41"/>
        <n v="891.03"/>
        <n v="1209.3"/>
        <n v="859.14"/>
        <n v="1151.44"/>
        <n v="1336.44"/>
        <n v="905.28"/>
        <n v="1247.4000000000001"/>
        <n v="846.51"/>
        <n v="1085.04"/>
        <n v="1767.43"/>
        <n v="1030.44"/>
        <n v="1585.36"/>
        <n v="813.2"/>
        <n v="1172.3399999999999"/>
        <n v="1510.56"/>
        <n v="1448.07"/>
        <n v="3338.1"/>
        <n v="1225.29"/>
        <n v="1336.68"/>
        <n v="2985.84"/>
        <n v="5545.8"/>
        <n v="6089.6"/>
        <n v="1789.4"/>
        <n v="1082.0999999999999"/>
        <n v="3659.32"/>
        <n v="2443.6"/>
        <n v="2349.9"/>
        <n v="1646.19"/>
        <n v="1670.26"/>
        <n v="1467.48"/>
        <n v="2748.56"/>
        <n v="1522.4"/>
        <n v="3255.36"/>
        <n v="3535.03"/>
        <n v="2608.96"/>
        <n v="1356.4"/>
        <n v="1611.36"/>
        <n v="2603.1999999999998"/>
        <n v="2219.6999999999998"/>
        <n v="1496.25"/>
        <n v="1884"/>
        <n v="2166.14"/>
        <n v="2828.16"/>
        <n v="6214.45"/>
        <n v="1867"/>
        <n v="2676.72"/>
        <n v="2182.44"/>
        <n v="1479.84"/>
        <n v="1424.22"/>
        <n v="5942.28"/>
        <n v="2348.75"/>
        <n v="4392.12"/>
        <n v="2759.75"/>
        <n v="2728.03"/>
        <n v="2395.8000000000002"/>
        <n v="3052.33"/>
        <n v="4242"/>
        <n v="2790.45"/>
        <n v="4340.49"/>
        <n v="2762.2"/>
        <n v="4645.72"/>
        <n v="5580.96"/>
        <n v="6539.04"/>
        <n v="5548.95"/>
        <n v="4595.41"/>
        <n v="1859.44"/>
        <n v="2093.7600000000002"/>
        <n v="4223.13"/>
        <n v="1596.76"/>
        <n v="5820.35"/>
        <n v="5296.5"/>
        <n v="930.9"/>
        <n v="1207.44"/>
        <n v="717.4"/>
        <n v="1066.75"/>
        <n v="1554"/>
        <n v="1277.6400000000001"/>
        <n v="1578.79"/>
        <n v="917.7"/>
        <n v="777"/>
        <n v="1476.28"/>
        <n v="1538.46"/>
        <n v="891.2"/>
        <n v="1706.8"/>
        <n v="1373.6"/>
        <n v="1205.5899999999999"/>
        <n v="1427.4"/>
        <n v="1649.28"/>
        <n v="1383.03"/>
        <n v="1229.51"/>
        <n v="1140.48"/>
        <n v="1575.6"/>
        <n v="1386.72"/>
        <n v="5018.3999999999996"/>
        <n v="5856.85"/>
        <n v="4894.7299999999996"/>
        <n v="2094.3200000000002"/>
        <n v="640.04999999999995"/>
        <n v="3193.52"/>
        <n v="3066.7"/>
        <n v="3883.11"/>
        <n v="4814.25"/>
        <n v="2826.27"/>
        <n v="1593.2"/>
        <n v="3266.1"/>
        <n v="2453.5500000000002"/>
        <n v="3910.4"/>
        <n v="1788"/>
        <n v="3328.07"/>
        <n v="3053.7"/>
        <n v="2005.74"/>
        <n v="2796.12"/>
        <n v="3159.96"/>
        <n v="3908.62"/>
        <n v="2606.48"/>
        <n v="2081.7600000000002"/>
        <n v="3519.85"/>
        <n v="10758"/>
        <n v="3021"/>
        <n v="1891.56"/>
        <n v="4208.41"/>
        <n v="2246.4"/>
        <n v="6107.4"/>
        <n v="1987.74"/>
        <n v="4068.96"/>
        <n v="2282.2199999999998"/>
        <n v="1541"/>
        <n v="1951.92"/>
        <n v="3107.61"/>
        <n v="2328.64"/>
        <n v="3184.8"/>
        <n v="2149.7399999999998"/>
        <n v="2114.58"/>
        <n v="4256.5600000000004"/>
        <n v="2344.98"/>
        <n v="2328.66"/>
        <n v="3575.04"/>
        <n v="2076"/>
        <n v="3305.25"/>
        <n v="1538.55"/>
        <n v="3325.92"/>
        <n v="3662.52"/>
        <n v="3478.64"/>
        <n v="1057.29"/>
        <n v="3385.9"/>
        <n v="1892.1"/>
        <n v="1707.14"/>
        <n v="1785.51"/>
        <n v="2057.4"/>
        <n v="3490"/>
        <n v="1506.96"/>
        <n v="2880.48"/>
        <n v="2206.6"/>
        <n v="2351.04"/>
        <n v="1205.04"/>
        <n v="2935.15"/>
        <n v="1263.8399999999999"/>
        <n v="1224.5999999999999"/>
        <n v="1359.4"/>
        <n v="1822.18"/>
        <n v="2163.7199999999998"/>
        <n v="1591.98"/>
        <n v="3078.5"/>
        <n v="2997.6"/>
        <n v="2747.8"/>
        <n v="2447.7600000000002"/>
        <n v="1910.84"/>
        <n v="2430.64"/>
        <n v="2896.3"/>
        <n v="1630.6"/>
        <n v="1459.6"/>
        <n v="1716.22"/>
        <n v="2560.4699999999998"/>
        <n v="1900.26"/>
        <n v="2019.84"/>
        <n v="1988.28"/>
        <n v="1449.84"/>
        <n v="1935.09"/>
        <n v="2793.24"/>
        <n v="3025.05"/>
        <n v="1742.5"/>
        <n v="3236.1"/>
        <n v="1735.92"/>
        <n v="2795.13"/>
        <n v="1671.52"/>
        <n v="1576.74"/>
        <n v="3615.71"/>
        <n v="2891.01"/>
        <n v="2598.44"/>
        <n v="3871.92"/>
        <n v="3036"/>
        <n v="2231.6"/>
        <n v="2436.7800000000002"/>
        <n v="1254.5999999999999"/>
        <n v="3724.42"/>
        <n v="5203"/>
        <n v="3469.5"/>
        <n v="3148.2"/>
        <n v="2167.2199999999998"/>
        <n v="6244.07"/>
        <n v="5566"/>
        <n v="4368.96"/>
        <n v="4039.26"/>
        <n v="4420.32"/>
        <n v="2341.71"/>
        <n v="5110.9799999999996"/>
        <n v="6168"/>
        <n v="4873.26"/>
        <n v="2120.14"/>
        <n v="4236.1400000000003"/>
        <n v="1888.95"/>
        <n v="1152.58"/>
        <n v="2492.88"/>
        <n v="1991.6"/>
        <n v="3953.18"/>
        <n v="3729.39"/>
        <n v="2617.16"/>
        <n v="3983.5"/>
        <n v="3169.95"/>
        <n v="3899.5"/>
        <n v="1851.73"/>
        <n v="2513.41"/>
        <n v="2431.94"/>
        <n v="1514.52"/>
        <n v="3079.44"/>
        <n v="1900.36"/>
        <n v="1974.06"/>
        <n v="3703.46"/>
        <n v="1755.13"/>
        <n v="4273.29"/>
        <n v="3984.96"/>
        <n v="2407.6799999999998"/>
        <n v="1697.3"/>
        <n v="2011.02"/>
        <n v="2306.25"/>
        <n v="1845"/>
        <n v="2493.12"/>
        <n v="1508.5"/>
        <n v="2394.3000000000002"/>
        <n v="3164.98"/>
        <n v="3351.09"/>
        <n v="3064.32"/>
        <n v="3891.81"/>
        <n v="5448.8"/>
        <n v="5494.97"/>
        <n v="6336.07"/>
        <n v="2906.97"/>
        <n v="4767.7"/>
        <n v="3819.56"/>
        <n v="3861.75"/>
        <n v="6319.35"/>
        <n v="6996.42"/>
        <n v="6949.67"/>
        <n v="4550"/>
        <n v="4479.63"/>
        <n v="5148"/>
        <n v="2932.08"/>
        <n v="3159.75"/>
        <n v="4297.32"/>
        <n v="7723.5"/>
        <n v="5497.65"/>
        <n v="4052.88"/>
        <n v="3135.93"/>
        <n v="5013.54"/>
        <n v="5302.72"/>
        <n v="2931.98"/>
        <n v="1757.91"/>
        <n v="6763.05"/>
        <n v="11739.7"/>
        <n v="9240"/>
        <n v="3241.5"/>
        <n v="1968.12"/>
        <n v="4094.5"/>
        <n v="1853.32"/>
        <n v="3392.84"/>
        <n v="1971.54"/>
        <n v="2169.9"/>
        <n v="2846.17"/>
        <n v="2018.4"/>
        <n v="2718.72"/>
        <n v="1981.65"/>
        <n v="3002.4"/>
        <n v="2948.16"/>
        <n v="3357.49"/>
        <n v="1175.1600000000001"/>
        <n v="2292.8000000000002"/>
        <n v="3286.49"/>
        <n v="2333.6999999999998"/>
        <n v="2675.05"/>
        <n v="4361.3999999999996"/>
        <n v="2018.58"/>
        <n v="3710.98"/>
        <n v="2847"/>
        <n v="3006.12"/>
        <n v="2797.84"/>
        <n v="3843.2"/>
        <n v="1351.08"/>
        <n v="1689.03"/>
        <n v="1654.56"/>
        <n v="1528.58"/>
        <n v="1013.48"/>
        <n v="1442.26"/>
        <n v="1163.05"/>
        <n v="971.98"/>
        <n v="902.66"/>
        <n v="1295.97"/>
        <n v="1534.72"/>
        <n v="1185.3"/>
        <n v="1698.78"/>
        <n v="1381.05"/>
        <n v="1340.46"/>
        <n v="965.04"/>
        <n v="1093.99"/>
        <n v="3166.84"/>
        <n v="2143.6799999999998"/>
        <n v="1717.64"/>
        <n v="4086.29"/>
        <n v="553.95000000000005"/>
        <n v="652.35"/>
        <n v="2921.62"/>
        <n v="5568.64"/>
        <n v="1939.8"/>
        <n v="3784.8"/>
        <n v="2802.09"/>
        <n v="2384.64"/>
        <n v="2915.66"/>
        <n v="5795.72"/>
        <n v="3699.88"/>
        <n v="2980.6"/>
        <n v="5032.74"/>
        <n v="4737.1499999999996"/>
        <n v="6311.2"/>
        <n v="3070.54"/>
        <n v="4797.3900000000003"/>
        <n v="3832.38"/>
        <n v="4641.4799999999996"/>
        <n v="4000.26"/>
        <n v="5325.76"/>
        <n v="4618.6899999999996"/>
        <n v="3182.97"/>
        <n v="2603.04"/>
        <n v="1408.96"/>
        <n v="1972.11"/>
        <n v="5207.75"/>
        <n v="4253.2"/>
        <n v="2873"/>
        <n v="2253.6799999999998"/>
        <n v="3576.12"/>
        <n v="3276.13"/>
        <n v="1811.4"/>
        <n v="3845.1"/>
        <n v="2571.14"/>
        <n v="5035.1099999999997"/>
        <n v="2279"/>
        <n v="3213.87"/>
        <n v="3532.23"/>
        <n v="3406.59"/>
        <n v="3467.2"/>
        <n v="3628.94"/>
        <n v="4674.72"/>
        <n v="1656.69"/>
        <n v="5171.3999999999996"/>
        <n v="3342.57"/>
        <n v="4884.88"/>
        <n v="6267.69"/>
        <n v="4424.16"/>
        <n v="1962.09"/>
        <n v="6847"/>
        <n v="3476.8"/>
        <n v="4592.6099999999997"/>
        <n v="2208.92"/>
        <n v="1657.76"/>
        <n v="2479.21"/>
        <n v="3565.92"/>
        <n v="2797.41"/>
        <n v="3756"/>
        <n v="2840"/>
        <n v="1716.26"/>
        <n v="3245.6"/>
        <n v="2760.94"/>
        <n v="1808.4"/>
        <n v="1682.37"/>
        <n v="1491"/>
        <n v="1666.35"/>
        <n v="3666.08"/>
        <n v="2916.2"/>
        <n v="2616.98"/>
        <n v="3390.8"/>
        <n v="3146.5"/>
        <n v="1561.5"/>
        <n v="10039.6"/>
        <n v="3167"/>
        <n v="3521.25"/>
        <n v="4219.28"/>
        <n v="3581.76"/>
        <n v="2130.0100000000002"/>
        <n v="2063.06"/>
        <n v="2008.13"/>
        <n v="2004.77"/>
        <n v="1543.3"/>
        <n v="2269.92"/>
        <n v="1991.92"/>
        <n v="2916.76"/>
        <n v="2027.52"/>
        <n v="3235.18"/>
        <n v="2062.94"/>
        <n v="3317.78"/>
        <n v="3913.69"/>
        <n v="3608.64"/>
        <n v="3524.8"/>
        <n v="2586.88"/>
        <n v="4753.49"/>
        <n v="3684.67"/>
        <n v="5715.4"/>
        <n v="3098.7"/>
        <n v="2670.92"/>
        <n v="5154.41"/>
        <n v="4894.17"/>
        <n v="2472.6"/>
        <n v="3224.31"/>
        <n v="3667.52"/>
        <n v="4141.33"/>
        <n v="2829.58"/>
        <n v="3068.55"/>
        <n v="2634.96"/>
        <n v="2436.7199999999998"/>
        <n v="4607.3599999999997"/>
        <n v="3598.99"/>
        <n v="3964.1"/>
        <n v="2244.9"/>
        <n v="2793"/>
        <n v="4133.6400000000003"/>
        <n v="3900.6"/>
        <n v="2743.04"/>
        <n v="2402.0700000000002"/>
        <n v="2178.54"/>
        <n v="3155.04"/>
        <n v="2366.2800000000002"/>
        <n v="1963.6"/>
        <n v="4746.28"/>
        <n v="6386.94"/>
        <n v="4044.04"/>
        <n v="2708.42"/>
        <n v="2904.72"/>
        <n v="3553.88"/>
        <n v="1858"/>
        <n v="2461.36"/>
        <n v="2642.01"/>
        <n v="3244.36"/>
        <n v="4351.16"/>
        <n v="3675.86"/>
        <n v="2475.27"/>
        <n v="4177.49"/>
        <n v="3282.28"/>
        <n v="2477.21"/>
        <n v="1883.93"/>
        <n v="3658.93"/>
        <n v="2856.88"/>
        <n v="1917.84"/>
        <n v="5305.36"/>
        <n v="2875.95"/>
        <n v="6482.85"/>
        <n v="3733.82"/>
        <n v="6576.5"/>
        <n v="6353.27"/>
        <n v="4175.6000000000004"/>
        <n v="4992.6099999999997"/>
        <n v="4764.6000000000004"/>
        <n v="1173.1500000000001"/>
        <n v="1384.46"/>
        <n v="1327.59"/>
        <n v="1109.8"/>
        <n v="1239"/>
        <n v="1035.58"/>
        <n v="1545.64"/>
        <n v="1517.54"/>
        <n v="1731.84"/>
        <n v="1695.49"/>
        <n v="1045.98"/>
        <n v="1738.08"/>
        <n v="651.79999999999995"/>
        <n v="988.47"/>
        <n v="1518.11"/>
        <n v="1013.76"/>
        <n v="1549.8"/>
        <n v="1108.3800000000001"/>
        <n v="4102.5600000000004"/>
        <n v="3713.16"/>
        <n v="1513.54"/>
        <n v="2317.44"/>
        <n v="3298.4"/>
        <n v="1826.96"/>
        <n v="1206.9000000000001"/>
        <n v="1666.7"/>
        <n v="1560.44"/>
        <n v="2337.75"/>
        <n v="1103.76"/>
        <n v="2617.85"/>
        <n v="2207.52"/>
        <n v="3165.5"/>
        <n v="2071.41"/>
        <n v="1385.28"/>
        <n v="1621.62"/>
        <n v="1931.65"/>
        <n v="1244.53"/>
        <n v="1704.5"/>
        <n v="1753.2"/>
        <n v="1710.89"/>
        <n v="2326.5"/>
        <n v="2316"/>
        <n v="1727.1"/>
        <n v="8844.1200000000008"/>
        <n v="2424"/>
        <n v="1535.49"/>
        <n v="6358.68"/>
        <n v="1329.4"/>
        <n v="1701.76"/>
        <n v="2259.7199999999998"/>
        <n v="925.3"/>
        <n v="482.13"/>
        <n v="3227.63"/>
        <n v="1711.26"/>
        <n v="2054.36"/>
        <n v="3131.94"/>
        <n v="1681.35"/>
        <n v="2351.36"/>
        <n v="1408"/>
        <n v="2445.6"/>
        <n v="1804.44"/>
        <n v="2544.75"/>
        <n v="1056.4000000000001"/>
        <n v="2801.4"/>
        <n v="1988.4"/>
        <n v="2908.35"/>
        <n v="2147.4"/>
        <n v="2099.63"/>
        <n v="2315.1799999999998"/>
        <n v="2327.15"/>
        <n v="5377.4"/>
        <n v="2626.01"/>
        <n v="4406.3999999999996"/>
        <n v="4301.22"/>
        <n v="2986.5"/>
        <n v="1587.08"/>
        <n v="1193.04"/>
        <n v="3403.35"/>
        <n v="1575.96"/>
        <n v="1630.2"/>
        <n v="1701.28"/>
        <n v="2850.82"/>
        <n v="2692.06"/>
        <n v="2174.42"/>
        <n v="3167.36"/>
        <n v="2142.66"/>
        <n v="2117.52"/>
        <n v="2419.9499999999998"/>
        <n v="2191.1999999999998"/>
        <n v="3043.04"/>
        <n v="1228.2"/>
        <n v="1330.35"/>
        <n v="2792.52"/>
        <n v="2296"/>
        <n v="2629.44"/>
        <n v="1912.16"/>
        <n v="2431.77"/>
        <n v="3139.99"/>
        <n v="5669.64"/>
        <n v="3160.25"/>
        <n v="6799.68"/>
        <n v="1867.32"/>
        <n v="2406.36"/>
        <n v="2094.67"/>
        <n v="2797.9"/>
        <n v="1637.2"/>
        <n v="2281.91"/>
        <n v="2307.2399999999998"/>
        <n v="1320.8"/>
        <n v="2642.82"/>
        <n v="3061"/>
        <n v="3164.4"/>
        <n v="1791.16"/>
        <n v="4093"/>
        <n v="2234.4"/>
        <n v="3037.84"/>
        <n v="1419.84"/>
        <n v="1948.08"/>
        <n v="1780.4"/>
        <n v="3544.17"/>
        <n v="3619.44"/>
        <n v="3918.95"/>
        <n v="1483.02"/>
        <n v="4819.26"/>
        <n v="1591.72"/>
        <n v="3669.78"/>
        <n v="2168.5"/>
        <n v="2694"/>
        <n v="3251.34"/>
        <n v="2347.15"/>
        <n v="3920.88"/>
        <n v="2514.6"/>
        <n v="3600.24"/>
        <n v="4040.03"/>
        <n v="3336.9"/>
        <n v="3113.64"/>
        <n v="2832"/>
        <n v="3330.98"/>
        <n v="4304.6400000000003"/>
        <n v="2600.2600000000002"/>
        <n v="4382.16"/>
        <n v="4235"/>
        <n v="2626.8"/>
        <n v="5026.5600000000004"/>
        <n v="2201.62"/>
        <n v="4326.8"/>
        <n v="3425.18"/>
        <n v="4701.88"/>
        <n v="5189.3999999999996"/>
        <n v="1565.85"/>
        <n v="2480.38"/>
        <n v="1355.13"/>
        <n v="1246.44"/>
        <n v="820.4"/>
        <n v="2492.64"/>
        <n v="1113.5999999999999"/>
        <n v="1763.86"/>
        <n v="1896.66"/>
        <n v="1449.35"/>
        <n v="1869.48"/>
        <n v="1860.53"/>
        <n v="1724.82"/>
        <n v="1713.69"/>
        <n v="1259.44"/>
        <n v="2051.08"/>
        <n v="1617.38"/>
        <n v="1765.62"/>
        <n v="2024.8"/>
        <n v="3288.4"/>
        <n v="2725.47"/>
        <n v="3224.2"/>
        <n v="3211.38"/>
        <n v="1796.34"/>
        <n v="1979.6"/>
        <n v="1921.41"/>
        <n v="3705.24"/>
        <n v="2843.91"/>
        <n v="6176.42"/>
        <n v="5500.44"/>
        <n v="3220.1"/>
        <n v="4556.16"/>
        <n v="3114.89"/>
        <n v="5161.17"/>
        <n v="2657.76"/>
        <n v="3983.05"/>
        <n v="3974.94"/>
        <n v="2928.42"/>
        <n v="3054.57"/>
        <n v="3345.26"/>
        <n v="4310.72"/>
        <n v="4983.1400000000003"/>
        <n v="4618.32"/>
        <n v="3403.12"/>
        <n v="5190.42"/>
        <n v="3141.57"/>
        <n v="4896.7"/>
        <n v="2714.4"/>
        <n v="3087.05"/>
        <n v="5692.96"/>
        <n v="3460.86"/>
        <n v="1895.94"/>
        <n v="1705.92"/>
        <n v="1033.4100000000001"/>
        <n v="3179.52"/>
        <n v="2091.1799999999998"/>
        <n v="1779.71"/>
        <n v="2537.64"/>
        <n v="2448.7199999999998"/>
        <n v="972.4"/>
        <n v="2856.14"/>
        <n v="1968.3"/>
        <n v="2056.1999999999998"/>
        <n v="2242.02"/>
        <n v="3128.65"/>
        <n v="2443.2600000000002"/>
        <n v="2470.86"/>
        <n v="1927.45"/>
        <n v="2051.56"/>
        <n v="2337.38"/>
        <n v="5932.96"/>
        <n v="2296.77"/>
        <n v="6490.88"/>
        <n v="1623.25"/>
        <n v="1405.92"/>
        <n v="2282.2800000000002"/>
        <n v="8977.0499999999993"/>
        <n v="3256.35"/>
        <n v="2821.66"/>
        <n v="3293.4"/>
        <n v="4224"/>
        <n v="3091.68"/>
        <n v="2219.6"/>
        <n v="3866.4"/>
        <n v="1964.76"/>
        <n v="2668.8"/>
        <n v="3222"/>
        <n v="3864.5"/>
        <n v="1366.8"/>
        <n v="3475.68"/>
        <n v="4206.5"/>
        <n v="1486.38"/>
        <n v="3077.88"/>
        <n v="3544.2"/>
        <n v="2483.04"/>
        <n v="3478.05"/>
        <n v="3657.8"/>
        <n v="4682.3599999999997"/>
        <n v="3937.7"/>
        <n v="4984.32"/>
        <n v="5406.66"/>
        <n v="3491.18"/>
        <n v="2118.54"/>
        <n v="2897.47"/>
        <n v="1916.75"/>
        <n v="1860"/>
        <n v="2780.81"/>
        <n v="3239.62"/>
        <n v="1824"/>
        <n v="1134"/>
        <n v="1487.41"/>
        <n v="2837.46"/>
        <n v="1942.77"/>
        <n v="2544.12"/>
        <n v="2568.2399999999998"/>
        <n v="2108"/>
        <n v="1372.14"/>
        <n v="3540.15"/>
        <n v="1958.84"/>
        <n v="2700"/>
        <n v="2542"/>
        <n v="2340"/>
        <n v="2816.44"/>
        <n v="3526.82"/>
        <n v="4627.92"/>
        <n v="1933.5"/>
        <n v="2600.13"/>
        <n v="2639.58"/>
        <n v="3312.97"/>
        <n v="3863.87"/>
        <n v="1863.36"/>
        <n v="3945.96"/>
        <n v="4954.08"/>
        <n v="3989.76"/>
        <n v="1649.55"/>
        <n v="2534.75"/>
        <n v="2580.25"/>
        <n v="2831.54"/>
        <n v="3361.2"/>
        <n v="2864.32"/>
        <n v="1994.88"/>
        <n v="4296.6000000000004"/>
        <n v="2224.9499999999998"/>
        <n v="2795.14"/>
        <n v="2762.1"/>
        <n v="2658"/>
        <n v="5043.87"/>
        <n v="1210.8"/>
        <n v="3029.19"/>
        <n v="10066.6"/>
        <n v="4121.43"/>
        <n v="1135.31"/>
        <n v="2100.8200000000002"/>
        <n v="2034.35"/>
        <n v="3027.84"/>
        <n v="3104"/>
        <n v="3612.43"/>
        <n v="2711.88"/>
        <n v="3013.97"/>
        <n v="2738.54"/>
        <n v="4720"/>
        <n v="2231"/>
        <n v="2296.84"/>
        <n v="4157.2"/>
        <n v="2146.1999999999998"/>
        <n v="3724.23"/>
        <n v="2084.81"/>
        <n v="3488.78"/>
        <n v="1753.06"/>
        <n v="3469.2"/>
        <n v="2530.8000000000002"/>
        <n v="2924.32"/>
        <n v="4496.8"/>
        <n v="6397.44"/>
        <n v="2577.6"/>
        <n v="3533.62"/>
        <n v="3177.3"/>
        <n v="2730.06"/>
        <n v="1891.78"/>
        <n v="2612.48"/>
        <n v="2925.76"/>
        <n v="2940.02"/>
        <n v="3293.24"/>
        <n v="2389.6799999999998"/>
        <n v="2172.48"/>
        <n v="2927.43"/>
        <n v="2659.54"/>
        <n v="3838"/>
        <n v="4142.16"/>
        <n v="1882.8"/>
        <n v="3477.86"/>
        <n v="3323.84"/>
        <n v="4195.8"/>
        <n v="4156.58"/>
        <n v="3918.75"/>
        <n v="2352.67"/>
        <n v="1089.3599999999999"/>
        <n v="2701.12"/>
        <n v="2487.04"/>
        <n v="3910.32"/>
        <n v="4038.8"/>
        <n v="3070.4"/>
        <n v="3763.46"/>
        <n v="2584.8000000000002"/>
        <n v="4427.6000000000004"/>
        <n v="2152.02"/>
        <n v="2353.4"/>
        <n v="3431.39"/>
        <n v="1930.5"/>
        <n v="4774.5600000000004"/>
        <n v="2592.7199999999998"/>
        <n v="3246.75"/>
        <n v="3372.5"/>
        <n v="3909.15"/>
        <n v="2994.75"/>
        <n v="4472.5200000000004"/>
        <n v="4576.95"/>
        <n v="3106.25"/>
        <n v="2706.41"/>
        <n v="4021.53"/>
        <n v="4826.25"/>
        <n v="4935.28"/>
        <n v="2754.7"/>
        <n v="3856.71"/>
        <n v="3102.08"/>
        <n v="1908.72"/>
        <n v="7543.75"/>
        <n v="2457.1799999999998"/>
        <n v="2038.87"/>
        <n v="2499.2600000000002"/>
        <n v="3838.05"/>
        <n v="2643.99"/>
        <n v="2315.88"/>
        <n v="3225.06"/>
        <n v="2451.84"/>
        <n v="2254.98"/>
        <n v="3939.5"/>
        <n v="3424.7"/>
        <n v="2914.2"/>
        <n v="2389.6"/>
        <n v="2428.48"/>
        <n v="3021.48"/>
        <n v="2610.7199999999998"/>
        <n v="3091.19"/>
        <n v="2576.1999999999998"/>
        <n v="3232.31"/>
        <n v="3573.6"/>
        <n v="2022.51"/>
        <n v="3717.5"/>
        <n v="2185.15"/>
        <n v="2883.53"/>
        <n v="5017.57"/>
        <n v="2352.59"/>
        <n v="4460.82"/>
        <n v="4758.18"/>
        <n v="4597.2"/>
        <n v="4114.8"/>
        <n v="2104"/>
        <n v="3195.27"/>
        <n v="3611.16"/>
        <n v="2000.77"/>
        <n v="2314.2600000000002"/>
        <n v="3871.89"/>
        <n v="2728"/>
        <n v="5614"/>
        <n v="4628.8"/>
        <n v="3641.4"/>
        <n v="4048"/>
        <n v="2321.46"/>
        <n v="3256.96"/>
        <n v="4208"/>
        <n v="2973.9"/>
        <n v="4248.3"/>
        <n v="9558.7999999999993"/>
        <n v="2650.56"/>
        <n v="3761.37"/>
        <n v="4301.34"/>
        <n v="1864.56"/>
        <n v="3576.8"/>
        <n v="3722.32"/>
        <n v="3986.56"/>
        <n v="3417.12"/>
        <n v="2691.09"/>
        <n v="2752.6"/>
        <n v="4527.72"/>
        <n v="3957.05"/>
        <n v="2818"/>
        <n v="3199.86"/>
        <n v="2402.75"/>
        <n v="6055.72"/>
        <n v="5465.16"/>
        <n v="6378.72"/>
        <n v="5392.8"/>
        <n v="3986.5"/>
        <n v="4009.23"/>
        <n v="7119"/>
        <n v="4072.2"/>
        <n v="4094.51"/>
        <n v="3302.4"/>
        <n v="3186.48"/>
        <n v="1668.25"/>
        <n v="7154.5"/>
        <n v="2810.83"/>
        <n v="2018.31"/>
        <n v="5642.83"/>
        <n v="3273.6"/>
        <n v="3268"/>
        <n v="3715.2"/>
        <n v="4608"/>
        <n v="3131.2"/>
        <n v="2678.4"/>
        <n v="1747.2"/>
        <n v="2944"/>
        <n v="2956.8"/>
        <n v="2052"/>
        <n v="3164.8"/>
        <n v="1740"/>
        <n v="1777.6"/>
        <n v="1831.2"/>
        <n v="3609.6"/>
        <n v="2112"/>
        <n v="3644.12"/>
        <n v="3523.85"/>
        <n v="5001.92"/>
        <n v="5208.72"/>
        <n v="3018.88"/>
        <n v="1902.4"/>
        <n v="7084"/>
        <n v="3164.46"/>
        <n v="4219.2"/>
        <n v="3828.3"/>
        <n v="2334.9899999999998"/>
        <n v="4407.5"/>
        <n v="2812.8"/>
        <n v="4055.04"/>
        <n v="3891.66"/>
        <n v="2488.3200000000002"/>
        <n v="4447.3999999999996"/>
        <n v="4187.22"/>
        <n v="4615.68"/>
        <n v="3245.4"/>
        <n v="2203.75"/>
        <n v="3446"/>
        <n v="1939.3"/>
        <n v="3473.78"/>
        <n v="2884.8"/>
        <n v="2670.65"/>
        <n v="3440"/>
        <n v="2770.78"/>
        <n v="2397.54"/>
        <n v="3275.56"/>
        <n v="4143.6000000000004"/>
        <n v="5192.6400000000003"/>
        <n v="3029.04"/>
        <n v="2556.1799999999998"/>
        <n v="3753.9"/>
        <n v="2562.3000000000002"/>
        <n v="3245.58"/>
        <n v="2204.6"/>
        <n v="2526.48"/>
        <n v="1747.9"/>
        <n v="3267.25"/>
        <n v="2818.53"/>
        <n v="2955.54"/>
        <n v="2885.05"/>
        <n v="3162.95"/>
        <n v="4071.5"/>
        <n v="2969.46"/>
        <n v="3396.44"/>
        <n v="3515.7"/>
        <n v="3380.69"/>
        <n v="3204.57"/>
        <n v="2588.04"/>
        <n v="2854.75"/>
        <n v="4025.6"/>
        <n v="2864.4"/>
        <n v="3789.72"/>
        <n v="2439.9899999999998"/>
        <n v="2949.12"/>
        <n v="1539.72"/>
        <n v="2213.38"/>
        <n v="2919.58"/>
        <n v="3778.28"/>
        <n v="3233.49"/>
        <n v="3431.25"/>
        <n v="2546.8000000000002"/>
        <n v="2953.86"/>
        <n v="3183.29"/>
        <n v="2466.6999999999998"/>
        <n v="2363.2199999999998"/>
        <n v="2487.4499999999998"/>
        <n v="2249.0500000000002"/>
        <n v="2061.12"/>
        <n v="4071.14"/>
        <n v="2656.29"/>
        <n v="2736.36"/>
        <n v="3348.93"/>
        <n v="2893"/>
        <n v="1661.22"/>
        <n v="4277.3500000000004"/>
        <n v="2502.9"/>
        <n v="3801.6"/>
        <n v="3144.96"/>
        <n v="2031.4"/>
        <n v="2674.17"/>
        <n v="2526.7199999999998"/>
        <n v="1348.76"/>
        <n v="875.91"/>
        <n v="1874.05"/>
        <n v="1671.44"/>
        <n v="1668.4"/>
        <n v="2301.75"/>
        <n v="1459.92"/>
        <n v="1209.5899999999999"/>
        <n v="2145.12"/>
        <n v="1416.39"/>
        <n v="1843.52"/>
        <n v="1199.31"/>
        <n v="1875.2"/>
        <n v="2477.23"/>
        <n v="948.99"/>
        <n v="1823.42"/>
        <n v="1485.8"/>
        <n v="2060.37"/>
        <n v="2579.36"/>
        <n v="2189.6"/>
        <n v="1624.25"/>
        <n v="4357.5"/>
        <n v="1367.48"/>
        <n v="1122.4000000000001"/>
        <n v="2419.62"/>
        <n v="1419.5"/>
        <n v="2184"/>
        <n v="2079.04"/>
        <n v="1724.97"/>
        <n v="1846.42"/>
        <n v="2009.2"/>
        <n v="1804.04"/>
        <n v="2109.66"/>
        <n v="2682.96"/>
        <n v="2280.2399999999998"/>
        <n v="1192.56"/>
        <n v="1472.62"/>
        <n v="1696.82"/>
        <n v="1693.56"/>
        <n v="1921.92"/>
        <n v="2082.85"/>
        <n v="2227.6"/>
        <n v="3209.38"/>
        <n v="4080.72"/>
        <n v="2244.4"/>
        <n v="3978.51"/>
        <n v="5417.57"/>
        <n v="2116.16"/>
        <m/>
      </sharedItems>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6033.929049421298" createdVersion="5" refreshedVersion="5" minRefreshableVersion="3" recordCount="2832">
  <cacheSource type="worksheet">
    <worksheetSource ref="C1:C1048576" sheet="Sheet1"/>
  </cacheSource>
  <cacheFields count="1">
    <cacheField name="Category" numFmtId="0">
      <sharedItems containsBlank="1" count="8">
        <s v="Motorcycles"/>
        <s v="Classic Cars"/>
        <s v="Trucks and Buses"/>
        <s v="Vintage Cars"/>
        <s v="Planes"/>
        <s v="Ships"/>
        <s v="Trains"/>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Dell" refreshedDate="46033.929605092591" createdVersion="5" refreshedVersion="5" minRefreshableVersion="3" recordCount="2952">
  <cacheSource type="worksheet">
    <worksheetSource ref="G1:G1048576" sheet="Sheet1"/>
  </cacheSource>
  <cacheFields count="1">
    <cacheField name="Profit" numFmtId="0">
      <sharedItems containsString="0" containsBlank="1" containsNumber="1" minValue="96.426000000000002" maxValue="2816.56" count="2764">
        <n v="574.20000000000005"/>
        <n v="553.18000000000006"/>
        <n v="776.86800000000005"/>
        <n v="749.34"/>
        <n v="1041.0540000000001"/>
        <n v="695.95200000000011"/>
        <n v="499.55399999999997"/>
        <n v="1102.4639999999999"/>
        <n v="433.70800000000003"/>
        <n v="941.68799999999999"/>
        <n v="793.13200000000006"/>
        <n v="466.62400000000002"/>
        <n v="637.72800000000007"/>
        <n v="735.35200000000009"/>
        <n v="835.47000000000014"/>
        <n v="819.93600000000015"/>
        <n v="519.47799999999995"/>
        <n v="878.87600000000009"/>
        <n v="871.60800000000006"/>
        <n v="879.22800000000007"/>
        <n v="1547.586"/>
        <n v="290.2"/>
        <n v="146.62200000000001"/>
        <n v="641.42399999999998"/>
        <n v="486.91199999999998"/>
        <n v="1503.2159999999999"/>
        <n v="1080.924"/>
        <n v="1441.8219999999999"/>
        <n v="1465.8119999999999"/>
        <n v="1474.82"/>
        <n v="2198.6999999999998"/>
        <n v="972.048"/>
        <n v="1602.9639999999999"/>
        <n v="1074.5139999999999"/>
        <n v="1458.0719999999999"/>
        <n v="1812.9780000000001"/>
        <n v="1215.06"/>
        <n v="1292.646"/>
        <n v="1224.068"/>
        <n v="1536.1279999999999"/>
        <n v="981.07800000000009"/>
        <n v="1427.2380000000001"/>
        <n v="2034.54"/>
        <n v="2324.7399999999998"/>
        <n v="1200.08"/>
        <n v="600.6"/>
        <n v="788.94"/>
        <n v="1138.3679999999999"/>
        <n v="902.98400000000004"/>
        <n v="1650.96"/>
        <n v="483.31200000000001"/>
        <n v="828.04599999999994"/>
        <n v="2400.1999999999998"/>
        <n v="779.298"/>
        <n v="558.77200000000005"/>
        <n v="661.55400000000009"/>
        <n v="1038.5899999999999"/>
        <n v="1003.366"/>
        <n v="732.18600000000004"/>
        <n v="939.12000000000012"/>
        <n v="732.18400000000008"/>
        <n v="605.18400000000008"/>
        <n v="601.8180000000001"/>
        <n v="1084.4780000000001"/>
        <n v="570.41600000000005"/>
        <n v="1151.3040000000001"/>
        <n v="894.40000000000009"/>
        <n v="580.88800000000003"/>
        <n v="1296.9179999999999"/>
        <n v="751.45200000000011"/>
        <n v="808.79200000000003"/>
        <n v="1113.3"/>
        <n v="635.20000000000005"/>
        <n v="551.36"/>
        <n v="265.98"/>
        <n v="1057.6020000000001"/>
        <n v="445.1"/>
        <n v="1166.76"/>
        <n v="1177.47"/>
        <n v="1213.1099999999999"/>
        <n v="1852.972"/>
        <n v="1404.796"/>
        <n v="1035.2760000000001"/>
        <n v="826.54"/>
        <n v="836.6"/>
        <n v="1778.58"/>
        <n v="1742.94"/>
        <n v="1613.1780000000001"/>
        <n v="1224.68"/>
        <n v="1954.806"/>
        <n v="1404.78"/>
        <n v="1415.646"/>
        <n v="1667.3879999999999"/>
        <n v="1380.384"/>
        <n v="1087.614"/>
        <n v="1336.6679999999999"/>
        <n v="914.07999999999993"/>
        <n v="1533.4280000000001"/>
        <n v="1173.6400000000001"/>
        <n v="598.02600000000007"/>
        <n v="732.82"/>
        <n v="766.87600000000009"/>
        <n v="364.43400000000003"/>
        <n v="2377.3200000000002"/>
        <n v="1843.6320000000001"/>
        <n v="1441.6"/>
        <n v="1000.96"/>
        <n v="879.64800000000002"/>
        <n v="1119.5519999999999"/>
        <n v="905.21600000000001"/>
        <n v="1184.8320000000001"/>
        <n v="698.49600000000009"/>
        <n v="770.84799999999996"/>
        <n v="1064.8800000000001"/>
        <n v="1039.5840000000001"/>
        <n v="1199.52"/>
        <n v="582.08000000000004"/>
        <n v="675.64800000000002"/>
        <n v="701.7600000000001"/>
        <n v="598.4"/>
        <n v="685.44"/>
        <n v="538.56000000000006"/>
        <n v="825.79200000000003"/>
        <n v="610.34199999999998"/>
        <n v="240.25"/>
        <n v="392.44400000000002"/>
        <n v="524.928"/>
        <n v="809.25"/>
        <n v="969.34"/>
        <n v="674.11200000000008"/>
        <n v="1932.288"/>
        <n v="552.976"/>
        <n v="1079.652"/>
        <n v="861.05600000000004"/>
        <n v="669.548"/>
        <n v="637.62400000000002"/>
        <n v="638.24"/>
        <n v="707.36400000000003"/>
        <n v="1072.566"/>
        <n v="686.67200000000003"/>
        <n v="852.74800000000005"/>
        <n v="815.23800000000006"/>
        <n v="1404.096"/>
        <n v="1285.3"/>
        <n v="918.34400000000005"/>
        <n v="806.67600000000004"/>
        <n v="860.41600000000005"/>
        <n v="1404.1279999999999"/>
        <n v="771.18000000000006"/>
        <n v="1336.1559999999999"/>
        <n v="1335.6"/>
        <n v="570.30799999999999"/>
        <n v="885.6"/>
        <n v="1156.184"/>
        <n v="459.41000000000008"/>
        <n v="1246.308"/>
        <n v="347.06"/>
        <n v="885.54599999999994"/>
        <n v="1178.9880000000001"/>
        <n v="1053.03"/>
        <n v="1519.98"/>
        <n v="1601.712"/>
        <n v="1849.152"/>
        <n v="1659.27"/>
        <n v="1003.98"/>
        <n v="1082.2139999999999"/>
        <n v="768.18000000000006"/>
        <n v="786.08"/>
        <n v="1499.78"/>
        <n v="903.58199999999999"/>
        <n v="1154.944"/>
        <n v="784.51200000000006"/>
        <n v="1832.0719999999999"/>
        <n v="1926.2"/>
        <n v="686.44799999999998"/>
        <n v="1104.3779999999999"/>
        <n v="1386.924"/>
        <n v="1375.222"/>
        <n v="586.05399999999997"/>
        <n v="716.85"/>
        <n v="563.57399999999996"/>
        <n v="684"/>
        <n v="515.00800000000004"/>
        <n v="392.25599999999997"/>
        <n v="1738.0719999999999"/>
        <n v="1206.876"/>
        <n v="2255.84"/>
        <n v="1604.6579999999999"/>
        <n v="980.80000000000007"/>
        <n v="1718.904"/>
        <n v="1494.9"/>
        <n v="776.74800000000005"/>
        <n v="1777.54"/>
        <n v="1720.5840000000001"/>
        <n v="1436.288"/>
        <n v="1675.7159999999999"/>
        <n v="2121.2399999999998"/>
        <n v="1163.68"/>
        <n v="1414.2539999999999"/>
        <n v="1682.3119999999999"/>
        <n v="1314.152"/>
        <n v="1595.088"/>
        <n v="537.6"/>
        <n v="377.65199999999999"/>
        <n v="502.65600000000012"/>
        <n v="952.89599999999996"/>
        <n v="712.12800000000004"/>
        <n v="764.72800000000007"/>
        <n v="456.19200000000001"/>
        <n v="1735.56"/>
        <n v="678.99600000000009"/>
        <n v="683.08800000000008"/>
        <n v="487.91399999999999"/>
        <n v="965.96"/>
        <n v="820.0200000000001"/>
        <n v="1312.6120000000001"/>
        <n v="1363.444"/>
        <n v="1232.788"/>
        <n v="986.78400000000011"/>
        <n v="811.27200000000005"/>
        <n v="1151.884"/>
        <n v="690.2"/>
        <n v="1184.08"/>
        <n v="1333.6479999999999"/>
        <n v="818.94399999999996"/>
        <n v="587.70000000000005"/>
        <n v="1277.56"/>
        <n v="1279.2"/>
        <n v="533.82000000000005"/>
        <n v="956.82600000000002"/>
        <n v="654.78600000000006"/>
        <n v="717.28600000000006"/>
        <n v="1192.0719999999999"/>
        <n v="1694.028"/>
        <n v="590.4"/>
        <n v="492.96"/>
        <n v="1246.4000000000001"/>
        <n v="1593.8720000000001"/>
        <n v="607.32000000000005"/>
        <n v="1656.8"/>
        <n v="542.24"/>
        <n v="1667.96"/>
        <n v="1247.768"/>
        <n v="927.85"/>
        <n v="1349.52"/>
        <n v="902.49599999999998"/>
        <n v="805.80000000000007"/>
        <n v="954.36000000000013"/>
        <n v="1217.588"/>
        <n v="838.65599999999995"/>
        <n v="1510.4559999999999"/>
        <n v="1286.8800000000001"/>
        <n v="1036.3"/>
        <n v="1372.7840000000001"/>
        <n v="831.40800000000002"/>
        <n v="932.048"/>
        <n v="822.36000000000013"/>
        <n v="708.52800000000002"/>
        <n v="1623.71"/>
        <n v="775.41200000000003"/>
        <n v="773.41600000000005"/>
        <n v="1190.288"/>
        <n v="1729.7280000000001"/>
        <n v="689.55600000000004"/>
        <n v="1191.7"/>
        <n v="1182.328"/>
        <n v="1473.288"/>
        <n v="997.12800000000016"/>
        <n v="1078.7280000000001"/>
        <n v="976.00400000000013"/>
        <n v="1675.7380000000001"/>
        <n v="807.64200000000005"/>
        <n v="761.42399999999998"/>
        <n v="628.47200000000009"/>
        <n v="942.72000000000014"/>
        <n v="1403.2619999999999"/>
        <n v="876.25"/>
        <n v="856.60200000000009"/>
        <n v="872.96399999999994"/>
        <n v="848.44799999999998"/>
        <n v="996.54"/>
        <n v="1278.7080000000001"/>
        <n v="293.38200000000001"/>
        <n v="811.86599999999999"/>
        <n v="960.30400000000009"/>
        <n v="542.33199999999999"/>
        <n v="1172.4000000000001"/>
        <n v="814.37"/>
        <n v="1647.35"/>
        <n v="1226.07"/>
        <n v="738.66800000000012"/>
        <n v="1206.336"/>
        <n v="698.98800000000006"/>
        <n v="1058.828"/>
        <n v="1092.9380000000001"/>
        <n v="572.15200000000004"/>
        <n v="1118"/>
        <n v="450.96"/>
        <n v="989.35200000000009"/>
        <n v="499.1"/>
        <n v="633.47600000000011"/>
        <n v="480.56799999999998"/>
        <n v="490.90800000000002"/>
        <n v="951.30000000000007"/>
        <n v="796.92000000000007"/>
        <n v="620.06400000000008"/>
        <n v="970.06000000000006"/>
        <n v="769.39600000000007"/>
        <n v="844.18400000000008"/>
        <n v="657.76400000000012"/>
        <n v="797.44"/>
        <n v="361.9"/>
        <n v="218.44"/>
        <n v="913.21"/>
        <n v="1187.6279999999999"/>
        <n v="1627.752"/>
        <n v="1894.1880000000001"/>
        <n v="1407.3779999999999"/>
        <n v="1111.806"/>
        <n v="1574.5"/>
        <n v="1577.24"/>
        <n v="1446.432"/>
        <n v="622.88000000000011"/>
        <n v="1009.044"/>
        <n v="1390.424"/>
        <n v="831.54599999999994"/>
        <n v="1592.4480000000001"/>
        <n v="755.7600000000001"/>
        <n v="1650.6"/>
        <n v="726.68000000000006"/>
        <n v="1382.76"/>
        <n v="516.72"/>
        <n v="621.12400000000002"/>
        <n v="881.7120000000001"/>
        <n v="608.48199999999997"/>
        <n v="1188.3"/>
        <n v="648.38000000000011"/>
        <n v="1221.8579999999999"/>
        <n v="677.55600000000004"/>
        <n v="697.1640000000001"/>
        <n v="408.57600000000002"/>
        <n v="360.048"/>
        <n v="268.12799999999999"/>
        <n v="352.416"/>
        <n v="459.64800000000002"/>
        <n v="325.60000000000002"/>
        <n v="387.84"/>
        <n v="730.31200000000001"/>
        <n v="518.39200000000005"/>
        <n v="572.83400000000006"/>
        <n v="296.83999999999997"/>
        <n v="450.85"/>
        <n v="536.27"/>
        <n v="636.80400000000009"/>
        <n v="569.32600000000002"/>
        <n v="337.08400000000012"/>
        <n v="797.72"/>
        <n v="557.99200000000008"/>
        <n v="721.51200000000006"/>
        <n v="673.63200000000006"/>
        <n v="555.01599999999996"/>
        <n v="325.58400000000012"/>
        <n v="505.87200000000013"/>
        <n v="613.15600000000006"/>
        <n v="923.15599999999995"/>
        <n v="1144.7560000000001"/>
        <n v="511.92"/>
        <n v="428.02199999999999"/>
        <n v="665.52"/>
        <n v="1365.12"/>
        <n v="708.65600000000006"/>
        <n v="903.24400000000014"/>
        <n v="1289.0920000000001"/>
        <n v="676.87200000000007"/>
        <n v="978.33600000000013"/>
        <n v="904.39200000000005"/>
        <n v="1013.932"/>
        <n v="1308.24"/>
        <n v="602.45400000000006"/>
        <n v="1049.4359999999999"/>
        <n v="442.97399999999999"/>
        <n v="954.63600000000008"/>
        <n v="1237.1400000000001"/>
        <n v="303.57600000000002"/>
        <n v="1274.52"/>
        <n v="1046.5920000000001"/>
        <n v="538.94399999999996"/>
        <n v="349.95800000000003"/>
        <n v="426.11200000000002"/>
        <n v="1190.268"/>
        <n v="938.5200000000001"/>
        <n v="746.20800000000008"/>
        <n v="428.4"/>
        <n v="567.76200000000006"/>
        <n v="646.07400000000007"/>
        <n v="1036.4000000000001"/>
        <n v="878.22000000000014"/>
        <n v="895.46399999999994"/>
        <n v="708.91200000000003"/>
        <n v="1039.17"/>
        <n v="836.08799999999997"/>
        <n v="536.88599999999997"/>
        <n v="391.77600000000012"/>
        <n v="982.11400000000003"/>
        <n v="893.68"/>
        <n v="625.57600000000002"/>
        <n v="535.02600000000007"/>
        <n v="561.52200000000005"/>
        <n v="500.95"/>
        <n v="596.976"/>
        <n v="504.97199999999998"/>
        <n v="827.2"/>
        <n v="813.74"/>
        <n v="1048.758"/>
        <n v="1809.6320000000001"/>
        <n v="766.52800000000002"/>
        <n v="784"/>
        <n v="983.33199999999999"/>
        <n v="771.40000000000009"/>
        <n v="836.28800000000001"/>
        <n v="928.2"/>
        <n v="714.024"/>
        <n v="896.06399999999996"/>
        <n v="406.72800000000012"/>
        <n v="392.02800000000002"/>
        <n v="793.35600000000011"/>
        <n v="1030.4000000000001"/>
        <n v="672"/>
        <n v="1090.5999999999999"/>
        <n v="832.82400000000007"/>
        <n v="560.01599999999996"/>
        <n v="937.58799999999997"/>
        <n v="901.6"/>
        <n v="450.20800000000003"/>
        <n v="233.45"/>
        <n v="416.64"/>
        <n v="764.40000000000009"/>
        <n v="782.298"/>
        <n v="940.80000000000007"/>
        <n v="493.58"/>
        <n v="642.6"/>
        <n v="1436.4"/>
        <n v="875.83600000000013"/>
        <n v="728.95"/>
        <n v="540.40800000000002"/>
        <n v="752.97600000000011"/>
        <n v="1083.6320000000001"/>
        <n v="660.13200000000006"/>
        <n v="1236.48"/>
        <n v="837.346"/>
        <n v="905.85599999999999"/>
        <n v="1125.778"/>
        <n v="610.89600000000007"/>
        <n v="505.30200000000008"/>
        <n v="933.572"/>
        <n v="1299.864"/>
        <n v="1183.556"/>
        <n v="1246.3820000000001"/>
        <n v="1160.6279999999999"/>
        <n v="1286.8040000000001"/>
        <n v="1290.8800000000001"/>
        <n v="839.36000000000013"/>
        <n v="522.36"/>
        <n v="1179.01"/>
        <n v="675.14400000000001"/>
        <n v="1674.9380000000001"/>
        <n v="892.84799999999996"/>
        <n v="961.66200000000015"/>
        <n v="657.75600000000009"/>
        <n v="650.94399999999996"/>
        <n v="636.98800000000006"/>
        <n v="1181.5"/>
        <n v="877.82400000000007"/>
        <n v="1007.232"/>
        <n v="436.65"/>
        <n v="621.37600000000009"/>
        <n v="747.14400000000001"/>
        <n v="482.65199999999999"/>
        <n v="590.75"/>
        <n v="936.96"/>
        <n v="649.74"/>
        <n v="1047.9000000000001"/>
        <n v="913.596"/>
        <n v="707.07"/>
        <n v="768.66800000000012"/>
        <n v="742.18000000000006"/>
        <n v="875.19599999999991"/>
        <n v="303.32400000000001"/>
        <n v="501.8"/>
        <n v="1848.088"/>
        <n v="503.06400000000008"/>
        <n v="1109.78"/>
        <n v="974.61000000000013"/>
        <n v="411.14800000000002"/>
        <n v="470.97600000000011"/>
        <n v="461.916"/>
        <n v="422.67399999999998"/>
        <n v="349.32"/>
        <n v="460.89"/>
        <n v="424.416"/>
        <n v="348.48"/>
        <n v="491.00400000000002"/>
        <n v="610.65600000000006"/>
        <n v="284.65800000000002"/>
        <n v="300.82400000000001"/>
        <n v="232.88"/>
        <n v="300.14999999999998"/>
        <n v="311.47199999999998"/>
        <n v="269.13600000000002"/>
        <n v="359.048"/>
        <n v="221.05"/>
        <n v="472.97600000000011"/>
        <n v="485.40600000000012"/>
        <n v="247.59"/>
        <n v="318.60399999999998"/>
        <n v="631.23199999999997"/>
        <n v="264.14999999999998"/>
        <n v="999.6"/>
        <n v="258.75"/>
        <n v="1086.616"/>
        <n v="614.74400000000003"/>
        <n v="876.04"/>
        <n v="1169.7360000000001"/>
        <n v="1230.7460000000001"/>
        <n v="993.048"/>
        <n v="1087.1279999999999"/>
        <n v="851.67200000000003"/>
        <n v="806.40000000000009"/>
        <n v="898.47199999999998"/>
        <n v="832.27600000000007"/>
        <n v="501.73200000000003"/>
        <n v="674.97600000000011"/>
        <n v="1039.32"/>
        <n v="520.904"/>
        <n v="587.36"/>
        <n v="684.928"/>
        <n v="584.64"/>
        <n v="897.95200000000011"/>
        <n v="969.84799999999996"/>
        <n v="1169.7840000000001"/>
        <n v="551.74"/>
        <n v="289.952"/>
        <n v="1409.6279999999999"/>
        <n v="1040.588"/>
        <n v="1055.8800000000001"/>
        <n v="1383.2239999999999"/>
        <n v="556.33199999999999"/>
        <n v="1049.5999999999999"/>
        <n v="1306.288"/>
        <n v="1152.7439999999999"/>
        <n v="1298.136"/>
        <n v="1200.96"/>
        <n v="1496.796"/>
        <n v="1143.9000000000001"/>
        <n v="1390.816"/>
        <n v="1632.06"/>
        <n v="1313.5920000000001"/>
        <n v="1344.8"/>
        <n v="1149.57"/>
        <n v="1135.3679999999999"/>
        <n v="1475.9939999999999"/>
        <n v="740.82600000000002"/>
        <n v="560.95000000000005"/>
        <n v="1124.9580000000001"/>
        <n v="776.25600000000009"/>
        <n v="322.27999999999997"/>
        <n v="272.85000000000002"/>
        <n v="843.01800000000003"/>
        <n v="1286.7639999999999"/>
        <n v="870.43200000000002"/>
        <n v="1030.2"/>
        <n v="1213.8"/>
        <n v="571.20000000000005"/>
        <n v="1075.08"/>
        <n v="1035.3"/>
        <n v="1510.96"/>
        <n v="628.32000000000005"/>
        <n v="1178.0999999999999"/>
        <n v="1193.4000000000001"/>
        <n v="742.56000000000006"/>
        <n v="1519.46"/>
        <n v="733.72"/>
        <n v="1175.04"/>
        <n v="1462"/>
        <n v="1615.68"/>
        <n v="651.55200000000013"/>
        <n v="1530"/>
        <n v="940.76200000000017"/>
        <n v="1079.9100000000001"/>
        <n v="2816.56"/>
        <n v="1056.72"/>
        <n v="626.1640000000001"/>
        <n v="622.46800000000007"/>
        <n v="761.37600000000009"/>
        <n v="428.428"/>
        <n v="672.98"/>
        <n v="252.56"/>
        <n v="325.24799999999999"/>
        <n v="817.74"/>
        <n v="769.23"/>
        <n v="267.95999999999998"/>
        <n v="607.99200000000008"/>
        <n v="680.06400000000008"/>
        <n v="386.07799999999997"/>
        <n v="492.95400000000001"/>
        <n v="526.98800000000006"/>
        <n v="725.03200000000004"/>
        <n v="757.68000000000006"/>
        <n v="366.52"/>
        <n v="581.19600000000003"/>
        <n v="590.96199999999999"/>
        <n v="719.95"/>
        <n v="737.30799999999999"/>
        <n v="420.11200000000002"/>
        <n v="776.35600000000011"/>
        <n v="901.82400000000007"/>
        <n v="654.654"/>
        <n v="886.54"/>
        <n v="820.19799999999998"/>
        <n v="1054.944"/>
        <n v="846.40000000000009"/>
        <n v="1229.088"/>
        <n v="936.04"/>
        <n v="657.21600000000001"/>
        <n v="1484.26"/>
        <n v="1286.528"/>
        <n v="968.17399999999998"/>
        <n v="778.41600000000005"/>
        <n v="1105.2639999999999"/>
        <n v="891.92399999999998"/>
        <n v="1240.68"/>
        <n v="750.81000000000006"/>
        <n v="703.29600000000005"/>
        <n v="1497.6079999999999"/>
        <n v="689.61599999999999"/>
        <n v="746.80000000000007"/>
        <n v="194.82"/>
        <n v="632.14800000000002"/>
        <n v="349.32600000000002"/>
        <n v="841.5680000000001"/>
        <n v="870.55200000000013"/>
        <n v="292.74"/>
        <n v="1433.856"/>
        <n v="918.95200000000011"/>
        <n v="691.58400000000006"/>
        <n v="1476.232"/>
        <n v="1429.38"/>
        <n v="1187.7059999999999"/>
        <n v="1422.182"/>
        <n v="1006.59"/>
        <n v="733.52"/>
        <n v="1025.6220000000001"/>
        <n v="1412.048"/>
        <n v="1689.7280000000001"/>
        <n v="1460.1020000000001"/>
        <n v="1309.8399999999999"/>
        <n v="1139.58"/>
        <n v="1833.8"/>
        <n v="647.72600000000011"/>
        <n v="910.98799999999994"/>
        <n v="786.88800000000003"/>
        <n v="1155.252"/>
        <n v="1441.49"/>
        <n v="1492.1479999999999"/>
        <n v="1343.9079999999999"/>
        <n v="485.6"/>
        <n v="520.45000000000005"/>
        <n v="440"/>
        <n v="1342.586"/>
        <n v="1063.6079999999999"/>
        <n v="678"/>
        <n v="321.60000000000002"/>
        <n v="452.59199999999998"/>
        <n v="299.32799999999997"/>
        <n v="375.94799999999998"/>
        <n v="299.05200000000002"/>
        <n v="464.74"/>
        <n v="498.37200000000013"/>
        <n v="328.62400000000002"/>
        <n v="264.43200000000002"/>
        <n v="284.76"/>
        <n v="479.49"/>
        <n v="314.8"/>
        <n v="345.8"/>
        <n v="451.16800000000012"/>
        <n v="366.9"/>
        <n v="640.30000000000007"/>
        <n v="455.28"/>
        <n v="1776.96"/>
        <n v="266.22000000000003"/>
        <n v="610.2600000000001"/>
        <n v="457.70400000000001"/>
        <n v="754.52200000000005"/>
        <n v="832.88400000000001"/>
        <n v="1259.19"/>
        <n v="1257.5319999999999"/>
        <n v="1082.508"/>
        <n v="1196.828"/>
        <n v="1178.2080000000001"/>
        <n v="721.63000000000011"/>
        <n v="1150.508"/>
        <n v="753.06400000000008"/>
        <n v="431.99200000000002"/>
        <n v="675.98800000000006"/>
        <n v="1018.7"/>
        <n v="1154.6880000000001"/>
        <n v="905.77199999999993"/>
        <n v="963.21600000000001"/>
        <n v="683.35600000000011"/>
        <n v="247.36799999999999"/>
        <n v="1162.972"/>
        <n v="1044.6959999999999"/>
        <n v="145.68"/>
        <n v="789.80000000000007"/>
        <n v="768.798"/>
        <n v="1099.616"/>
        <n v="755.51600000000008"/>
        <n v="756.40000000000009"/>
        <n v="771.93600000000004"/>
        <n v="886.36800000000005"/>
        <n v="990.06600000000003"/>
        <n v="859.94"/>
        <n v="898.56600000000003"/>
        <n v="442.4"/>
        <n v="928.57600000000002"/>
        <n v="641.26400000000012"/>
        <n v="720.846"/>
        <n v="1403.5519999999999"/>
        <n v="1230.836"/>
        <n v="950.16000000000008"/>
        <n v="764.58400000000006"/>
        <n v="488.16000000000008"/>
        <n v="945.87199999999996"/>
        <n v="2507.3000000000002"/>
        <n v="452.83"/>
        <n v="785.64"/>
        <n v="726.04399999999998"/>
        <n v="839.21399999999994"/>
        <n v="986.32000000000016"/>
        <n v="613.73800000000006"/>
        <n v="157.12799999999999"/>
        <n v="995.40000000000009"/>
        <n v="237.99600000000001"/>
        <n v="618.03000000000009"/>
        <n v="559.17200000000003"/>
        <n v="540.38400000000001"/>
        <n v="440.82"/>
        <n v="568.096"/>
        <n v="529.40800000000002"/>
        <n v="634.41000000000008"/>
        <n v="517.18600000000004"/>
        <n v="429.66000000000008"/>
        <n v="333.48"/>
        <n v="371.94000000000011"/>
        <n v="295.32"/>
        <n v="346.4"/>
        <n v="334.83400000000012"/>
        <n v="300.19600000000003"/>
        <n v="438.536"/>
        <n v="359.51600000000002"/>
        <n v="428.47"/>
        <n v="417.38400000000001"/>
        <n v="1366.9"/>
        <n v="508.31799999999998"/>
        <n v="426.18400000000003"/>
        <n v="340.34"/>
        <n v="338.8"/>
        <n v="582.70600000000002"/>
        <n v="187.036"/>
        <n v="614.65200000000004"/>
        <n v="416.49799999999999"/>
        <n v="678.846"/>
        <n v="298.03199999999998"/>
        <n v="768.80000000000007"/>
        <n v="944.98199999999997"/>
        <n v="364.94400000000002"/>
        <n v="533.73599999999999"/>
        <n v="568.72200000000009"/>
        <n v="632.73"/>
        <n v="445.22199999999998"/>
        <n v="413.95"/>
        <n v="447.06599999999997"/>
        <n v="623.28600000000006"/>
        <n v="956.34"/>
        <n v="562.14"/>
        <n v="703.13400000000001"/>
        <n v="581.86800000000005"/>
        <n v="314.03399999999999"/>
        <n v="522.78399999999999"/>
        <n v="638.65200000000004"/>
        <n v="296.52"/>
        <n v="411.04599999999999"/>
        <n v="534.98"/>
        <n v="370.68000000000012"/>
        <n v="298.02"/>
        <n v="432.43200000000002"/>
        <n v="562.85600000000011"/>
        <n v="321"/>
        <n v="418.68799999999999"/>
        <n v="388.86"/>
        <n v="397.36"/>
        <n v="339.19200000000001"/>
        <n v="256.31200000000001"/>
        <n v="354.84400000000011"/>
        <n v="399.5"/>
        <n v="470.64"/>
        <n v="196.24"/>
        <n v="310.14400000000001"/>
        <n v="354.21199999999999"/>
        <n v="442.68000000000012"/>
        <n v="1053.2080000000001"/>
        <n v="372.96"/>
        <n v="228.482"/>
        <n v="234.52"/>
        <n v="1396.2"/>
        <n v="612.91999999999996"/>
        <n v="440.49599999999998"/>
        <n v="754.67600000000004"/>
        <n v="1014.878"/>
        <n v="1296.692"/>
        <n v="1591.2919999999999"/>
        <n v="846.12400000000002"/>
        <n v="1441.8240000000001"/>
        <n v="690.53600000000006"/>
        <n v="609.54600000000005"/>
        <n v="735.06400000000008"/>
        <n v="1498.48"/>
        <n v="1906.9"/>
        <n v="1115.8040000000001"/>
        <n v="1190.068"/>
        <n v="745.2"/>
        <n v="891"/>
        <n v="1654.4680000000001"/>
        <n v="715.52"/>
        <n v="776.25"/>
        <n v="1159.4880000000001"/>
        <n v="252.816"/>
        <n v="963.06000000000006"/>
        <n v="892.44"/>
        <n v="606.65600000000006"/>
        <n v="198.15600000000001"/>
        <n v="406.17200000000003"/>
        <n v="1086.75"/>
        <n v="631.48800000000006"/>
        <n v="1032.24"/>
        <n v="869.35200000000009"/>
        <n v="705.67200000000003"/>
        <n v="637.56000000000006"/>
        <n v="1204.6320000000001"/>
        <n v="776.95200000000011"/>
        <n v="993.16800000000012"/>
        <n v="833.97600000000011"/>
        <n v="982.07999999999993"/>
        <n v="646.27200000000005"/>
        <n v="1370.6880000000001"/>
        <n v="1035.4079999999999"/>
        <n v="564.96"/>
        <n v="864.86400000000003"/>
        <n v="1010.592"/>
        <n v="644.6880000000001"/>
        <n v="1055.7360000000001"/>
        <n v="570.24"/>
        <n v="337.48"/>
        <n v="261.60000000000002"/>
        <n v="1228.92"/>
        <n v="1025.44"/>
        <n v="1277.232"/>
        <n v="1539.12"/>
        <n v="448.57799999999997"/>
        <n v="507.97800000000001"/>
        <n v="559.05399999999997"/>
        <n v="1109.152"/>
        <n v="857.0920000000001"/>
        <n v="665.8180000000001"/>
        <n v="1118.444"/>
        <n v="659.71"/>
        <n v="521.976"/>
        <n v="667.25800000000004"/>
        <n v="1102.01"/>
        <n v="500.88000000000011"/>
        <n v="705.12"/>
        <n v="881.40000000000009"/>
        <n v="596.68799999999999"/>
        <n v="1025.248"/>
        <n v="1142.758"/>
        <n v="922.7600000000001"/>
        <n v="742.22"/>
        <n v="704.94600000000003"/>
        <n v="962.88"/>
        <n v="714.46600000000001"/>
        <n v="916.27199999999993"/>
        <n v="863.95200000000011"/>
        <n v="289.60000000000002"/>
        <n v="176.28"/>
        <n v="402.22"/>
        <n v="360.24799999999999"/>
        <n v="678.04"/>
        <n v="284.8"/>
        <n v="299.82"/>
        <n v="671.61599999999999"/>
        <n v="300.83200000000011"/>
        <n v="531.024"/>
        <n v="248.83199999999999"/>
        <n v="377.77600000000012"/>
        <n v="364.00200000000001"/>
        <n v="573.39"/>
        <n v="278.83200000000011"/>
        <n v="526.45600000000002"/>
        <n v="403.71199999999999"/>
        <n v="590.90600000000006"/>
        <n v="374.36599999999999"/>
        <n v="311.80799999999999"/>
        <n v="376.04"/>
        <n v="244.934"/>
        <n v="595.81600000000003"/>
        <n v="441.72800000000001"/>
        <n v="691.68400000000008"/>
        <n v="247.57599999999999"/>
        <n v="544.64"/>
        <n v="443.70400000000001"/>
        <n v="333.06400000000002"/>
        <n v="684.20800000000008"/>
        <n v="375.73200000000003"/>
        <n v="770.72"/>
        <n v="688.52800000000002"/>
        <n v="696.43200000000002"/>
        <n v="672.70400000000006"/>
        <n v="670.10400000000004"/>
        <n v="572.54399999999998"/>
        <n v="807.20800000000008"/>
        <n v="563.58400000000006"/>
        <n v="927.27600000000007"/>
        <n v="310.71600000000001"/>
        <n v="539.52"/>
        <n v="666.80799999999999"/>
        <n v="411.85200000000009"/>
        <n v="404.62799999999999"/>
        <n v="517.32799999999997"/>
        <n v="397.404"/>
        <n v="229.3"/>
        <n v="462.44799999999998"/>
        <n v="558.74200000000008"/>
        <n v="381.65600000000001"/>
        <n v="688.274"/>
        <n v="404.65600000000001"/>
        <n v="449.04"/>
        <n v="651.024"/>
        <n v="507.9"/>
        <n v="963.63"/>
        <n v="584.34"/>
        <n v="360.24"/>
        <n v="560.87200000000007"/>
        <n v="980.16000000000008"/>
        <n v="551.86199999999997"/>
        <n v="497.64"/>
        <n v="553.97799999999995"/>
        <n v="716.28000000000009"/>
        <n v="1057.028"/>
        <n v="636.30600000000004"/>
        <n v="668.10200000000009"/>
        <n v="627.66800000000012"/>
        <n v="955.01600000000008"/>
        <n v="601.28599999999994"/>
        <n v="573.25200000000007"/>
        <n v="446.524"/>
        <n v="891.40400000000011"/>
        <n v="451.58400000000012"/>
        <n v="318.39999999999998"/>
        <n v="989.64"/>
        <n v="1032.152"/>
        <n v="395.72399999999999"/>
        <n v="857.64"/>
        <n v="504.13600000000002"/>
        <n v="356.24400000000003"/>
        <n v="613.00800000000004"/>
        <n v="710.26800000000003"/>
        <n v="1108.8040000000001"/>
        <n v="1206.866"/>
        <n v="728.31400000000008"/>
        <n v="1386.1479999999999"/>
        <n v="735.12600000000009"/>
        <n v="688.40800000000002"/>
        <n v="1378.7619999999999"/>
        <n v="524.49599999999998"/>
        <n v="883.47600000000011"/>
        <n v="721.20400000000006"/>
        <n v="760.51200000000006"/>
        <n v="1005.28"/>
        <n v="1339.106"/>
        <n v="563.85600000000011"/>
        <n v="751.80799999999999"/>
        <n v="546.36"/>
        <n v="331.77600000000012"/>
        <n v="1155.6479999999999"/>
        <n v="1038.2239999999999"/>
        <n v="772.57600000000002"/>
        <n v="295.29599999999999"/>
        <n v="1054.7460000000001"/>
        <n v="974.40599999999995"/>
        <n v="911.39800000000002"/>
        <n v="1651.4"/>
        <n v="1641.8879999999999"/>
        <n v="719.7"/>
        <n v="767.44799999999998"/>
        <n v="1666.3219999999999"/>
        <n v="967.30000000000007"/>
        <n v="1083.7760000000001"/>
        <n v="746.80200000000013"/>
        <n v="799.28000000000009"/>
        <n v="1750.9380000000001"/>
        <n v="1096.29"/>
        <n v="883.97800000000007"/>
        <n v="1264.95"/>
        <n v="881.94400000000007"/>
        <n v="783.69200000000001"/>
        <n v="1524.1"/>
        <n v="1658.2080000000001"/>
        <n v="787.45"/>
        <n v="1110.8800000000001"/>
        <n v="1281.5719999999999"/>
        <n v="834.50400000000013"/>
        <n v="1416.674"/>
        <n v="1426.5360000000001"/>
        <n v="1354.72"/>
        <n v="731.53800000000001"/>
        <n v="962.5100000000001"/>
        <n v="785.72"/>
        <n v="1280.2439999999999"/>
        <n v="838.25"/>
        <n v="1170.5039999999999"/>
        <n v="568.97400000000005"/>
        <n v="802.33199999999999"/>
        <n v="1491.174"/>
        <n v="1788.192"/>
        <n v="914.45"/>
        <n v="1140.018"/>
        <n v="631.09799999999996"/>
        <n v="834.13799999999992"/>
        <n v="575.7600000000001"/>
        <n v="1005.9"/>
        <n v="1479.36"/>
        <n v="598.33600000000001"/>
        <n v="1255.144"/>
        <n v="306.99"/>
        <n v="1452.9059999999999"/>
        <n v="1373.81"/>
        <n v="670.60400000000004"/>
        <n v="1657.81"/>
        <n v="2377.56"/>
        <n v="1185.3800000000001"/>
        <n v="758.63200000000006"/>
        <n v="866.0200000000001"/>
        <n v="402.36"/>
        <n v="967.43600000000015"/>
        <n v="430.36399999999998"/>
        <n v="514.69200000000001"/>
        <n v="1068.9000000000001"/>
        <n v="614.10400000000004"/>
        <n v="790.56600000000003"/>
        <n v="712.95"/>
        <n v="1122.912"/>
        <n v="371.08200000000011"/>
        <n v="919.68"/>
        <n v="1016.484"/>
        <n v="1090.1179999999999"/>
        <n v="834.98400000000004"/>
        <n v="483.64800000000002"/>
        <n v="734.08"/>
        <n v="496.34"/>
        <n v="761.53600000000006"/>
        <n v="446.08199999999999"/>
        <n v="762.928"/>
        <n v="423.55"/>
        <n v="668.096"/>
        <n v="430.8"/>
        <n v="1161.6959999999999"/>
        <n v="355.42"/>
        <n v="307.31400000000002"/>
        <n v="702"/>
        <n v="619.48800000000006"/>
        <n v="341.08200000000011"/>
        <n v="452.86399999999998"/>
        <n v="496.92"/>
        <n v="683.13599999999997"/>
        <n v="567.86400000000003"/>
        <n v="546"/>
        <n v="708.10600000000011"/>
        <n v="599.99400000000003"/>
        <n v="305.56"/>
        <n v="781.56000000000006"/>
        <n v="531.69600000000003"/>
        <n v="608.53599999999994"/>
        <n v="772.24"/>
        <n v="434.21400000000011"/>
        <n v="680.61599999999999"/>
        <n v="449.16000000000008"/>
        <n v="333.7"/>
        <n v="554.7600000000001"/>
        <n v="492.8"/>
        <n v="1098.32"/>
        <n v="958.36400000000003"/>
        <n v="835.7700000000001"/>
        <n v="625.78400000000011"/>
        <n v="619.08000000000004"/>
        <n v="791.7"/>
        <n v="998.28800000000001"/>
        <n v="552.39200000000005"/>
        <n v="569.64600000000007"/>
        <n v="507.96800000000007"/>
        <n v="488.88000000000011"/>
        <n v="911.18400000000008"/>
        <n v="733.39200000000005"/>
        <n v="607.17600000000004"/>
        <n v="464.30799999999999"/>
        <n v="694.89200000000005"/>
        <n v="500.39600000000002"/>
        <n v="791.69200000000001"/>
        <n v="707.19"/>
        <n v="602.38199999999995"/>
        <n v="2267.34"/>
        <n v="531.38800000000003"/>
        <n v="520.85"/>
        <n v="657.72"/>
        <n v="1787.1"/>
        <n v="807.19200000000001"/>
        <n v="375.01799999999997"/>
        <n v="809.91200000000003"/>
        <n v="493.87799999999999"/>
        <n v="1086.54"/>
        <n v="881.0440000000001"/>
        <n v="727.6"/>
        <n v="888.98400000000004"/>
        <n v="679.096"/>
        <n v="682.91600000000005"/>
        <n v="1025.4079999999999"/>
        <n v="749.05600000000004"/>
        <n v="912.81600000000003"/>
        <n v="1310.848"/>
        <n v="1349.9659999999999"/>
        <n v="1685.404"/>
        <n v="784.92000000000007"/>
        <n v="1352.32"/>
        <n v="757.298"/>
        <n v="1253.2239999999999"/>
        <n v="698.2"/>
        <n v="1309.6600000000001"/>
        <n v="635.58199999999999"/>
        <n v="828.52800000000013"/>
        <n v="829.81399999999996"/>
        <n v="1479.4"/>
        <n v="1248.32"/>
        <n v="1066.376"/>
        <n v="1024.8599999999999"/>
        <n v="727.88800000000003"/>
        <n v="1108.8"/>
        <n v="1098.624"/>
        <n v="1157.0519999999999"/>
        <n v="1068.1199999999999"/>
        <n v="1147.1600000000001"/>
        <n v="1271.52"/>
        <n v="1468.78"/>
        <n v="1191.8440000000001"/>
        <n v="805.87600000000009"/>
        <n v="1007.028"/>
        <n v="823.36000000000013"/>
        <n v="862.11000000000013"/>
        <n v="1289.3399999999999"/>
        <n v="723.32799999999997"/>
        <n v="846.55200000000013"/>
        <n v="353.13200000000012"/>
        <n v="746.94399999999996"/>
        <n v="961.67600000000004"/>
        <n v="453.31200000000001"/>
        <n v="2093.7800000000002"/>
        <n v="1117.828"/>
        <n v="582.822"/>
        <n v="348.18000000000012"/>
        <n v="453.24"/>
        <n v="631.11599999999999"/>
        <n v="271.572"/>
        <n v="519.76400000000001"/>
        <n v="211.512"/>
        <n v="625.56400000000008"/>
        <n v="497.62799999999999"/>
        <n v="444.14400000000001"/>
        <n v="271.54399999999998"/>
        <n v="327.608"/>
        <n v="525.21600000000001"/>
        <n v="332.37599999999998"/>
        <n v="434.72"/>
        <n v="436.41000000000008"/>
        <n v="563.976"/>
        <n v="519.72799999999995"/>
        <n v="403.85399999999998"/>
        <n v="290.94"/>
        <n v="331.51400000000001"/>
        <n v="570.36800000000005"/>
        <n v="921.92800000000011"/>
        <n v="1015.992"/>
        <n v="375.98399999999998"/>
        <n v="954.97199999999998"/>
        <n v="537.40800000000002"/>
        <n v="684.75"/>
        <n v="691.15200000000004"/>
        <n v="724.59400000000005"/>
        <n v="719.91600000000005"/>
        <n v="1077.3119999999999"/>
        <n v="983.75599999999997"/>
        <n v="507.76"/>
        <n v="499.72"/>
        <n v="771.75"/>
        <n v="1120.0999999999999"/>
        <n v="820.69200000000001"/>
        <n v="857.5"/>
        <n v="1159.1079999999999"/>
        <n v="372.68000000000012"/>
        <n v="833.37600000000009"/>
        <n v="816.01400000000012"/>
        <n v="763.096"/>
        <n v="1105.29"/>
        <n v="674.92000000000007"/>
        <n v="604.9"/>
        <n v="253.22"/>
        <n v="962.37000000000012"/>
        <n v="1461.4839999999999"/>
        <n v="1241.8499999999999"/>
        <n v="1069.7"/>
        <n v="556.11599999999999"/>
        <n v="689.40000000000009"/>
        <n v="758.30400000000009"/>
        <n v="904.82000000000016"/>
        <n v="667.52"/>
        <n v="1106.424"/>
        <n v="1019.3819999999999"/>
        <n v="907.41600000000005"/>
        <n v="1229.3599999999999"/>
        <n v="1651.6"/>
        <n v="1447.6559999999999"/>
        <n v="1351.2"/>
        <n v="934.96"/>
        <n v="1428.152"/>
        <n v="720.13000000000011"/>
        <n v="841.34799999999996"/>
        <n v="1075.942"/>
        <n v="1135.8720000000001"/>
        <n v="878.96800000000007"/>
        <n v="505.65"/>
        <n v="1406.3040000000001"/>
        <n v="1068.18"/>
        <n v="1275.316"/>
        <n v="1379.35"/>
        <n v="380.64400000000001"/>
        <n v="499.91199999999998"/>
        <n v="616.24800000000005"/>
        <n v="719.64400000000001"/>
        <n v="782.41800000000012"/>
        <n v="316.93200000000002"/>
        <n v="788.54399999999998"/>
        <n v="468.24"/>
        <n v="496.42200000000003"/>
        <n v="720.404"/>
        <n v="713.38800000000003"/>
        <n v="757.596"/>
        <n v="740.81000000000006"/>
        <n v="566.93000000000006"/>
        <n v="678.45200000000011"/>
        <n v="671.66200000000003"/>
        <n v="440.62200000000013"/>
        <n v="539.39200000000005"/>
        <n v="675.32799999999997"/>
        <n v="108.22799999999999"/>
        <n v="1226.94"/>
        <n v="676.5"/>
        <n v="448.13200000000001"/>
        <n v="792.57600000000002"/>
        <n v="337.05599999999998"/>
        <n v="366.87200000000001"/>
        <n v="383.39600000000002"/>
        <n v="522.20000000000005"/>
        <n v="726.05600000000004"/>
        <n v="1018.1"/>
        <n v="789.93000000000006"/>
        <n v="698.33400000000006"/>
        <n v="411.83800000000002"/>
        <n v="634.03200000000004"/>
        <n v="358.12"/>
        <n v="469.19400000000002"/>
        <n v="716.17600000000004"/>
        <n v="989.2120000000001"/>
        <n v="720.43200000000002"/>
        <n v="860.1"/>
        <n v="899.63799999999992"/>
        <n v="604.62"/>
        <n v="712.49800000000005"/>
        <n v="328.048"/>
        <n v="947.88"/>
        <n v="241.536"/>
        <n v="845.64"/>
        <n v="963.09"/>
        <n v="1416.6"/>
        <n v="920.24"/>
        <n v="1293.404"/>
        <n v="1002.51"/>
        <n v="1024.318"/>
        <n v="488.20800000000003"/>
        <n v="852.41600000000005"/>
        <n v="1331.604"/>
        <n v="901.81600000000003"/>
        <n v="943.24599999999998"/>
        <n v="478.04399999999998"/>
        <n v="933.32400000000007"/>
        <n v="1076.616"/>
        <n v="496.45"/>
        <n v="1057.7280000000001"/>
        <n v="436.87599999999998"/>
        <n v="576.35200000000009"/>
        <n v="1240.6120000000001"/>
        <n v="1352.694"/>
        <n v="1176.93"/>
        <n v="711.928"/>
        <n v="333.67399999999998"/>
        <n v="978.12000000000012"/>
        <n v="1047.144"/>
        <n v="865.03200000000004"/>
        <n v="387.77800000000002"/>
        <n v="498.1"/>
        <n v="462.93799999999999"/>
        <n v="250.96600000000001"/>
        <n v="256.56"/>
        <n v="269.14999999999998"/>
        <n v="438.84399999999999"/>
        <n v="394.4"/>
        <n v="367.19600000000003"/>
        <n v="223.98599999999999"/>
        <n v="416.57600000000002"/>
        <n v="313.95"/>
        <n v="538.83000000000004"/>
        <n v="251.45400000000001"/>
        <n v="513.5680000000001"/>
        <n v="526.85600000000011"/>
        <n v="300.55599999999998"/>
        <n v="335.24"/>
        <n v="443.43000000000012"/>
        <n v="1366.404"/>
        <n v="383.32799999999997"/>
        <n v="1422.16"/>
        <n v="1060.56"/>
        <n v="1565.46"/>
        <n v="419.09"/>
        <n v="311.32400000000001"/>
        <n v="1113.0239999999999"/>
        <n v="716.63200000000006"/>
        <n v="941.03600000000006"/>
        <n v="888.90800000000002"/>
        <n v="923.77600000000007"/>
        <n v="847.55200000000013"/>
        <n v="1134.7159999999999"/>
        <n v="1052.03"/>
        <n v="1270.192"/>
        <n v="711.88000000000011"/>
        <n v="482.12"/>
        <n v="1142.7840000000001"/>
        <n v="860.06399999999996"/>
        <n v="1589.462"/>
        <n v="1071.3599999999999"/>
        <n v="1580.22"/>
        <n v="1220.2"/>
        <n v="1255.2919999999999"/>
        <n v="840.7"/>
        <n v="325.80799999999999"/>
        <n v="657.97200000000009"/>
        <n v="1372.588"/>
        <n v="514.83600000000001"/>
        <n v="265.55799999999999"/>
        <n v="471.25"/>
        <n v="402.7"/>
        <n v="561.44399999999996"/>
        <n v="614.5920000000001"/>
        <n v="381.3"/>
        <n v="686.34"/>
        <n v="416.95"/>
        <n v="427.20200000000011"/>
        <n v="401.94000000000011"/>
        <n v="543.96"/>
        <n v="315.01600000000002"/>
        <n v="337.68599999999998"/>
        <n v="334.42"/>
        <n v="334.95"/>
        <n v="694.596"/>
        <n v="329.83600000000001"/>
        <n v="750.2"/>
        <n v="907.2"/>
        <n v="884.26800000000003"/>
        <n v="415.65600000000012"/>
        <n v="613.80000000000007"/>
        <n v="342.76"/>
        <n v="301.3"/>
        <n v="538.42399999999998"/>
        <n v="484.416"/>
        <n v="697.66800000000012"/>
        <n v="516.66800000000001"/>
        <n v="249.88"/>
        <n v="674.94200000000001"/>
        <n v="253.09200000000001"/>
        <n v="336.29199999999997"/>
        <n v="640.80000000000007"/>
        <n v="479.74400000000003"/>
        <n v="476.20800000000003"/>
        <n v="388.90800000000002"/>
        <n v="454.74"/>
        <n v="423.3"/>
        <n v="261.464"/>
        <n v="345.274"/>
        <n v="253.554"/>
        <n v="688.36400000000003"/>
        <n v="397.43599999999998"/>
        <n v="776.04"/>
        <n v="388.43000000000012"/>
        <n v="651.98400000000004"/>
        <n v="242.76"/>
        <n v="217.32"/>
        <n v="326.55"/>
        <n v="346.8"/>
        <n v="371.41199999999998"/>
        <n v="372.68200000000002"/>
        <n v="584.93600000000004"/>
        <n v="458.83600000000001"/>
        <n v="291.56400000000002"/>
        <n v="391.17599999999999"/>
        <n v="462.88000000000011"/>
        <n v="262.19200000000001"/>
        <n v="582.66000000000008"/>
        <n v="271.55599999999998"/>
        <n v="430"/>
        <n v="556.65"/>
        <n v="467.98399999999998"/>
        <n v="1194.48"/>
        <n v="455.04"/>
        <n v="534.68799999999999"/>
        <n v="486.35"/>
        <n v="403.74400000000003"/>
        <n v="311.798"/>
        <n v="220.92"/>
        <n v="515.02"/>
        <n v="569.15"/>
        <n v="686.35"/>
        <n v="654.78000000000009"/>
        <n v="823.88"/>
        <n v="1071.136"/>
        <n v="1149.5"/>
        <n v="1071.0719999999999"/>
        <n v="507.15"/>
        <n v="870.24599999999998"/>
        <n v="450.8"/>
        <n v="584.25600000000009"/>
        <n v="459.8"/>
        <n v="527.43600000000004"/>
        <n v="861.50400000000013"/>
        <n v="430.75200000000012"/>
        <n v="743.37600000000009"/>
        <n v="1091.152"/>
        <n v="530.12400000000002"/>
        <n v="1287.4559999999999"/>
        <n v="526.68000000000006"/>
        <n v="455.70600000000007"/>
        <n v="969.2"/>
        <n v="839.42000000000007"/>
        <n v="919.53"/>
        <n v="1057.54"/>
        <n v="710.0100000000001"/>
        <n v="344.346"/>
        <n v="598.70000000000005"/>
        <n v="259.012"/>
        <n v="534.39"/>
        <n v="245.31800000000001"/>
        <n v="290.76799999999997"/>
        <n v="366.04399999999998"/>
        <n v="506.00200000000012"/>
        <n v="448.29"/>
        <n v="479.97"/>
        <n v="311.54399999999998"/>
        <n v="169.05"/>
        <n v="270.48"/>
        <n v="316.95999999999998"/>
        <n v="523.20000000000005"/>
        <n v="225.80799999999999"/>
        <n v="443.7"/>
        <n v="405.69600000000003"/>
        <n v="351.84"/>
        <n v="195.53399999999999"/>
        <n v="292.60000000000002"/>
        <n v="794.11200000000008"/>
        <n v="515.20000000000005"/>
        <n v="446.73800000000011"/>
        <n v="496.32799999999997"/>
        <n v="930.30600000000004"/>
        <n v="771.62"/>
        <n v="700.32"/>
        <n v="1286.74"/>
        <n v="531.79200000000003"/>
        <n v="721.75200000000007"/>
        <n v="442.93400000000003"/>
        <n v="549.50600000000009"/>
        <n v="662.18400000000008"/>
        <n v="476"/>
        <n v="462.17599999999999"/>
        <n v="812.35200000000009"/>
        <n v="698.74"/>
        <n v="574.45000000000005"/>
        <n v="822.87600000000009"/>
        <n v="212.73"/>
        <n v="401.68799999999999"/>
        <n v="865.72000000000014"/>
        <n v="275.286"/>
        <n v="1110.432"/>
        <n v="731.80400000000009"/>
        <n v="833.12199999999996"/>
        <n v="280.8"/>
        <n v="142.04"/>
        <n v="340.56"/>
        <n v="238.96799999999999"/>
        <n v="201.428"/>
        <n v="195.48599999999999"/>
        <n v="287.35199999999998"/>
        <n v="151.892"/>
        <n v="237.88800000000001"/>
        <n v="136.76"/>
        <n v="245.364"/>
        <n v="194.964"/>
        <n v="115.52"/>
        <n v="221.386"/>
        <n v="138.91999999999999"/>
        <n v="230.41200000000001"/>
        <n v="524.80000000000007"/>
        <n v="737.19"/>
        <n v="140.72"/>
        <n v="1944"/>
        <n v="166.934"/>
        <n v="1668.942"/>
        <n v="360.38799999999998"/>
        <n v="241.92"/>
        <n v="631.02800000000002"/>
        <n v="569.77200000000005"/>
        <n v="714.05799999999999"/>
        <n v="780.48199999999997"/>
        <n v="294.93200000000002"/>
        <n v="437.37799999999999"/>
        <n v="383.88000000000011"/>
        <n v="731.2"/>
        <n v="369.4"/>
        <n v="370.2"/>
        <n v="526.75600000000009"/>
        <n v="630.72"/>
        <n v="560.64"/>
        <n v="462.20400000000001"/>
        <n v="479.88000000000011"/>
        <n v="546.62400000000002"/>
        <n v="419.26400000000012"/>
        <n v="594.26800000000003"/>
        <n v="451.51600000000002"/>
        <n v="698.78200000000004"/>
        <n v="879.78"/>
        <n v="719.12400000000002"/>
        <n v="488.65800000000002"/>
        <n v="1033.68"/>
        <n v="1268.242"/>
        <n v="1037.9559999999999"/>
        <n v="1205.55"/>
        <n v="673.2"/>
        <n v="1091.28"/>
        <n v="762.43200000000002"/>
        <n v="1216.5999999999999"/>
        <n v="634.14"/>
        <n v="906.92000000000007"/>
        <n v="860.23"/>
        <n v="1360.9259999999999"/>
        <n v="1130.588"/>
        <n v="1392.096"/>
        <n v="902.5200000000001"/>
        <n v="556.95200000000011"/>
        <n v="1063.2719999999999"/>
        <n v="588.37800000000004"/>
        <n v="641.48"/>
        <n v="843.0100000000001"/>
        <n v="866.65800000000002"/>
        <n v="417.42599999999999"/>
        <n v="342.24400000000003"/>
        <n v="782.10600000000011"/>
        <n v="451.024"/>
        <n v="1144.1500000000001"/>
        <n v="667.04600000000005"/>
        <n v="494.59199999999998"/>
        <n v="345.93000000000012"/>
        <n v="199.1"/>
        <n v="482.94400000000002"/>
        <n v="312.09400000000011"/>
        <n v="222.58799999999999"/>
        <n v="227.78800000000001"/>
        <n v="202.48"/>
        <n v="182.78399999999999"/>
        <n v="469.81200000000001"/>
        <n v="232.22399999999999"/>
        <n v="352.95"/>
        <n v="338.18000000000012"/>
        <n v="427.41000000000008"/>
        <n v="435.42"/>
        <n v="346.89600000000002"/>
        <n v="173.09800000000001"/>
        <n v="700.02"/>
        <n v="444.70400000000001"/>
        <n v="462.33600000000001"/>
        <n v="165.672"/>
        <n v="171.304"/>
        <n v="369.09"/>
        <n v="808.41600000000005"/>
        <n v="365.6"/>
        <n v="736.05600000000004"/>
        <n v="585.01800000000003"/>
        <n v="683.154"/>
        <n v="1021.028"/>
        <n v="1019.76"/>
        <n v="932.35200000000009"/>
        <n v="593.99200000000008"/>
        <n v="699.26400000000012"/>
        <n v="1152.1859999999999"/>
        <n v="1363.808"/>
        <n v="629.77600000000007"/>
        <n v="1140.864"/>
        <n v="704.12"/>
        <n v="1057.124"/>
        <n v="1121.01"/>
        <n v="555.9"/>
        <n v="1079.616"/>
        <n v="637.92000000000007"/>
        <n v="1116.3599999999999"/>
        <n v="764.08800000000008"/>
        <n v="1105.6079999999999"/>
        <n v="1196.2840000000001"/>
        <n v="1136.93"/>
        <n v="689.88000000000011"/>
        <n v="530.88"/>
        <n v="1699.6"/>
        <n v="1102.1079999999999"/>
        <n v="412.09"/>
        <n v="492.03199999999998"/>
        <n v="357.512"/>
        <n v="329.13000000000011"/>
        <n v="433.83600000000001"/>
        <n v="563.23599999999999"/>
        <n v="504.21"/>
        <n v="639.99600000000009"/>
        <n v="267.62400000000002"/>
        <n v="594.51599999999996"/>
        <n v="414.18000000000012"/>
        <n v="618.52"/>
        <n v="481.74"/>
        <n v="694.50800000000004"/>
        <n v="452.65600000000012"/>
        <n v="438.83400000000012"/>
        <n v="269.27999999999997"/>
        <n v="506.72600000000011"/>
        <n v="680.65200000000004"/>
        <n v="661.44"/>
        <n v="579.33000000000004"/>
        <n v="526.57799999999997"/>
        <n v="409.2"/>
        <n v="455.91000000000008"/>
        <n v="430.11000000000013"/>
        <n v="672.09"/>
        <n v="465.28"/>
        <n v="309.12"/>
        <n v="428.92"/>
        <n v="327.84400000000011"/>
        <n v="529.91999999999996"/>
        <n v="769.12"/>
        <n v="905.40800000000002"/>
        <n v="793.2600000000001"/>
        <n v="828.51600000000008"/>
        <n v="888.30000000000007"/>
        <n v="663.024"/>
        <n v="783.70600000000013"/>
        <n v="566.09"/>
        <n v="1059.7719999999999"/>
        <n v="524.16000000000008"/>
        <n v="436.2"/>
        <n v="676.41600000000005"/>
        <n v="575.35"/>
        <n v="821.44"/>
        <n v="270"/>
        <n v="786.78600000000006"/>
        <n v="144.28800000000001"/>
        <n v="297.88200000000001"/>
        <n v="178.20599999999999"/>
        <n v="241.86"/>
        <n v="171.828"/>
        <n v="230.28800000000001"/>
        <n v="267.28800000000001"/>
        <n v="181.05600000000001"/>
        <n v="249.48"/>
        <n v="169.30199999999999"/>
        <n v="217.00800000000001"/>
        <n v="353.48599999999999"/>
        <n v="206.08799999999999"/>
        <n v="317.072"/>
        <n v="162.63999999999999"/>
        <n v="234.46799999999999"/>
        <n v="302.11200000000002"/>
        <n v="289.61399999999998"/>
        <n v="667.62"/>
        <n v="245.05799999999999"/>
        <n v="267.33600000000001"/>
        <n v="597.16800000000001"/>
        <n v="1109.1600000000001"/>
        <n v="1217.92"/>
        <n v="357.88000000000011"/>
        <n v="216.42"/>
        <n v="731.86400000000003"/>
        <n v="488.72"/>
        <n v="469.98"/>
        <n v="329.23800000000011"/>
        <n v="334.05200000000002"/>
        <n v="293.49599999999998"/>
        <n v="549.71199999999999"/>
        <n v="304.48"/>
        <n v="651.07200000000012"/>
        <n v="707.00600000000009"/>
        <n v="521.79200000000003"/>
        <n v="271.27999999999997"/>
        <n v="322.27199999999999"/>
        <n v="520.64"/>
        <n v="443.94"/>
        <n v="299.25"/>
        <n v="376.8"/>
        <n v="433.22800000000001"/>
        <n v="565.63199999999995"/>
        <n v="1242.8900000000001"/>
        <n v="373.4"/>
        <n v="535.34399999999994"/>
        <n v="436.48800000000011"/>
        <n v="295.96800000000002"/>
        <n v="284.84399999999999"/>
        <n v="1188.4559999999999"/>
        <n v="469.75"/>
        <n v="878.42399999999998"/>
        <n v="551.95000000000005"/>
        <n v="545.60600000000011"/>
        <n v="479.16000000000008"/>
        <n v="610.46600000000001"/>
        <n v="848.40000000000009"/>
        <n v="558.09"/>
        <n v="868.09799999999996"/>
        <n v="552.43999999999994"/>
        <n v="929.14400000000012"/>
        <n v="1116.192"/>
        <n v="1307.808"/>
        <n v="1109.79"/>
        <n v="919.08199999999999"/>
        <n v="371.88799999999998"/>
        <n v="418.75200000000012"/>
        <n v="844.62600000000009"/>
        <n v="319.35199999999998"/>
        <n v="1164.07"/>
        <n v="1059.3"/>
        <n v="186.18"/>
        <n v="241.488"/>
        <n v="143.47999999999999"/>
        <n v="213.35"/>
        <n v="310.8"/>
        <n v="255.52799999999999"/>
        <n v="315.75799999999998"/>
        <n v="183.54"/>
        <n v="155.4"/>
        <n v="295.25599999999997"/>
        <n v="307.69200000000001"/>
        <n v="178.24"/>
        <n v="341.36"/>
        <n v="274.72000000000003"/>
        <n v="241.11799999999999"/>
        <n v="285.48"/>
        <n v="329.85599999999999"/>
        <n v="276.60599999999999"/>
        <n v="245.90199999999999"/>
        <n v="228.096"/>
        <n v="315.12"/>
        <n v="277.34399999999999"/>
        <n v="1003.68"/>
        <n v="1171.3699999999999"/>
        <n v="978.94599999999991"/>
        <n v="418.86399999999998"/>
        <n v="128.01"/>
        <n v="638.70400000000006"/>
        <n v="613.34"/>
        <n v="776.62200000000007"/>
        <n v="962.85"/>
        <n v="565.25400000000002"/>
        <n v="318.64"/>
        <n v="653.22"/>
        <n v="490.71"/>
        <n v="782.08"/>
        <n v="357.6"/>
        <n v="665.61400000000003"/>
        <n v="610.74"/>
        <n v="401.14800000000002"/>
        <n v="559.22400000000005"/>
        <n v="631.99200000000008"/>
        <n v="781.72400000000005"/>
        <n v="521.29600000000005"/>
        <n v="416.35200000000009"/>
        <n v="703.97"/>
        <n v="2151.6"/>
        <n v="604.20000000000005"/>
        <n v="378.31200000000001"/>
        <n v="841.68200000000002"/>
        <n v="449.28"/>
        <n v="1221.48"/>
        <n v="397.548"/>
        <n v="813.79200000000003"/>
        <n v="456.44400000000002"/>
        <n v="308.2"/>
        <n v="390.38400000000001"/>
        <n v="621.52200000000005"/>
        <n v="465.72800000000001"/>
        <n v="636.96"/>
        <n v="429.94799999999998"/>
        <n v="422.916"/>
        <n v="851.31200000000013"/>
        <n v="468.99599999999998"/>
        <n v="465.73200000000003"/>
        <n v="715.00800000000004"/>
        <n v="415.2"/>
        <n v="661.05000000000007"/>
        <n v="307.70999999999998"/>
        <n v="665.18400000000008"/>
        <n v="732.50400000000002"/>
        <n v="695.72800000000007"/>
        <n v="211.458"/>
        <n v="677.18000000000006"/>
        <n v="378.42"/>
        <n v="341.42800000000011"/>
        <n v="357.10199999999998"/>
        <n v="411.48"/>
        <n v="698"/>
        <n v="301.392"/>
        <n v="576.096"/>
        <n v="441.32"/>
        <n v="470.20800000000003"/>
        <n v="241.00800000000001"/>
        <n v="587.03000000000009"/>
        <n v="252.768"/>
        <n v="244.92"/>
        <n v="271.88000000000011"/>
        <n v="364.43599999999998"/>
        <n v="432.74400000000003"/>
        <n v="318.39600000000002"/>
        <n v="615.70000000000005"/>
        <n v="599.52"/>
        <n v="549.56000000000006"/>
        <n v="489.55200000000008"/>
        <n v="382.16800000000001"/>
        <n v="486.12799999999999"/>
        <n v="579.2600000000001"/>
        <n v="326.12"/>
        <n v="291.92"/>
        <n v="343.24400000000003"/>
        <n v="512.09399999999994"/>
        <n v="380.05200000000002"/>
        <n v="403.96800000000002"/>
        <n v="397.65600000000001"/>
        <n v="289.96800000000002"/>
        <n v="387.01799999999997"/>
        <n v="558.64800000000002"/>
        <n v="605.0100000000001"/>
        <n v="348.5"/>
        <n v="647.22"/>
        <n v="347.18400000000003"/>
        <n v="559.02600000000007"/>
        <n v="334.30399999999997"/>
        <n v="315.34800000000001"/>
        <n v="723.14200000000005"/>
        <n v="578.20200000000011"/>
        <n v="519.68799999999999"/>
        <n v="774.38400000000001"/>
        <n v="607.20000000000005"/>
        <n v="446.32"/>
        <n v="487.35600000000011"/>
        <n v="250.92"/>
        <n v="744.88400000000001"/>
        <n v="1040.5999999999999"/>
        <n v="693.90000000000009"/>
        <n v="629.64"/>
        <n v="433.44400000000002"/>
        <n v="1248.8140000000001"/>
        <n v="1113.2"/>
        <n v="873.79200000000003"/>
        <n v="807.85200000000009"/>
        <n v="884.06399999999996"/>
        <n v="468.34199999999998"/>
        <n v="1022.196"/>
        <n v="1233.5999999999999"/>
        <n v="974.65200000000004"/>
        <n v="424.02800000000002"/>
        <n v="847.22800000000007"/>
        <n v="377.79"/>
        <n v="230.51599999999999"/>
        <n v="498.57600000000002"/>
        <n v="398.32"/>
        <n v="790.63599999999997"/>
        <n v="745.87800000000004"/>
        <n v="523.43200000000002"/>
        <n v="796.7"/>
        <n v="633.99"/>
        <n v="779.90000000000009"/>
        <n v="370.346"/>
        <n v="502.68200000000002"/>
        <n v="486.38799999999998"/>
        <n v="302.904"/>
        <n v="615.88800000000003"/>
        <n v="380.072"/>
        <n v="394.81200000000001"/>
        <n v="740.69200000000001"/>
        <n v="351.02600000000012"/>
        <n v="854.65800000000002"/>
        <n v="796.99200000000008"/>
        <n v="481.536"/>
        <n v="339.46"/>
        <n v="402.20400000000001"/>
        <n v="461.25"/>
        <n v="369"/>
        <n v="498.62400000000002"/>
        <n v="301.7"/>
        <n v="478.86000000000013"/>
        <n v="632.99600000000009"/>
        <n v="670.21800000000007"/>
        <n v="612.86400000000003"/>
        <n v="778.36200000000008"/>
        <n v="1089.76"/>
        <n v="1098.9939999999999"/>
        <n v="1267.2139999999999"/>
        <n v="581.39400000000001"/>
        <n v="953.54"/>
        <n v="763.91200000000003"/>
        <n v="772.35"/>
        <n v="1263.8699999999999"/>
        <n v="1399.2840000000001"/>
        <n v="1389.934"/>
        <n v="910"/>
        <n v="895.92600000000004"/>
        <n v="1029.5999999999999"/>
        <n v="586.41600000000005"/>
        <n v="631.95000000000005"/>
        <n v="859.46399999999994"/>
        <n v="1544.7"/>
        <n v="1099.53"/>
        <n v="810.57600000000002"/>
        <n v="627.18600000000004"/>
        <n v="1002.708"/>
        <n v="1060.5440000000001"/>
        <n v="586.39600000000007"/>
        <n v="351.58200000000011"/>
        <n v="1352.61"/>
        <n v="2347.94"/>
        <n v="1848"/>
        <n v="648.30000000000007"/>
        <n v="393.62400000000002"/>
        <n v="818.90000000000009"/>
        <n v="370.66399999999999"/>
        <n v="678.5680000000001"/>
        <n v="394.30799999999999"/>
        <n v="433.98"/>
        <n v="569.23400000000004"/>
        <n v="403.68000000000012"/>
        <n v="543.74400000000003"/>
        <n v="396.33"/>
        <n v="600.48"/>
        <n v="589.63199999999995"/>
        <n v="671.49800000000005"/>
        <n v="235.03200000000001"/>
        <n v="458.56000000000012"/>
        <n v="657.298"/>
        <n v="466.74"/>
        <n v="535.0100000000001"/>
        <n v="872.28"/>
        <n v="403.71600000000001"/>
        <n v="742.19600000000003"/>
        <n v="569.4"/>
        <n v="601.22400000000005"/>
        <n v="559.5680000000001"/>
        <n v="768.64"/>
        <n v="270.21600000000001"/>
        <n v="337.80599999999998"/>
        <n v="330.91199999999998"/>
        <n v="305.71600000000001"/>
        <n v="202.696"/>
        <n v="288.452"/>
        <n v="232.61"/>
        <n v="194.39599999999999"/>
        <n v="180.53200000000001"/>
        <n v="259.19400000000002"/>
        <n v="306.94400000000002"/>
        <n v="237.06"/>
        <n v="339.75599999999997"/>
        <n v="276.20999999999998"/>
        <n v="268.09199999999998"/>
        <n v="193.00800000000001"/>
        <n v="218.798"/>
        <n v="633.36800000000005"/>
        <n v="428.73599999999999"/>
        <n v="343.52800000000002"/>
        <n v="817.25800000000004"/>
        <n v="110.79"/>
        <n v="130.47"/>
        <n v="584.32399999999996"/>
        <n v="1113.7280000000001"/>
        <n v="387.96"/>
        <n v="756.96"/>
        <n v="560.41800000000001"/>
        <n v="476.928"/>
        <n v="583.13199999999995"/>
        <n v="1159.144"/>
        <n v="739.97600000000011"/>
        <n v="596.12"/>
        <n v="1006.548"/>
        <n v="947.43"/>
        <n v="1262.24"/>
        <n v="614.10800000000006"/>
        <n v="959.47800000000007"/>
        <n v="766.47600000000011"/>
        <n v="928.29599999999994"/>
        <n v="800.05200000000013"/>
        <n v="1065.152"/>
        <n v="923.73799999999994"/>
        <n v="636.59400000000005"/>
        <n v="520.60800000000006"/>
        <n v="281.79199999999997"/>
        <n v="394.42200000000003"/>
        <n v="1041.55"/>
        <n v="850.64"/>
        <n v="574.6"/>
        <n v="450.73599999999999"/>
        <n v="715.22400000000005"/>
        <n v="655.22600000000011"/>
        <n v="362.28"/>
        <n v="769.02"/>
        <n v="514.22799999999995"/>
        <n v="1007.022"/>
        <n v="455.8"/>
        <n v="642.774"/>
        <n v="706.44600000000003"/>
        <n v="681.3180000000001"/>
        <n v="693.44"/>
        <n v="725.78800000000001"/>
        <n v="934.94400000000007"/>
        <n v="331.33800000000002"/>
        <n v="1034.28"/>
        <n v="668.51400000000012"/>
        <n v="976.97600000000011"/>
        <n v="1253.538"/>
        <n v="884.83199999999999"/>
        <n v="392.41800000000001"/>
        <n v="1369.4"/>
        <n v="695.36000000000013"/>
        <n v="918.52199999999993"/>
        <n v="441.78399999999999"/>
        <n v="331.55200000000002"/>
        <n v="495.84199999999998"/>
        <n v="713.18400000000008"/>
        <n v="559.48199999999997"/>
        <n v="751.2"/>
        <n v="568"/>
        <n v="343.25200000000001"/>
        <n v="649.12"/>
        <n v="552.18799999999999"/>
        <n v="361.68000000000012"/>
        <n v="336.47399999999999"/>
        <n v="298.2"/>
        <n v="333.27"/>
        <n v="733.21600000000001"/>
        <n v="583.24"/>
        <n v="523.39600000000007"/>
        <n v="678.16000000000008"/>
        <n v="629.30000000000007"/>
        <n v="312.3"/>
        <n v="2007.92"/>
        <n v="633.40000000000009"/>
        <n v="704.25"/>
        <n v="843.85599999999999"/>
        <n v="716.35200000000009"/>
        <n v="426.00200000000012"/>
        <n v="412.61200000000002"/>
        <n v="401.62599999999998"/>
        <n v="400.95400000000001"/>
        <n v="308.66000000000003"/>
        <n v="453.98399999999998"/>
        <n v="398.38400000000001"/>
        <n v="583.35200000000009"/>
        <n v="405.50400000000002"/>
        <n v="647.03600000000006"/>
        <n v="412.58800000000002"/>
        <n v="663.55600000000004"/>
        <n v="782.73800000000006"/>
        <n v="721.72800000000007"/>
        <n v="704.96"/>
        <n v="517.37600000000009"/>
        <n v="950.69799999999998"/>
        <n v="736.93400000000008"/>
        <n v="1143.08"/>
        <n v="619.74"/>
        <n v="534.18400000000008"/>
        <n v="1030.8820000000001"/>
        <n v="978.83400000000006"/>
        <n v="494.52"/>
        <n v="644.86200000000008"/>
        <n v="733.50400000000002"/>
        <n v="828.26600000000008"/>
        <n v="565.91600000000005"/>
        <n v="613.71"/>
        <n v="526.99200000000008"/>
        <n v="487.34399999999999"/>
        <n v="921.47199999999998"/>
        <n v="719.798"/>
        <n v="792.82"/>
        <n v="448.98"/>
        <n v="558.6"/>
        <n v="826.72800000000007"/>
        <n v="780.12"/>
        <n v="548.60800000000006"/>
        <n v="480.41399999999999"/>
        <n v="435.70800000000003"/>
        <n v="631.00800000000004"/>
        <n v="473.25600000000009"/>
        <n v="392.72"/>
        <n v="949.25599999999997"/>
        <n v="1277.3879999999999"/>
        <n v="808.80799999999999"/>
        <n v="541.68400000000008"/>
        <n v="580.94399999999996"/>
        <n v="710.77600000000007"/>
        <n v="371.6"/>
        <n v="492.27199999999999"/>
        <n v="528.40200000000004"/>
        <n v="648.87200000000007"/>
        <n v="870.23199999999997"/>
        <n v="735.17200000000003"/>
        <n v="495.05399999999997"/>
        <n v="835.49800000000005"/>
        <n v="656.45600000000013"/>
        <n v="495.44200000000001"/>
        <n v="376.78600000000012"/>
        <n v="731.78600000000006"/>
        <n v="571.37600000000009"/>
        <n v="383.56799999999998"/>
        <n v="1061.0719999999999"/>
        <n v="575.18999999999994"/>
        <n v="1296.57"/>
        <n v="746.76400000000012"/>
        <n v="1315.3"/>
        <n v="1270.654"/>
        <n v="835.12000000000012"/>
        <n v="998.52199999999993"/>
        <n v="952.92000000000007"/>
        <n v="234.63"/>
        <n v="276.892"/>
        <n v="265.51799999999997"/>
        <n v="221.96"/>
        <n v="247.8"/>
        <n v="207.11600000000001"/>
        <n v="309.12799999999999"/>
        <n v="303.50799999999998"/>
        <n v="346.36799999999999"/>
        <n v="339.09800000000001"/>
        <n v="209.196"/>
        <n v="347.61599999999999"/>
        <n v="130.36000000000001"/>
        <n v="197.69399999999999"/>
        <n v="303.62200000000001"/>
        <n v="202.75200000000001"/>
        <n v="309.95999999999998"/>
        <n v="221.67599999999999"/>
        <n v="820.51200000000017"/>
        <n v="742.63200000000006"/>
        <n v="302.70800000000003"/>
        <n v="463.48800000000011"/>
        <n v="659.68000000000006"/>
        <n v="365.39200000000011"/>
        <n v="241.38"/>
        <n v="333.34"/>
        <n v="312.08800000000002"/>
        <n v="467.55"/>
        <n v="220.75200000000001"/>
        <n v="523.57000000000005"/>
        <n v="441.50400000000002"/>
        <n v="633.1"/>
        <n v="414.28199999999998"/>
        <n v="277.05599999999998"/>
        <n v="324.32400000000001"/>
        <n v="386.33"/>
        <n v="248.90600000000001"/>
        <n v="340.9"/>
        <n v="350.64"/>
        <n v="342.17800000000011"/>
        <n v="465.3"/>
        <n v="463.2"/>
        <n v="345.42"/>
        <n v="1768.8240000000001"/>
        <n v="484.8"/>
        <n v="307.09800000000001"/>
        <n v="1271.7360000000001"/>
        <n v="265.88000000000011"/>
        <n v="340.35199999999998"/>
        <n v="451.94400000000002"/>
        <n v="185.06"/>
        <n v="96.426000000000002"/>
        <n v="645.52600000000007"/>
        <n v="342.25200000000001"/>
        <n v="410.87200000000013"/>
        <n v="626.38800000000003"/>
        <n v="336.27"/>
        <n v="470.27199999999999"/>
        <n v="281.60000000000002"/>
        <n v="489.12"/>
        <n v="360.88799999999998"/>
        <n v="508.95"/>
        <n v="211.28"/>
        <n v="560.28000000000009"/>
        <n v="397.68000000000012"/>
        <n v="581.66999999999996"/>
        <n v="429.48"/>
        <n v="419.92599999999999"/>
        <n v="463.036"/>
        <n v="465.43000000000012"/>
        <n v="1075.48"/>
        <n v="525.20200000000011"/>
        <n v="881.28"/>
        <n v="860.24400000000014"/>
        <n v="597.30000000000007"/>
        <n v="317.416"/>
        <n v="238.608"/>
        <n v="680.67000000000007"/>
        <n v="315.19200000000001"/>
        <n v="326.04000000000002"/>
        <n v="340.25599999999997"/>
        <n v="570.1640000000001"/>
        <n v="538.41200000000003"/>
        <n v="434.88400000000001"/>
        <n v="633.47200000000009"/>
        <n v="428.53199999999998"/>
        <n v="423.50400000000002"/>
        <n v="483.99"/>
        <n v="438.24"/>
        <n v="608.60800000000006"/>
        <n v="245.64"/>
        <n v="266.07"/>
        <n v="558.50400000000002"/>
        <n v="459.2"/>
        <n v="525.88800000000003"/>
        <n v="382.43200000000002"/>
        <n v="486.35399999999998"/>
        <n v="627.99800000000005"/>
        <n v="1133.9280000000001"/>
        <n v="632.05000000000007"/>
        <n v="1359.9359999999999"/>
        <n v="373.464"/>
        <n v="481.27199999999999"/>
        <n v="418.93400000000003"/>
        <n v="559.58000000000004"/>
        <n v="327.44000000000011"/>
        <n v="456.38200000000001"/>
        <n v="461.44799999999998"/>
        <n v="264.16000000000003"/>
        <n v="528.56400000000008"/>
        <n v="612.20000000000005"/>
        <n v="632.88000000000011"/>
        <n v="358.23200000000003"/>
        <n v="818.6"/>
        <n v="446.88000000000011"/>
        <n v="607.5680000000001"/>
        <n v="283.96800000000002"/>
        <n v="389.61599999999999"/>
        <n v="356.08"/>
        <n v="708.83400000000006"/>
        <n v="723.88800000000003"/>
        <n v="783.79"/>
        <n v="296.60399999999998"/>
        <n v="963.85200000000009"/>
        <n v="318.34400000000011"/>
        <n v="733.95600000000013"/>
        <n v="433.7"/>
        <n v="538.80000000000007"/>
        <n v="650.26800000000003"/>
        <n v="469.43000000000012"/>
        <n v="784.17600000000004"/>
        <n v="502.92"/>
        <n v="720.048"/>
        <n v="808.00600000000009"/>
        <n v="667.38000000000011"/>
        <n v="622.72800000000007"/>
        <n v="566.4"/>
        <n v="666.19600000000003"/>
        <n v="860.92800000000011"/>
        <n v="520.05200000000002"/>
        <n v="876.43200000000002"/>
        <n v="847"/>
        <n v="525.36"/>
        <n v="1005.312"/>
        <n v="440.32400000000001"/>
        <n v="865.36000000000013"/>
        <n v="685.03600000000006"/>
        <n v="940.37600000000009"/>
        <n v="1037.8800000000001"/>
        <n v="313.17"/>
        <n v="496.07600000000002"/>
        <n v="271.02600000000001"/>
        <n v="249.28800000000001"/>
        <n v="164.08"/>
        <n v="498.52800000000002"/>
        <n v="222.72"/>
        <n v="352.77199999999999"/>
        <n v="379.33200000000011"/>
        <n v="289.87"/>
        <n v="373.89600000000002"/>
        <n v="372.10599999999999"/>
        <n v="344.964"/>
        <n v="342.73800000000011"/>
        <n v="251.88800000000001"/>
        <n v="410.21600000000001"/>
        <n v="323.47600000000011"/>
        <n v="353.12400000000002"/>
        <n v="404.96"/>
        <n v="657.68000000000006"/>
        <n v="545.09399999999994"/>
        <n v="644.84"/>
        <n v="642.27600000000007"/>
        <n v="359.26799999999997"/>
        <n v="395.92"/>
        <n v="384.28199999999998"/>
        <n v="741.048"/>
        <n v="568.78200000000004"/>
        <n v="1235.2840000000001"/>
        <n v="1100.088"/>
        <n v="644.02"/>
        <n v="911.23199999999997"/>
        <n v="622.97800000000007"/>
        <n v="1032.2339999999999"/>
        <n v="531.55200000000002"/>
        <n v="796.61000000000013"/>
        <n v="794.98800000000006"/>
        <n v="585.68400000000008"/>
        <n v="610.9140000000001"/>
        <n v="669.05200000000013"/>
        <n v="862.14400000000012"/>
        <n v="996.62800000000016"/>
        <n v="923.66399999999999"/>
        <n v="680.62400000000002"/>
        <n v="1038.0840000000001"/>
        <n v="628.31400000000008"/>
        <n v="979.34"/>
        <n v="542.88"/>
        <n v="617.41000000000008"/>
        <n v="1138.5920000000001"/>
        <n v="692.17200000000003"/>
        <n v="379.18799999999999"/>
        <n v="341.18400000000003"/>
        <n v="206.68199999999999"/>
        <n v="635.904"/>
        <n v="418.23599999999999"/>
        <n v="355.94200000000001"/>
        <n v="507.52800000000002"/>
        <n v="489.74400000000003"/>
        <n v="194.48"/>
        <n v="571.22799999999995"/>
        <n v="393.66"/>
        <n v="411.24"/>
        <n v="448.404"/>
        <n v="625.73"/>
        <n v="488.65199999999999"/>
        <n v="494.17200000000003"/>
        <n v="385.49"/>
        <n v="410.31200000000001"/>
        <n v="467.47600000000011"/>
        <n v="1186.5920000000001"/>
        <n v="459.35399999999998"/>
        <n v="1298.1759999999999"/>
        <n v="324.64999999999998"/>
        <n v="281.18400000000003"/>
        <n v="456.45600000000007"/>
        <n v="1795.41"/>
        <n v="651.27"/>
        <n v="564.33199999999999"/>
        <n v="658.68000000000006"/>
        <n v="844.80000000000007"/>
        <n v="618.33600000000001"/>
        <n v="443.92"/>
        <n v="773.28000000000009"/>
        <n v="392.952"/>
        <n v="533.7600000000001"/>
        <n v="644.40000000000009"/>
        <n v="772.90000000000009"/>
        <n v="273.36"/>
        <n v="695.13599999999997"/>
        <n v="841.30000000000007"/>
        <n v="297.27600000000001"/>
        <n v="615.57600000000002"/>
        <n v="708.84"/>
        <n v="496.608"/>
        <n v="695.61000000000013"/>
        <n v="731.56000000000006"/>
        <n v="936.47199999999998"/>
        <n v="787.54"/>
        <n v="996.86400000000003"/>
        <n v="1081.3320000000001"/>
        <n v="698.23599999999999"/>
        <n v="423.70800000000003"/>
        <n v="579.49400000000003"/>
        <n v="383.35"/>
        <n v="372"/>
        <n v="556.16200000000003"/>
        <n v="647.92399999999998"/>
        <n v="364.8"/>
        <n v="226.8"/>
        <n v="297.48200000000003"/>
        <n v="567.49200000000008"/>
        <n v="388.55399999999997"/>
        <n v="508.82400000000001"/>
        <n v="513.64800000000002"/>
        <n v="421.6"/>
        <n v="274.42800000000011"/>
        <n v="708.03000000000009"/>
        <n v="391.76799999999997"/>
        <n v="540"/>
        <n v="508.4"/>
        <n v="468"/>
        <n v="563.28800000000001"/>
        <n v="705.36400000000003"/>
        <n v="925.58400000000006"/>
        <n v="386.7"/>
        <n v="520.02600000000007"/>
        <n v="527.91600000000005"/>
        <n v="662.59400000000005"/>
        <n v="772.774"/>
        <n v="372.67200000000003"/>
        <n v="789.19200000000001"/>
        <n v="990.81600000000003"/>
        <n v="797.95200000000011"/>
        <n v="329.91"/>
        <n v="506.95"/>
        <n v="516.05000000000007"/>
        <n v="566.30799999999999"/>
        <n v="672.24"/>
        <n v="572.86400000000003"/>
        <n v="398.97600000000011"/>
        <n v="859.32000000000016"/>
        <n v="444.99"/>
        <n v="559.02800000000002"/>
        <n v="552.41999999999996"/>
        <n v="531.6"/>
        <n v="1008.774"/>
        <n v="242.16"/>
        <n v="605.83800000000008"/>
        <n v="2013.32"/>
        <n v="824.28600000000006"/>
        <n v="227.06200000000001"/>
        <n v="420.16399999999999"/>
        <n v="406.87"/>
        <n v="605.5680000000001"/>
        <n v="620.80000000000007"/>
        <n v="722.48599999999999"/>
        <n v="542.37600000000009"/>
        <n v="602.79399999999998"/>
        <n v="547.70799999999997"/>
        <n v="944"/>
        <n v="446.2"/>
        <n v="459.36800000000011"/>
        <n v="831.44"/>
        <n v="429.24"/>
        <n v="744.846"/>
        <n v="416.96199999999999"/>
        <n v="697.75600000000009"/>
        <n v="350.61200000000002"/>
        <n v="693.84"/>
        <n v="506.16000000000008"/>
        <n v="584.86400000000003"/>
        <n v="899.36000000000013"/>
        <n v="1279.4880000000001"/>
        <n v="515.52"/>
        <n v="706.72400000000005"/>
        <n v="635.46"/>
        <n v="546.01200000000006"/>
        <n v="378.35599999999999"/>
        <n v="522.49599999999998"/>
        <n v="585.15200000000004"/>
        <n v="588.00400000000002"/>
        <n v="658.64800000000002"/>
        <n v="477.93599999999998"/>
        <n v="434.49599999999998"/>
        <n v="585.48599999999999"/>
        <n v="531.90800000000002"/>
        <n v="767.6"/>
        <n v="828.43200000000002"/>
        <n v="376.56"/>
        <n v="695.57200000000012"/>
        <n v="664.76800000000003"/>
        <n v="839.16000000000008"/>
        <n v="831.31600000000003"/>
        <n v="783.75"/>
        <n v="470.53399999999999"/>
        <n v="217.87200000000001"/>
        <n v="540.22400000000005"/>
        <n v="497.40800000000002"/>
        <n v="782.06400000000008"/>
        <n v="807.7600000000001"/>
        <n v="614.08000000000004"/>
        <n v="752.69200000000001"/>
        <n v="516.96"/>
        <n v="885.5200000000001"/>
        <n v="430.404"/>
        <n v="470.68000000000012"/>
        <n v="686.27800000000002"/>
        <n v="386.1"/>
        <n v="954.91200000000015"/>
        <n v="518.54399999999998"/>
        <n v="649.35"/>
        <n v="674.5"/>
        <n v="781.83"/>
        <n v="598.95000000000005"/>
        <n v="894.50400000000013"/>
        <n v="915.39"/>
        <n v="621.25"/>
        <n v="541.28200000000004"/>
        <n v="804.30600000000004"/>
        <n v="965.25"/>
        <n v="987.05600000000004"/>
        <n v="550.93999999999994"/>
        <n v="771.3420000000001"/>
        <n v="620.41600000000005"/>
        <n v="381.74400000000003"/>
        <n v="1508.75"/>
        <n v="491.43599999999998"/>
        <n v="407.774"/>
        <n v="499.85200000000009"/>
        <n v="767.61000000000013"/>
        <n v="528.798"/>
        <n v="463.17599999999999"/>
        <n v="645.01200000000006"/>
        <n v="490.36800000000011"/>
        <n v="450.99599999999998"/>
        <n v="787.90000000000009"/>
        <n v="684.94"/>
        <n v="582.84"/>
        <n v="477.92"/>
        <n v="485.69600000000003"/>
        <n v="604.29600000000005"/>
        <n v="522.14400000000001"/>
        <n v="618.23800000000006"/>
        <n v="515.24"/>
        <n v="646.46199999999999"/>
        <n v="714.72"/>
        <n v="404.50200000000001"/>
        <n v="743.5"/>
        <n v="437.03"/>
        <n v="576.70600000000002"/>
        <n v="1003.514"/>
        <n v="470.51799999999997"/>
        <n v="892.16399999999999"/>
        <n v="951.63600000000008"/>
        <n v="919.44"/>
        <n v="822.96"/>
        <n v="420.8"/>
        <n v="639.05400000000009"/>
        <n v="722.23199999999997"/>
        <n v="400.154"/>
        <n v="462.85200000000009"/>
        <n v="774.37800000000004"/>
        <n v="545.6"/>
        <n v="1122.8"/>
        <n v="925.7600000000001"/>
        <n v="728.28000000000009"/>
        <n v="809.6"/>
        <n v="464.29199999999997"/>
        <n v="651.39200000000005"/>
        <n v="841.6"/>
        <n v="594.78000000000009"/>
        <n v="849.66000000000008"/>
        <n v="1911.76"/>
        <n v="530.11199999999997"/>
        <n v="752.274"/>
        <n v="860.26800000000003"/>
        <n v="372.91199999999998"/>
        <n v="715.36000000000013"/>
        <n v="744.46400000000006"/>
        <n v="797.31200000000001"/>
        <n v="683.42399999999998"/>
        <n v="538.21800000000007"/>
        <n v="550.52"/>
        <n v="905.5440000000001"/>
        <n v="791.41000000000008"/>
        <n v="563.6"/>
        <n v="639.97200000000009"/>
        <n v="480.55"/>
        <n v="1211.144"/>
        <n v="1093.0319999999999"/>
        <n v="1275.7439999999999"/>
        <n v="1078.56"/>
        <n v="797.30000000000007"/>
        <n v="801.846"/>
        <n v="1423.8"/>
        <n v="814.44"/>
        <n v="818.90200000000004"/>
        <n v="660.48"/>
        <n v="637.29600000000005"/>
        <n v="333.65"/>
        <n v="1430.9"/>
        <n v="562.16600000000005"/>
        <n v="403.66199999999998"/>
        <n v="1128.566"/>
        <n v="654.72"/>
        <n v="653.6"/>
        <n v="743.04"/>
        <n v="921.6"/>
        <n v="626.24"/>
        <n v="535.68000000000006"/>
        <n v="349.44000000000011"/>
        <n v="588.80000000000007"/>
        <n v="591.36"/>
        <n v="410.4"/>
        <n v="632.96"/>
        <n v="348"/>
        <n v="355.52"/>
        <n v="366.24"/>
        <n v="721.92000000000007"/>
        <n v="422.4"/>
        <n v="728.82400000000007"/>
        <n v="704.77"/>
        <n v="1000.384"/>
        <n v="1041.7439999999999"/>
        <n v="603.77600000000007"/>
        <n v="380.48"/>
        <n v="1416.8"/>
        <n v="632.89200000000005"/>
        <n v="843.84"/>
        <n v="765.66000000000008"/>
        <n v="466.99799999999999"/>
        <n v="881.5"/>
        <n v="562.56000000000006"/>
        <n v="811.00800000000004"/>
        <n v="778.33199999999999"/>
        <n v="497.66399999999999"/>
        <n v="889.48"/>
        <n v="837.44400000000007"/>
        <n v="923.13600000000008"/>
        <n v="649.08000000000004"/>
        <n v="440.75"/>
        <n v="689.2"/>
        <n v="387.86"/>
        <n v="694.75600000000009"/>
        <n v="576.96"/>
        <n v="534.13"/>
        <n v="688"/>
        <n v="554.15600000000006"/>
        <n v="479.50799999999998"/>
        <n v="655.11200000000008"/>
        <n v="828.72000000000014"/>
        <n v="1038.528"/>
        <n v="605.80799999999999"/>
        <n v="511.23599999999999"/>
        <n v="750.78000000000009"/>
        <n v="512.46"/>
        <n v="649.11599999999999"/>
        <n v="440.92"/>
        <n v="505.29599999999999"/>
        <n v="349.58"/>
        <n v="653.45000000000005"/>
        <n v="563.70600000000002"/>
        <n v="591.10800000000006"/>
        <n v="577.0100000000001"/>
        <n v="632.59"/>
        <n v="814.30000000000007"/>
        <n v="593.89200000000005"/>
        <n v="679.28800000000001"/>
        <n v="703.14"/>
        <n v="676.13800000000003"/>
        <n v="640.9140000000001"/>
        <n v="517.60800000000006"/>
        <n v="570.95000000000005"/>
        <n v="805.12"/>
        <n v="572.88"/>
        <n v="757.94399999999996"/>
        <n v="487.99799999999999"/>
        <n v="589.82399999999996"/>
        <n v="307.94400000000002"/>
        <n v="442.67599999999999"/>
        <n v="583.91600000000005"/>
        <n v="755.65600000000006"/>
        <n v="646.69799999999998"/>
        <n v="686.25"/>
        <n v="509.36000000000013"/>
        <n v="590.77200000000005"/>
        <n v="636.65800000000002"/>
        <n v="493.34"/>
        <n v="472.64400000000001"/>
        <n v="497.49"/>
        <n v="449.81000000000012"/>
        <n v="412.22399999999999"/>
        <n v="814.22800000000007"/>
        <n v="531.25800000000004"/>
        <n v="547.27200000000005"/>
        <n v="669.78600000000006"/>
        <n v="578.6"/>
        <n v="332.24400000000003"/>
        <n v="855.47000000000014"/>
        <n v="500.58"/>
        <n v="760.32"/>
        <n v="628.99200000000008"/>
        <n v="406.28"/>
        <n v="534.83400000000006"/>
        <n v="505.34399999999999"/>
        <n v="269.75200000000001"/>
        <n v="175.18199999999999"/>
        <n v="374.81"/>
        <n v="334.28800000000001"/>
        <n v="333.68000000000012"/>
        <n v="460.35"/>
        <n v="291.98399999999998"/>
        <n v="241.91800000000001"/>
        <n v="429.024"/>
        <n v="283.27800000000002"/>
        <n v="368.70400000000001"/>
        <n v="239.86199999999999"/>
        <n v="375.04"/>
        <n v="495.44600000000003"/>
        <n v="189.798"/>
        <n v="364.68400000000003"/>
        <n v="297.16000000000003"/>
        <n v="412.07400000000001"/>
        <n v="515.87200000000007"/>
        <n v="437.92"/>
        <n v="324.85000000000002"/>
        <n v="871.5"/>
        <n v="273.49599999999998"/>
        <n v="224.48"/>
        <n v="483.92399999999998"/>
        <n v="283.89999999999998"/>
        <n v="436.8"/>
        <n v="415.80799999999999"/>
        <n v="344.99400000000003"/>
        <n v="369.28399999999999"/>
        <n v="401.84"/>
        <n v="360.80799999999999"/>
        <n v="421.93200000000002"/>
        <n v="536.59199999999998"/>
        <n v="456.048"/>
        <n v="238.512"/>
        <n v="294.524"/>
        <n v="339.36399999999998"/>
        <n v="338.71199999999999"/>
        <n v="384.38400000000001"/>
        <n v="416.57"/>
        <n v="445.52"/>
        <n v="641.87600000000009"/>
        <n v="816.14400000000001"/>
        <n v="448.88000000000011"/>
        <n v="795.70200000000011"/>
        <n v="1083.5139999999999"/>
        <n v="423.23200000000003"/>
        <m/>
      </sharedItems>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2832">
  <r>
    <x v="0"/>
  </r>
  <r>
    <x v="1"/>
  </r>
  <r>
    <x v="1"/>
  </r>
  <r>
    <x v="0"/>
  </r>
  <r>
    <x v="0"/>
  </r>
  <r>
    <x v="0"/>
  </r>
  <r>
    <x v="1"/>
  </r>
  <r>
    <x v="1"/>
  </r>
  <r>
    <x v="0"/>
  </r>
  <r>
    <x v="1"/>
  </r>
  <r>
    <x v="2"/>
  </r>
  <r>
    <x v="0"/>
  </r>
  <r>
    <x v="0"/>
  </r>
  <r>
    <x v="0"/>
  </r>
  <r>
    <x v="1"/>
  </r>
  <r>
    <x v="0"/>
  </r>
  <r>
    <x v="1"/>
  </r>
  <r>
    <x v="1"/>
  </r>
  <r>
    <x v="0"/>
  </r>
  <r>
    <x v="0"/>
  </r>
  <r>
    <x v="1"/>
  </r>
  <r>
    <x v="2"/>
  </r>
  <r>
    <x v="1"/>
  </r>
  <r>
    <x v="0"/>
  </r>
  <r>
    <x v="1"/>
  </r>
  <r>
    <x v="1"/>
  </r>
  <r>
    <x v="1"/>
  </r>
  <r>
    <x v="1"/>
  </r>
  <r>
    <x v="1"/>
  </r>
  <r>
    <x v="0"/>
  </r>
  <r>
    <x v="3"/>
  </r>
  <r>
    <x v="0"/>
  </r>
  <r>
    <x v="2"/>
  </r>
  <r>
    <x v="0"/>
  </r>
  <r>
    <x v="1"/>
  </r>
  <r>
    <x v="0"/>
  </r>
  <r>
    <x v="0"/>
  </r>
  <r>
    <x v="0"/>
  </r>
  <r>
    <x v="0"/>
  </r>
  <r>
    <x v="3"/>
  </r>
  <r>
    <x v="2"/>
  </r>
  <r>
    <x v="1"/>
  </r>
  <r>
    <x v="1"/>
  </r>
  <r>
    <x v="1"/>
  </r>
  <r>
    <x v="0"/>
  </r>
  <r>
    <x v="0"/>
  </r>
  <r>
    <x v="0"/>
  </r>
  <r>
    <x v="2"/>
  </r>
  <r>
    <x v="0"/>
  </r>
  <r>
    <x v="0"/>
  </r>
  <r>
    <x v="0"/>
  </r>
  <r>
    <x v="2"/>
  </r>
  <r>
    <x v="0"/>
  </r>
  <r>
    <x v="1"/>
  </r>
  <r>
    <x v="0"/>
  </r>
  <r>
    <x v="2"/>
  </r>
  <r>
    <x v="1"/>
  </r>
  <r>
    <x v="0"/>
  </r>
  <r>
    <x v="0"/>
  </r>
  <r>
    <x v="0"/>
  </r>
  <r>
    <x v="1"/>
  </r>
  <r>
    <x v="1"/>
  </r>
  <r>
    <x v="0"/>
  </r>
  <r>
    <x v="3"/>
  </r>
  <r>
    <x v="2"/>
  </r>
  <r>
    <x v="0"/>
  </r>
  <r>
    <x v="0"/>
  </r>
  <r>
    <x v="0"/>
  </r>
  <r>
    <x v="1"/>
  </r>
  <r>
    <x v="0"/>
  </r>
  <r>
    <x v="1"/>
  </r>
  <r>
    <x v="0"/>
  </r>
  <r>
    <x v="0"/>
  </r>
  <r>
    <x v="0"/>
  </r>
  <r>
    <x v="3"/>
  </r>
  <r>
    <x v="2"/>
  </r>
  <r>
    <x v="2"/>
  </r>
  <r>
    <x v="0"/>
  </r>
  <r>
    <x v="1"/>
  </r>
  <r>
    <x v="1"/>
  </r>
  <r>
    <x v="0"/>
  </r>
  <r>
    <x v="2"/>
  </r>
  <r>
    <x v="1"/>
  </r>
  <r>
    <x v="0"/>
  </r>
  <r>
    <x v="0"/>
  </r>
  <r>
    <x v="0"/>
  </r>
  <r>
    <x v="1"/>
  </r>
  <r>
    <x v="1"/>
  </r>
  <r>
    <x v="0"/>
  </r>
  <r>
    <x v="3"/>
  </r>
  <r>
    <x v="2"/>
  </r>
  <r>
    <x v="0"/>
  </r>
  <r>
    <x v="0"/>
  </r>
  <r>
    <x v="0"/>
  </r>
  <r>
    <x v="1"/>
  </r>
  <r>
    <x v="0"/>
  </r>
  <r>
    <x v="1"/>
  </r>
  <r>
    <x v="0"/>
  </r>
  <r>
    <x v="0"/>
  </r>
  <r>
    <x v="0"/>
  </r>
  <r>
    <x v="3"/>
  </r>
  <r>
    <x v="0"/>
  </r>
  <r>
    <x v="2"/>
  </r>
  <r>
    <x v="0"/>
  </r>
  <r>
    <x v="1"/>
  </r>
  <r>
    <x v="1"/>
  </r>
  <r>
    <x v="1"/>
  </r>
  <r>
    <x v="1"/>
  </r>
  <r>
    <x v="1"/>
  </r>
  <r>
    <x v="0"/>
  </r>
  <r>
    <x v="1"/>
  </r>
  <r>
    <x v="1"/>
  </r>
  <r>
    <x v="1"/>
  </r>
  <r>
    <x v="1"/>
  </r>
  <r>
    <x v="1"/>
  </r>
  <r>
    <x v="0"/>
  </r>
  <r>
    <x v="0"/>
  </r>
  <r>
    <x v="0"/>
  </r>
  <r>
    <x v="0"/>
  </r>
  <r>
    <x v="1"/>
  </r>
  <r>
    <x v="0"/>
  </r>
  <r>
    <x v="0"/>
  </r>
  <r>
    <x v="0"/>
  </r>
  <r>
    <x v="1"/>
  </r>
  <r>
    <x v="1"/>
  </r>
  <r>
    <x v="0"/>
  </r>
  <r>
    <x v="1"/>
  </r>
  <r>
    <x v="1"/>
  </r>
  <r>
    <x v="1"/>
  </r>
  <r>
    <x v="0"/>
  </r>
  <r>
    <x v="1"/>
  </r>
  <r>
    <x v="0"/>
  </r>
  <r>
    <x v="0"/>
  </r>
  <r>
    <x v="1"/>
  </r>
  <r>
    <x v="1"/>
  </r>
  <r>
    <x v="1"/>
  </r>
  <r>
    <x v="0"/>
  </r>
  <r>
    <x v="3"/>
  </r>
  <r>
    <x v="1"/>
  </r>
  <r>
    <x v="1"/>
  </r>
  <r>
    <x v="0"/>
  </r>
  <r>
    <x v="1"/>
  </r>
  <r>
    <x v="0"/>
  </r>
  <r>
    <x v="2"/>
  </r>
  <r>
    <x v="0"/>
  </r>
  <r>
    <x v="0"/>
  </r>
  <r>
    <x v="2"/>
  </r>
  <r>
    <x v="2"/>
  </r>
  <r>
    <x v="0"/>
  </r>
  <r>
    <x v="1"/>
  </r>
  <r>
    <x v="0"/>
  </r>
  <r>
    <x v="0"/>
  </r>
  <r>
    <x v="0"/>
  </r>
  <r>
    <x v="1"/>
  </r>
  <r>
    <x v="2"/>
  </r>
  <r>
    <x v="0"/>
  </r>
  <r>
    <x v="2"/>
  </r>
  <r>
    <x v="0"/>
  </r>
  <r>
    <x v="2"/>
  </r>
  <r>
    <x v="0"/>
  </r>
  <r>
    <x v="1"/>
  </r>
  <r>
    <x v="3"/>
  </r>
  <r>
    <x v="1"/>
  </r>
  <r>
    <x v="0"/>
  </r>
  <r>
    <x v="0"/>
  </r>
  <r>
    <x v="0"/>
  </r>
  <r>
    <x v="2"/>
  </r>
  <r>
    <x v="1"/>
  </r>
  <r>
    <x v="1"/>
  </r>
  <r>
    <x v="1"/>
  </r>
  <r>
    <x v="1"/>
  </r>
  <r>
    <x v="1"/>
  </r>
  <r>
    <x v="1"/>
  </r>
  <r>
    <x v="1"/>
  </r>
  <r>
    <x v="1"/>
  </r>
  <r>
    <x v="0"/>
  </r>
  <r>
    <x v="1"/>
  </r>
  <r>
    <x v="1"/>
  </r>
  <r>
    <x v="1"/>
  </r>
  <r>
    <x v="1"/>
  </r>
  <r>
    <x v="0"/>
  </r>
  <r>
    <x v="1"/>
  </r>
  <r>
    <x v="1"/>
  </r>
  <r>
    <x v="1"/>
  </r>
  <r>
    <x v="1"/>
  </r>
  <r>
    <x v="1"/>
  </r>
  <r>
    <x v="1"/>
  </r>
  <r>
    <x v="3"/>
  </r>
  <r>
    <x v="0"/>
  </r>
  <r>
    <x v="0"/>
  </r>
  <r>
    <x v="1"/>
  </r>
  <r>
    <x v="3"/>
  </r>
  <r>
    <x v="1"/>
  </r>
  <r>
    <x v="0"/>
  </r>
  <r>
    <x v="0"/>
  </r>
  <r>
    <x v="1"/>
  </r>
  <r>
    <x v="1"/>
  </r>
  <r>
    <x v="1"/>
  </r>
  <r>
    <x v="1"/>
  </r>
  <r>
    <x v="0"/>
  </r>
  <r>
    <x v="0"/>
  </r>
  <r>
    <x v="1"/>
  </r>
  <r>
    <x v="1"/>
  </r>
  <r>
    <x v="1"/>
  </r>
  <r>
    <x v="1"/>
  </r>
  <r>
    <x v="1"/>
  </r>
  <r>
    <x v="1"/>
  </r>
  <r>
    <x v="1"/>
  </r>
  <r>
    <x v="0"/>
  </r>
  <r>
    <x v="0"/>
  </r>
  <r>
    <x v="1"/>
  </r>
  <r>
    <x v="0"/>
  </r>
  <r>
    <x v="1"/>
  </r>
  <r>
    <x v="0"/>
  </r>
  <r>
    <x v="1"/>
  </r>
  <r>
    <x v="0"/>
  </r>
  <r>
    <x v="3"/>
  </r>
  <r>
    <x v="1"/>
  </r>
  <r>
    <x v="2"/>
  </r>
  <r>
    <x v="0"/>
  </r>
  <r>
    <x v="1"/>
  </r>
  <r>
    <x v="0"/>
  </r>
  <r>
    <x v="1"/>
  </r>
  <r>
    <x v="0"/>
  </r>
  <r>
    <x v="0"/>
  </r>
  <r>
    <x v="3"/>
  </r>
  <r>
    <x v="2"/>
  </r>
  <r>
    <x v="0"/>
  </r>
  <r>
    <x v="1"/>
  </r>
  <r>
    <x v="1"/>
  </r>
  <r>
    <x v="0"/>
  </r>
  <r>
    <x v="0"/>
  </r>
  <r>
    <x v="0"/>
  </r>
  <r>
    <x v="2"/>
  </r>
  <r>
    <x v="0"/>
  </r>
  <r>
    <x v="2"/>
  </r>
  <r>
    <x v="0"/>
  </r>
  <r>
    <x v="2"/>
  </r>
  <r>
    <x v="0"/>
  </r>
  <r>
    <x v="1"/>
  </r>
  <r>
    <x v="0"/>
  </r>
  <r>
    <x v="1"/>
  </r>
  <r>
    <x v="1"/>
  </r>
  <r>
    <x v="0"/>
  </r>
  <r>
    <x v="0"/>
  </r>
  <r>
    <x v="2"/>
  </r>
  <r>
    <x v="1"/>
  </r>
  <r>
    <x v="0"/>
  </r>
  <r>
    <x v="0"/>
  </r>
  <r>
    <x v="1"/>
  </r>
  <r>
    <x v="1"/>
  </r>
  <r>
    <x v="0"/>
  </r>
  <r>
    <x v="0"/>
  </r>
  <r>
    <x v="0"/>
  </r>
  <r>
    <x v="0"/>
  </r>
  <r>
    <x v="0"/>
  </r>
  <r>
    <x v="1"/>
  </r>
  <r>
    <x v="1"/>
  </r>
  <r>
    <x v="0"/>
  </r>
  <r>
    <x v="0"/>
  </r>
  <r>
    <x v="1"/>
  </r>
  <r>
    <x v="0"/>
  </r>
  <r>
    <x v="1"/>
  </r>
  <r>
    <x v="0"/>
  </r>
  <r>
    <x v="1"/>
  </r>
  <r>
    <x v="1"/>
  </r>
  <r>
    <x v="1"/>
  </r>
  <r>
    <x v="3"/>
  </r>
  <r>
    <x v="0"/>
  </r>
  <r>
    <x v="0"/>
  </r>
  <r>
    <x v="1"/>
  </r>
  <r>
    <x v="3"/>
  </r>
  <r>
    <x v="1"/>
  </r>
  <r>
    <x v="0"/>
  </r>
  <r>
    <x v="0"/>
  </r>
  <r>
    <x v="1"/>
  </r>
  <r>
    <x v="1"/>
  </r>
  <r>
    <x v="1"/>
  </r>
  <r>
    <x v="1"/>
  </r>
  <r>
    <x v="0"/>
  </r>
  <r>
    <x v="0"/>
  </r>
  <r>
    <x v="1"/>
  </r>
  <r>
    <x v="1"/>
  </r>
  <r>
    <x v="1"/>
  </r>
  <r>
    <x v="0"/>
  </r>
  <r>
    <x v="1"/>
  </r>
  <r>
    <x v="1"/>
  </r>
  <r>
    <x v="1"/>
  </r>
  <r>
    <x v="3"/>
  </r>
  <r>
    <x v="0"/>
  </r>
  <r>
    <x v="0"/>
  </r>
  <r>
    <x v="3"/>
  </r>
  <r>
    <x v="1"/>
  </r>
  <r>
    <x v="0"/>
  </r>
  <r>
    <x v="0"/>
  </r>
  <r>
    <x v="0"/>
  </r>
  <r>
    <x v="1"/>
  </r>
  <r>
    <x v="1"/>
  </r>
  <r>
    <x v="1"/>
  </r>
  <r>
    <x v="1"/>
  </r>
  <r>
    <x v="1"/>
  </r>
  <r>
    <x v="1"/>
  </r>
  <r>
    <x v="1"/>
  </r>
  <r>
    <x v="1"/>
  </r>
  <r>
    <x v="1"/>
  </r>
  <r>
    <x v="0"/>
  </r>
  <r>
    <x v="1"/>
  </r>
  <r>
    <x v="1"/>
  </r>
  <r>
    <x v="1"/>
  </r>
  <r>
    <x v="1"/>
  </r>
  <r>
    <x v="0"/>
  </r>
  <r>
    <x v="1"/>
  </r>
  <r>
    <x v="1"/>
  </r>
  <r>
    <x v="0"/>
  </r>
  <r>
    <x v="1"/>
  </r>
  <r>
    <x v="1"/>
  </r>
  <r>
    <x v="1"/>
  </r>
  <r>
    <x v="3"/>
  </r>
  <r>
    <x v="0"/>
  </r>
  <r>
    <x v="0"/>
  </r>
  <r>
    <x v="1"/>
  </r>
  <r>
    <x v="3"/>
  </r>
  <r>
    <x v="1"/>
  </r>
  <r>
    <x v="0"/>
  </r>
  <r>
    <x v="0"/>
  </r>
  <r>
    <x v="1"/>
  </r>
  <r>
    <x v="1"/>
  </r>
  <r>
    <x v="1"/>
  </r>
  <r>
    <x v="1"/>
  </r>
  <r>
    <x v="0"/>
  </r>
  <r>
    <x v="0"/>
  </r>
  <r>
    <x v="1"/>
  </r>
  <r>
    <x v="1"/>
  </r>
  <r>
    <x v="1"/>
  </r>
  <r>
    <x v="1"/>
  </r>
  <r>
    <x v="1"/>
  </r>
  <r>
    <x v="0"/>
  </r>
  <r>
    <x v="1"/>
  </r>
  <r>
    <x v="3"/>
  </r>
  <r>
    <x v="0"/>
  </r>
  <r>
    <x v="0"/>
  </r>
  <r>
    <x v="0"/>
  </r>
  <r>
    <x v="3"/>
  </r>
  <r>
    <x v="1"/>
  </r>
  <r>
    <x v="0"/>
  </r>
  <r>
    <x v="0"/>
  </r>
  <r>
    <x v="0"/>
  </r>
  <r>
    <x v="2"/>
  </r>
  <r>
    <x v="1"/>
  </r>
  <r>
    <x v="1"/>
  </r>
  <r>
    <x v="1"/>
  </r>
  <r>
    <x v="1"/>
  </r>
  <r>
    <x v="1"/>
  </r>
  <r>
    <x v="1"/>
  </r>
  <r>
    <x v="1"/>
  </r>
  <r>
    <x v="1"/>
  </r>
  <r>
    <x v="0"/>
  </r>
  <r>
    <x v="1"/>
  </r>
  <r>
    <x v="1"/>
  </r>
  <r>
    <x v="1"/>
  </r>
  <r>
    <x v="1"/>
  </r>
  <r>
    <x v="0"/>
  </r>
  <r>
    <x v="1"/>
  </r>
  <r>
    <x v="1"/>
  </r>
  <r>
    <x v="1"/>
  </r>
  <r>
    <x v="1"/>
  </r>
  <r>
    <x v="1"/>
  </r>
  <r>
    <x v="1"/>
  </r>
  <r>
    <x v="0"/>
  </r>
  <r>
    <x v="0"/>
  </r>
  <r>
    <x v="1"/>
  </r>
  <r>
    <x v="1"/>
  </r>
  <r>
    <x v="3"/>
  </r>
  <r>
    <x v="1"/>
  </r>
  <r>
    <x v="1"/>
  </r>
  <r>
    <x v="0"/>
  </r>
  <r>
    <x v="0"/>
  </r>
  <r>
    <x v="0"/>
  </r>
  <r>
    <x v="0"/>
  </r>
  <r>
    <x v="1"/>
  </r>
  <r>
    <x v="2"/>
  </r>
  <r>
    <x v="0"/>
  </r>
  <r>
    <x v="0"/>
  </r>
  <r>
    <x v="0"/>
  </r>
  <r>
    <x v="0"/>
  </r>
  <r>
    <x v="1"/>
  </r>
  <r>
    <x v="0"/>
  </r>
  <r>
    <x v="1"/>
  </r>
  <r>
    <x v="0"/>
  </r>
  <r>
    <x v="1"/>
  </r>
  <r>
    <x v="0"/>
  </r>
  <r>
    <x v="0"/>
  </r>
  <r>
    <x v="1"/>
  </r>
  <r>
    <x v="1"/>
  </r>
  <r>
    <x v="3"/>
  </r>
  <r>
    <x v="1"/>
  </r>
  <r>
    <x v="0"/>
  </r>
  <r>
    <x v="0"/>
  </r>
  <r>
    <x v="0"/>
  </r>
  <r>
    <x v="1"/>
  </r>
  <r>
    <x v="1"/>
  </r>
  <r>
    <x v="0"/>
  </r>
  <r>
    <x v="1"/>
  </r>
  <r>
    <x v="1"/>
  </r>
  <r>
    <x v="1"/>
  </r>
  <r>
    <x v="1"/>
  </r>
  <r>
    <x v="1"/>
  </r>
  <r>
    <x v="1"/>
  </r>
  <r>
    <x v="3"/>
  </r>
  <r>
    <x v="1"/>
  </r>
  <r>
    <x v="1"/>
  </r>
  <r>
    <x v="1"/>
  </r>
  <r>
    <x v="0"/>
  </r>
  <r>
    <x v="0"/>
  </r>
  <r>
    <x v="1"/>
  </r>
  <r>
    <x v="1"/>
  </r>
  <r>
    <x v="1"/>
  </r>
  <r>
    <x v="1"/>
  </r>
  <r>
    <x v="1"/>
  </r>
  <r>
    <x v="1"/>
  </r>
  <r>
    <x v="1"/>
  </r>
  <r>
    <x v="0"/>
  </r>
  <r>
    <x v="1"/>
  </r>
  <r>
    <x v="0"/>
  </r>
  <r>
    <x v="3"/>
  </r>
  <r>
    <x v="1"/>
  </r>
  <r>
    <x v="2"/>
  </r>
  <r>
    <x v="0"/>
  </r>
  <r>
    <x v="1"/>
  </r>
  <r>
    <x v="0"/>
  </r>
  <r>
    <x v="0"/>
  </r>
  <r>
    <x v="0"/>
  </r>
  <r>
    <x v="0"/>
  </r>
  <r>
    <x v="3"/>
  </r>
  <r>
    <x v="2"/>
  </r>
  <r>
    <x v="1"/>
  </r>
  <r>
    <x v="1"/>
  </r>
  <r>
    <x v="1"/>
  </r>
  <r>
    <x v="0"/>
  </r>
  <r>
    <x v="0"/>
  </r>
  <r>
    <x v="0"/>
  </r>
  <r>
    <x v="2"/>
  </r>
  <r>
    <x v="0"/>
  </r>
  <r>
    <x v="2"/>
  </r>
  <r>
    <x v="0"/>
  </r>
  <r>
    <x v="2"/>
  </r>
  <r>
    <x v="0"/>
  </r>
  <r>
    <x v="1"/>
  </r>
  <r>
    <x v="0"/>
  </r>
  <r>
    <x v="1"/>
  </r>
  <r>
    <x v="1"/>
  </r>
  <r>
    <x v="2"/>
  </r>
  <r>
    <x v="1"/>
  </r>
  <r>
    <x v="0"/>
  </r>
  <r>
    <x v="1"/>
  </r>
  <r>
    <x v="0"/>
  </r>
  <r>
    <x v="0"/>
  </r>
  <r>
    <x v="1"/>
  </r>
  <r>
    <x v="1"/>
  </r>
  <r>
    <x v="3"/>
  </r>
  <r>
    <x v="1"/>
  </r>
  <r>
    <x v="1"/>
  </r>
  <r>
    <x v="0"/>
  </r>
  <r>
    <x v="1"/>
  </r>
  <r>
    <x v="1"/>
  </r>
  <r>
    <x v="1"/>
  </r>
  <r>
    <x v="0"/>
  </r>
  <r>
    <x v="0"/>
  </r>
  <r>
    <x v="2"/>
  </r>
  <r>
    <x v="1"/>
  </r>
  <r>
    <x v="0"/>
  </r>
  <r>
    <x v="1"/>
  </r>
  <r>
    <x v="0"/>
  </r>
  <r>
    <x v="1"/>
  </r>
  <r>
    <x v="1"/>
  </r>
  <r>
    <x v="0"/>
  </r>
  <r>
    <x v="0"/>
  </r>
  <r>
    <x v="2"/>
  </r>
  <r>
    <x v="2"/>
  </r>
  <r>
    <x v="0"/>
  </r>
  <r>
    <x v="0"/>
  </r>
  <r>
    <x v="1"/>
  </r>
  <r>
    <x v="0"/>
  </r>
  <r>
    <x v="2"/>
  </r>
  <r>
    <x v="1"/>
  </r>
  <r>
    <x v="0"/>
  </r>
  <r>
    <x v="1"/>
  </r>
  <r>
    <x v="1"/>
  </r>
  <r>
    <x v="1"/>
  </r>
  <r>
    <x v="1"/>
  </r>
  <r>
    <x v="1"/>
  </r>
  <r>
    <x v="1"/>
  </r>
  <r>
    <x v="0"/>
  </r>
  <r>
    <x v="0"/>
  </r>
  <r>
    <x v="1"/>
  </r>
  <r>
    <x v="0"/>
  </r>
  <r>
    <x v="1"/>
  </r>
  <r>
    <x v="0"/>
  </r>
  <r>
    <x v="1"/>
  </r>
  <r>
    <x v="2"/>
  </r>
  <r>
    <x v="0"/>
  </r>
  <r>
    <x v="0"/>
  </r>
  <r>
    <x v="0"/>
  </r>
  <r>
    <x v="1"/>
  </r>
  <r>
    <x v="2"/>
  </r>
  <r>
    <x v="0"/>
  </r>
  <r>
    <x v="0"/>
  </r>
  <r>
    <x v="1"/>
  </r>
  <r>
    <x v="0"/>
  </r>
  <r>
    <x v="2"/>
  </r>
  <r>
    <x v="1"/>
  </r>
  <r>
    <x v="0"/>
  </r>
  <r>
    <x v="1"/>
  </r>
  <r>
    <x v="1"/>
  </r>
  <r>
    <x v="1"/>
  </r>
  <r>
    <x v="1"/>
  </r>
  <r>
    <x v="1"/>
  </r>
  <r>
    <x v="1"/>
  </r>
  <r>
    <x v="0"/>
  </r>
  <r>
    <x v="0"/>
  </r>
  <r>
    <x v="1"/>
  </r>
  <r>
    <x v="2"/>
  </r>
  <r>
    <x v="1"/>
  </r>
  <r>
    <x v="0"/>
  </r>
  <r>
    <x v="0"/>
  </r>
  <r>
    <x v="2"/>
  </r>
  <r>
    <x v="0"/>
  </r>
  <r>
    <x v="1"/>
  </r>
  <r>
    <x v="1"/>
  </r>
  <r>
    <x v="1"/>
  </r>
  <r>
    <x v="2"/>
  </r>
  <r>
    <x v="1"/>
  </r>
  <r>
    <x v="0"/>
  </r>
  <r>
    <x v="1"/>
  </r>
  <r>
    <x v="0"/>
  </r>
  <r>
    <x v="0"/>
  </r>
  <r>
    <x v="1"/>
  </r>
  <r>
    <x v="0"/>
  </r>
  <r>
    <x v="1"/>
  </r>
  <r>
    <x v="1"/>
  </r>
  <r>
    <x v="1"/>
  </r>
  <r>
    <x v="0"/>
  </r>
  <r>
    <x v="2"/>
  </r>
  <r>
    <x v="1"/>
  </r>
  <r>
    <x v="1"/>
  </r>
  <r>
    <x v="0"/>
  </r>
  <r>
    <x v="0"/>
  </r>
  <r>
    <x v="1"/>
  </r>
  <r>
    <x v="0"/>
  </r>
  <r>
    <x v="1"/>
  </r>
  <r>
    <x v="0"/>
  </r>
  <r>
    <x v="1"/>
  </r>
  <r>
    <x v="1"/>
  </r>
  <r>
    <x v="1"/>
  </r>
  <r>
    <x v="0"/>
  </r>
  <r>
    <x v="0"/>
  </r>
  <r>
    <x v="1"/>
  </r>
  <r>
    <x v="1"/>
  </r>
  <r>
    <x v="1"/>
  </r>
  <r>
    <x v="1"/>
  </r>
  <r>
    <x v="3"/>
  </r>
  <r>
    <x v="3"/>
  </r>
  <r>
    <x v="0"/>
  </r>
  <r>
    <x v="0"/>
  </r>
  <r>
    <x v="1"/>
  </r>
  <r>
    <x v="0"/>
  </r>
  <r>
    <x v="1"/>
  </r>
  <r>
    <x v="1"/>
  </r>
  <r>
    <x v="0"/>
  </r>
  <r>
    <x v="1"/>
  </r>
  <r>
    <x v="1"/>
  </r>
  <r>
    <x v="1"/>
  </r>
  <r>
    <x v="1"/>
  </r>
  <r>
    <x v="1"/>
  </r>
  <r>
    <x v="1"/>
  </r>
  <r>
    <x v="1"/>
  </r>
  <r>
    <x v="0"/>
  </r>
  <r>
    <x v="1"/>
  </r>
  <r>
    <x v="0"/>
  </r>
  <r>
    <x v="1"/>
  </r>
  <r>
    <x v="0"/>
  </r>
  <r>
    <x v="0"/>
  </r>
  <r>
    <x v="0"/>
  </r>
  <r>
    <x v="1"/>
  </r>
  <r>
    <x v="0"/>
  </r>
  <r>
    <x v="2"/>
  </r>
  <r>
    <x v="0"/>
  </r>
  <r>
    <x v="1"/>
  </r>
  <r>
    <x v="1"/>
  </r>
  <r>
    <x v="1"/>
  </r>
  <r>
    <x v="1"/>
  </r>
  <r>
    <x v="2"/>
  </r>
  <r>
    <x v="1"/>
  </r>
  <r>
    <x v="0"/>
  </r>
  <r>
    <x v="0"/>
  </r>
  <r>
    <x v="1"/>
  </r>
  <r>
    <x v="0"/>
  </r>
  <r>
    <x v="1"/>
  </r>
  <r>
    <x v="0"/>
  </r>
  <r>
    <x v="2"/>
  </r>
  <r>
    <x v="3"/>
  </r>
  <r>
    <x v="1"/>
  </r>
  <r>
    <x v="0"/>
  </r>
  <r>
    <x v="0"/>
  </r>
  <r>
    <x v="0"/>
  </r>
  <r>
    <x v="1"/>
  </r>
  <r>
    <x v="1"/>
  </r>
  <r>
    <x v="0"/>
  </r>
  <r>
    <x v="1"/>
  </r>
  <r>
    <x v="1"/>
  </r>
  <r>
    <x v="1"/>
  </r>
  <r>
    <x v="1"/>
  </r>
  <r>
    <x v="1"/>
  </r>
  <r>
    <x v="1"/>
  </r>
  <r>
    <x v="0"/>
  </r>
  <r>
    <x v="1"/>
  </r>
  <r>
    <x v="1"/>
  </r>
  <r>
    <x v="1"/>
  </r>
  <r>
    <x v="0"/>
  </r>
  <r>
    <x v="0"/>
  </r>
  <r>
    <x v="2"/>
  </r>
  <r>
    <x v="1"/>
  </r>
  <r>
    <x v="1"/>
  </r>
  <r>
    <x v="1"/>
  </r>
  <r>
    <x v="1"/>
  </r>
  <r>
    <x v="1"/>
  </r>
  <r>
    <x v="0"/>
  </r>
  <r>
    <x v="1"/>
  </r>
  <r>
    <x v="1"/>
  </r>
  <r>
    <x v="2"/>
  </r>
  <r>
    <x v="1"/>
  </r>
  <r>
    <x v="0"/>
  </r>
  <r>
    <x v="1"/>
  </r>
  <r>
    <x v="0"/>
  </r>
  <r>
    <x v="0"/>
  </r>
  <r>
    <x v="1"/>
  </r>
  <r>
    <x v="0"/>
  </r>
  <r>
    <x v="3"/>
  </r>
  <r>
    <x v="1"/>
  </r>
  <r>
    <x v="1"/>
  </r>
  <r>
    <x v="0"/>
  </r>
  <r>
    <x v="1"/>
  </r>
  <r>
    <x v="1"/>
  </r>
  <r>
    <x v="1"/>
  </r>
  <r>
    <x v="0"/>
  </r>
  <r>
    <x v="0"/>
  </r>
  <r>
    <x v="2"/>
  </r>
  <r>
    <x v="1"/>
  </r>
  <r>
    <x v="1"/>
  </r>
  <r>
    <x v="1"/>
  </r>
  <r>
    <x v="0"/>
  </r>
  <r>
    <x v="1"/>
  </r>
  <r>
    <x v="1"/>
  </r>
  <r>
    <x v="1"/>
  </r>
  <r>
    <x v="0"/>
  </r>
  <r>
    <x v="0"/>
  </r>
  <r>
    <x v="1"/>
  </r>
  <r>
    <x v="1"/>
  </r>
  <r>
    <x v="3"/>
  </r>
  <r>
    <x v="1"/>
  </r>
  <r>
    <x v="1"/>
  </r>
  <r>
    <x v="0"/>
  </r>
  <r>
    <x v="0"/>
  </r>
  <r>
    <x v="0"/>
  </r>
  <r>
    <x v="1"/>
  </r>
  <r>
    <x v="1"/>
  </r>
  <r>
    <x v="2"/>
  </r>
  <r>
    <x v="0"/>
  </r>
  <r>
    <x v="0"/>
  </r>
  <r>
    <x v="0"/>
  </r>
  <r>
    <x v="0"/>
  </r>
  <r>
    <x v="1"/>
  </r>
  <r>
    <x v="0"/>
  </r>
  <r>
    <x v="1"/>
  </r>
  <r>
    <x v="0"/>
  </r>
  <r>
    <x v="1"/>
  </r>
  <r>
    <x v="0"/>
  </r>
  <r>
    <x v="0"/>
  </r>
  <r>
    <x v="1"/>
  </r>
  <r>
    <x v="1"/>
  </r>
  <r>
    <x v="0"/>
  </r>
  <r>
    <x v="1"/>
  </r>
  <r>
    <x v="0"/>
  </r>
  <r>
    <x v="0"/>
  </r>
  <r>
    <x v="0"/>
  </r>
  <r>
    <x v="1"/>
  </r>
  <r>
    <x v="0"/>
  </r>
  <r>
    <x v="2"/>
  </r>
  <r>
    <x v="0"/>
  </r>
  <r>
    <x v="1"/>
  </r>
  <r>
    <x v="1"/>
  </r>
  <r>
    <x v="1"/>
  </r>
  <r>
    <x v="1"/>
  </r>
  <r>
    <x v="2"/>
  </r>
  <r>
    <x v="1"/>
  </r>
  <r>
    <x v="0"/>
  </r>
  <r>
    <x v="1"/>
  </r>
  <r>
    <x v="1"/>
  </r>
  <r>
    <x v="0"/>
  </r>
  <r>
    <x v="1"/>
  </r>
  <r>
    <x v="0"/>
  </r>
  <r>
    <x v="2"/>
  </r>
  <r>
    <x v="1"/>
  </r>
  <r>
    <x v="1"/>
  </r>
  <r>
    <x v="0"/>
  </r>
  <r>
    <x v="1"/>
  </r>
  <r>
    <x v="1"/>
  </r>
  <r>
    <x v="3"/>
  </r>
  <r>
    <x v="1"/>
  </r>
  <r>
    <x v="1"/>
  </r>
  <r>
    <x v="0"/>
  </r>
  <r>
    <x v="0"/>
  </r>
  <r>
    <x v="0"/>
  </r>
  <r>
    <x v="1"/>
  </r>
  <r>
    <x v="2"/>
  </r>
  <r>
    <x v="0"/>
  </r>
  <r>
    <x v="0"/>
  </r>
  <r>
    <x v="0"/>
  </r>
  <r>
    <x v="0"/>
  </r>
  <r>
    <x v="0"/>
  </r>
  <r>
    <x v="0"/>
  </r>
  <r>
    <x v="1"/>
  </r>
  <r>
    <x v="0"/>
  </r>
  <r>
    <x v="1"/>
  </r>
  <r>
    <x v="2"/>
  </r>
  <r>
    <x v="1"/>
  </r>
  <r>
    <x v="1"/>
  </r>
  <r>
    <x v="1"/>
  </r>
  <r>
    <x v="1"/>
  </r>
  <r>
    <x v="1"/>
  </r>
  <r>
    <x v="0"/>
  </r>
  <r>
    <x v="0"/>
  </r>
  <r>
    <x v="0"/>
  </r>
  <r>
    <x v="1"/>
  </r>
  <r>
    <x v="0"/>
  </r>
  <r>
    <x v="2"/>
  </r>
  <r>
    <x v="0"/>
  </r>
  <r>
    <x v="1"/>
  </r>
  <r>
    <x v="1"/>
  </r>
  <r>
    <x v="0"/>
  </r>
  <r>
    <x v="1"/>
  </r>
  <r>
    <x v="2"/>
  </r>
  <r>
    <x v="1"/>
  </r>
  <r>
    <x v="0"/>
  </r>
  <r>
    <x v="0"/>
  </r>
  <r>
    <x v="1"/>
  </r>
  <r>
    <x v="1"/>
  </r>
  <r>
    <x v="1"/>
  </r>
  <r>
    <x v="0"/>
  </r>
  <r>
    <x v="1"/>
  </r>
  <r>
    <x v="0"/>
  </r>
  <r>
    <x v="2"/>
  </r>
  <r>
    <x v="2"/>
  </r>
  <r>
    <x v="1"/>
  </r>
  <r>
    <x v="1"/>
  </r>
  <r>
    <x v="1"/>
  </r>
  <r>
    <x v="0"/>
  </r>
  <r>
    <x v="1"/>
  </r>
  <r>
    <x v="3"/>
  </r>
  <r>
    <x v="1"/>
  </r>
  <r>
    <x v="1"/>
  </r>
  <r>
    <x v="1"/>
  </r>
  <r>
    <x v="0"/>
  </r>
  <r>
    <x v="2"/>
  </r>
  <r>
    <x v="0"/>
  </r>
  <r>
    <x v="1"/>
  </r>
  <r>
    <x v="2"/>
  </r>
  <r>
    <x v="0"/>
  </r>
  <r>
    <x v="0"/>
  </r>
  <r>
    <x v="1"/>
  </r>
  <r>
    <x v="0"/>
  </r>
  <r>
    <x v="0"/>
  </r>
  <r>
    <x v="0"/>
  </r>
  <r>
    <x v="1"/>
  </r>
  <r>
    <x v="2"/>
  </r>
  <r>
    <x v="0"/>
  </r>
  <r>
    <x v="2"/>
  </r>
  <r>
    <x v="0"/>
  </r>
  <r>
    <x v="2"/>
  </r>
  <r>
    <x v="1"/>
  </r>
  <r>
    <x v="1"/>
  </r>
  <r>
    <x v="1"/>
  </r>
  <r>
    <x v="2"/>
  </r>
  <r>
    <x v="1"/>
  </r>
  <r>
    <x v="0"/>
  </r>
  <r>
    <x v="0"/>
  </r>
  <r>
    <x v="3"/>
  </r>
  <r>
    <x v="2"/>
  </r>
  <r>
    <x v="0"/>
  </r>
  <r>
    <x v="0"/>
  </r>
  <r>
    <x v="0"/>
  </r>
  <r>
    <x v="1"/>
  </r>
  <r>
    <x v="1"/>
  </r>
  <r>
    <x v="1"/>
  </r>
  <r>
    <x v="0"/>
  </r>
  <r>
    <x v="0"/>
  </r>
  <r>
    <x v="1"/>
  </r>
  <r>
    <x v="3"/>
  </r>
  <r>
    <x v="0"/>
  </r>
  <r>
    <x v="2"/>
  </r>
  <r>
    <x v="1"/>
  </r>
  <r>
    <x v="1"/>
  </r>
  <r>
    <x v="0"/>
  </r>
  <r>
    <x v="1"/>
  </r>
  <r>
    <x v="0"/>
  </r>
  <r>
    <x v="2"/>
  </r>
  <r>
    <x v="1"/>
  </r>
  <r>
    <x v="0"/>
  </r>
  <r>
    <x v="0"/>
  </r>
  <r>
    <x v="0"/>
  </r>
  <r>
    <x v="1"/>
  </r>
  <r>
    <x v="1"/>
  </r>
  <r>
    <x v="0"/>
  </r>
  <r>
    <x v="3"/>
  </r>
  <r>
    <x v="2"/>
  </r>
  <r>
    <x v="0"/>
  </r>
  <r>
    <x v="0"/>
  </r>
  <r>
    <x v="0"/>
  </r>
  <r>
    <x v="1"/>
  </r>
  <r>
    <x v="0"/>
  </r>
  <r>
    <x v="1"/>
  </r>
  <r>
    <x v="0"/>
  </r>
  <r>
    <x v="0"/>
  </r>
  <r>
    <x v="0"/>
  </r>
  <r>
    <x v="3"/>
  </r>
  <r>
    <x v="0"/>
  </r>
  <r>
    <x v="2"/>
  </r>
  <r>
    <x v="1"/>
  </r>
  <r>
    <x v="1"/>
  </r>
  <r>
    <x v="1"/>
  </r>
  <r>
    <x v="1"/>
  </r>
  <r>
    <x v="1"/>
  </r>
  <r>
    <x v="2"/>
  </r>
  <r>
    <x v="2"/>
  </r>
  <r>
    <x v="0"/>
  </r>
  <r>
    <x v="0"/>
  </r>
  <r>
    <x v="1"/>
  </r>
  <r>
    <x v="0"/>
  </r>
  <r>
    <x v="2"/>
  </r>
  <r>
    <x v="1"/>
  </r>
  <r>
    <x v="1"/>
  </r>
  <r>
    <x v="1"/>
  </r>
  <r>
    <x v="1"/>
  </r>
  <r>
    <x v="1"/>
  </r>
  <r>
    <x v="1"/>
  </r>
  <r>
    <x v="1"/>
  </r>
  <r>
    <x v="1"/>
  </r>
  <r>
    <x v="0"/>
  </r>
  <r>
    <x v="0"/>
  </r>
  <r>
    <x v="1"/>
  </r>
  <r>
    <x v="2"/>
  </r>
  <r>
    <x v="1"/>
  </r>
  <r>
    <x v="0"/>
  </r>
  <r>
    <x v="1"/>
  </r>
  <r>
    <x v="0"/>
  </r>
  <r>
    <x v="0"/>
  </r>
  <r>
    <x v="0"/>
  </r>
  <r>
    <x v="1"/>
  </r>
  <r>
    <x v="1"/>
  </r>
  <r>
    <x v="2"/>
  </r>
  <r>
    <x v="1"/>
  </r>
  <r>
    <x v="0"/>
  </r>
  <r>
    <x v="1"/>
  </r>
  <r>
    <x v="0"/>
  </r>
  <r>
    <x v="0"/>
  </r>
  <r>
    <x v="1"/>
  </r>
  <r>
    <x v="0"/>
  </r>
  <r>
    <x v="1"/>
  </r>
  <r>
    <x v="1"/>
  </r>
  <r>
    <x v="1"/>
  </r>
  <r>
    <x v="0"/>
  </r>
  <r>
    <x v="1"/>
  </r>
  <r>
    <x v="1"/>
  </r>
  <r>
    <x v="1"/>
  </r>
  <r>
    <x v="0"/>
  </r>
  <r>
    <x v="0"/>
  </r>
  <r>
    <x v="1"/>
  </r>
  <r>
    <x v="1"/>
  </r>
  <r>
    <x v="1"/>
  </r>
  <r>
    <x v="0"/>
  </r>
  <r>
    <x v="1"/>
  </r>
  <r>
    <x v="1"/>
  </r>
  <r>
    <x v="1"/>
  </r>
  <r>
    <x v="1"/>
  </r>
  <r>
    <x v="2"/>
  </r>
  <r>
    <x v="3"/>
  </r>
  <r>
    <x v="0"/>
  </r>
  <r>
    <x v="2"/>
  </r>
  <r>
    <x v="0"/>
  </r>
  <r>
    <x v="2"/>
  </r>
  <r>
    <x v="0"/>
  </r>
  <r>
    <x v="0"/>
  </r>
  <r>
    <x v="0"/>
  </r>
  <r>
    <x v="1"/>
  </r>
  <r>
    <x v="0"/>
  </r>
  <r>
    <x v="2"/>
  </r>
  <r>
    <x v="1"/>
  </r>
  <r>
    <x v="1"/>
  </r>
  <r>
    <x v="1"/>
  </r>
  <r>
    <x v="0"/>
  </r>
  <r>
    <x v="0"/>
  </r>
  <r>
    <x v="0"/>
  </r>
  <r>
    <x v="2"/>
  </r>
  <r>
    <x v="0"/>
  </r>
  <r>
    <x v="0"/>
  </r>
  <r>
    <x v="0"/>
  </r>
  <r>
    <x v="2"/>
  </r>
  <r>
    <x v="1"/>
  </r>
  <r>
    <x v="1"/>
  </r>
  <r>
    <x v="0"/>
  </r>
  <r>
    <x v="1"/>
  </r>
  <r>
    <x v="2"/>
  </r>
  <r>
    <x v="3"/>
  </r>
  <r>
    <x v="0"/>
  </r>
  <r>
    <x v="1"/>
  </r>
  <r>
    <x v="0"/>
  </r>
  <r>
    <x v="2"/>
  </r>
  <r>
    <x v="0"/>
  </r>
  <r>
    <x v="0"/>
  </r>
  <r>
    <x v="0"/>
  </r>
  <r>
    <x v="1"/>
  </r>
  <r>
    <x v="0"/>
  </r>
  <r>
    <x v="1"/>
  </r>
  <r>
    <x v="1"/>
  </r>
  <r>
    <x v="1"/>
  </r>
  <r>
    <x v="1"/>
  </r>
  <r>
    <x v="0"/>
  </r>
  <r>
    <x v="0"/>
  </r>
  <r>
    <x v="1"/>
  </r>
  <r>
    <x v="2"/>
  </r>
  <r>
    <x v="0"/>
  </r>
  <r>
    <x v="0"/>
  </r>
  <r>
    <x v="0"/>
  </r>
  <r>
    <x v="1"/>
  </r>
  <r>
    <x v="1"/>
  </r>
  <r>
    <x v="1"/>
  </r>
  <r>
    <x v="1"/>
  </r>
  <r>
    <x v="0"/>
  </r>
  <r>
    <x v="0"/>
  </r>
  <r>
    <x v="1"/>
  </r>
  <r>
    <x v="1"/>
  </r>
  <r>
    <x v="1"/>
  </r>
  <r>
    <x v="1"/>
  </r>
  <r>
    <x v="1"/>
  </r>
  <r>
    <x v="0"/>
  </r>
  <r>
    <x v="0"/>
  </r>
  <r>
    <x v="0"/>
  </r>
  <r>
    <x v="1"/>
  </r>
  <r>
    <x v="1"/>
  </r>
  <r>
    <x v="0"/>
  </r>
  <r>
    <x v="1"/>
  </r>
  <r>
    <x v="0"/>
  </r>
  <r>
    <x v="1"/>
  </r>
  <r>
    <x v="1"/>
  </r>
  <r>
    <x v="1"/>
  </r>
  <r>
    <x v="1"/>
  </r>
  <r>
    <x v="1"/>
  </r>
  <r>
    <x v="1"/>
  </r>
  <r>
    <x v="1"/>
  </r>
  <r>
    <x v="0"/>
  </r>
  <r>
    <x v="0"/>
  </r>
  <r>
    <x v="1"/>
  </r>
  <r>
    <x v="0"/>
  </r>
  <r>
    <x v="1"/>
  </r>
  <r>
    <x v="2"/>
  </r>
  <r>
    <x v="3"/>
  </r>
  <r>
    <x v="0"/>
  </r>
  <r>
    <x v="1"/>
  </r>
  <r>
    <x v="0"/>
  </r>
  <r>
    <x v="2"/>
  </r>
  <r>
    <x v="0"/>
  </r>
  <r>
    <x v="0"/>
  </r>
  <r>
    <x v="0"/>
  </r>
  <r>
    <x v="1"/>
  </r>
  <r>
    <x v="0"/>
  </r>
  <r>
    <x v="2"/>
  </r>
  <r>
    <x v="1"/>
  </r>
  <r>
    <x v="1"/>
  </r>
  <r>
    <x v="1"/>
  </r>
  <r>
    <x v="0"/>
  </r>
  <r>
    <x v="0"/>
  </r>
  <r>
    <x v="1"/>
  </r>
  <r>
    <x v="2"/>
  </r>
  <r>
    <x v="0"/>
  </r>
  <r>
    <x v="0"/>
  </r>
  <r>
    <x v="0"/>
  </r>
  <r>
    <x v="1"/>
  </r>
  <r>
    <x v="1"/>
  </r>
  <r>
    <x v="1"/>
  </r>
  <r>
    <x v="3"/>
  </r>
  <r>
    <x v="1"/>
  </r>
  <r>
    <x v="0"/>
  </r>
  <r>
    <x v="1"/>
  </r>
  <r>
    <x v="0"/>
  </r>
  <r>
    <x v="1"/>
  </r>
  <r>
    <x v="0"/>
  </r>
  <r>
    <x v="0"/>
  </r>
  <r>
    <x v="1"/>
  </r>
  <r>
    <x v="1"/>
  </r>
  <r>
    <x v="1"/>
  </r>
  <r>
    <x v="0"/>
  </r>
  <r>
    <x v="1"/>
  </r>
  <r>
    <x v="0"/>
  </r>
  <r>
    <x v="1"/>
  </r>
  <r>
    <x v="1"/>
  </r>
  <r>
    <x v="1"/>
  </r>
  <r>
    <x v="1"/>
  </r>
  <r>
    <x v="1"/>
  </r>
  <r>
    <x v="1"/>
  </r>
  <r>
    <x v="3"/>
  </r>
  <r>
    <x v="1"/>
  </r>
  <r>
    <x v="0"/>
  </r>
  <r>
    <x v="0"/>
  </r>
  <r>
    <x v="1"/>
  </r>
  <r>
    <x v="0"/>
  </r>
  <r>
    <x v="1"/>
  </r>
  <r>
    <x v="1"/>
  </r>
  <r>
    <x v="0"/>
  </r>
  <r>
    <x v="1"/>
  </r>
  <r>
    <x v="1"/>
  </r>
  <r>
    <x v="2"/>
  </r>
  <r>
    <x v="1"/>
  </r>
  <r>
    <x v="0"/>
  </r>
  <r>
    <x v="3"/>
  </r>
  <r>
    <x v="0"/>
  </r>
  <r>
    <x v="1"/>
  </r>
  <r>
    <x v="1"/>
  </r>
  <r>
    <x v="1"/>
  </r>
  <r>
    <x v="0"/>
  </r>
  <r>
    <x v="0"/>
  </r>
  <r>
    <x v="1"/>
  </r>
  <r>
    <x v="0"/>
  </r>
  <r>
    <x v="1"/>
  </r>
  <r>
    <x v="1"/>
  </r>
  <r>
    <x v="0"/>
  </r>
  <r>
    <x v="1"/>
  </r>
  <r>
    <x v="1"/>
  </r>
  <r>
    <x v="1"/>
  </r>
  <r>
    <x v="2"/>
  </r>
  <r>
    <x v="1"/>
  </r>
  <r>
    <x v="0"/>
  </r>
  <r>
    <x v="0"/>
  </r>
  <r>
    <x v="0"/>
  </r>
  <r>
    <x v="1"/>
  </r>
  <r>
    <x v="0"/>
  </r>
  <r>
    <x v="1"/>
  </r>
  <r>
    <x v="0"/>
  </r>
  <r>
    <x v="1"/>
  </r>
  <r>
    <x v="0"/>
  </r>
  <r>
    <x v="0"/>
  </r>
  <r>
    <x v="0"/>
  </r>
  <r>
    <x v="0"/>
  </r>
  <r>
    <x v="1"/>
  </r>
  <r>
    <x v="2"/>
  </r>
  <r>
    <x v="0"/>
  </r>
  <r>
    <x v="1"/>
  </r>
  <r>
    <x v="1"/>
  </r>
  <r>
    <x v="2"/>
  </r>
  <r>
    <x v="1"/>
  </r>
  <r>
    <x v="1"/>
  </r>
  <r>
    <x v="1"/>
  </r>
  <r>
    <x v="1"/>
  </r>
  <r>
    <x v="1"/>
  </r>
  <r>
    <x v="1"/>
  </r>
  <r>
    <x v="1"/>
  </r>
  <r>
    <x v="1"/>
  </r>
  <r>
    <x v="3"/>
  </r>
  <r>
    <x v="1"/>
  </r>
  <r>
    <x v="0"/>
  </r>
  <r>
    <x v="1"/>
  </r>
  <r>
    <x v="3"/>
  </r>
  <r>
    <x v="1"/>
  </r>
  <r>
    <x v="0"/>
  </r>
  <r>
    <x v="0"/>
  </r>
  <r>
    <x v="1"/>
  </r>
  <r>
    <x v="1"/>
  </r>
  <r>
    <x v="1"/>
  </r>
  <r>
    <x v="0"/>
  </r>
  <r>
    <x v="1"/>
  </r>
  <r>
    <x v="0"/>
  </r>
  <r>
    <x v="1"/>
  </r>
  <r>
    <x v="1"/>
  </r>
  <r>
    <x v="1"/>
  </r>
  <r>
    <x v="1"/>
  </r>
  <r>
    <x v="1"/>
  </r>
  <r>
    <x v="1"/>
  </r>
  <r>
    <x v="3"/>
  </r>
  <r>
    <x v="1"/>
  </r>
  <r>
    <x v="0"/>
  </r>
  <r>
    <x v="0"/>
  </r>
  <r>
    <x v="3"/>
  </r>
  <r>
    <x v="1"/>
  </r>
  <r>
    <x v="0"/>
  </r>
  <r>
    <x v="0"/>
  </r>
  <r>
    <x v="0"/>
  </r>
  <r>
    <x v="2"/>
  </r>
  <r>
    <x v="1"/>
  </r>
  <r>
    <x v="1"/>
  </r>
  <r>
    <x v="1"/>
  </r>
  <r>
    <x v="1"/>
  </r>
  <r>
    <x v="1"/>
  </r>
  <r>
    <x v="1"/>
  </r>
  <r>
    <x v="1"/>
  </r>
  <r>
    <x v="2"/>
  </r>
  <r>
    <x v="0"/>
  </r>
  <r>
    <x v="1"/>
  </r>
  <r>
    <x v="1"/>
  </r>
  <r>
    <x v="1"/>
  </r>
  <r>
    <x v="0"/>
  </r>
  <r>
    <x v="0"/>
  </r>
  <r>
    <x v="2"/>
  </r>
  <r>
    <x v="1"/>
  </r>
  <r>
    <x v="1"/>
  </r>
  <r>
    <x v="0"/>
  </r>
  <r>
    <x v="1"/>
  </r>
  <r>
    <x v="0"/>
  </r>
  <r>
    <x v="1"/>
  </r>
  <r>
    <x v="2"/>
  </r>
  <r>
    <x v="0"/>
  </r>
  <r>
    <x v="0"/>
  </r>
  <r>
    <x v="1"/>
  </r>
  <r>
    <x v="0"/>
  </r>
  <r>
    <x v="2"/>
  </r>
  <r>
    <x v="0"/>
  </r>
  <r>
    <x v="0"/>
  </r>
  <r>
    <x v="1"/>
  </r>
  <r>
    <x v="1"/>
  </r>
  <r>
    <x v="0"/>
  </r>
  <r>
    <x v="1"/>
  </r>
  <r>
    <x v="0"/>
  </r>
  <r>
    <x v="1"/>
  </r>
  <r>
    <x v="0"/>
  </r>
  <r>
    <x v="1"/>
  </r>
  <r>
    <x v="0"/>
  </r>
  <r>
    <x v="2"/>
  </r>
  <r>
    <x v="0"/>
  </r>
  <r>
    <x v="0"/>
  </r>
  <r>
    <x v="0"/>
  </r>
  <r>
    <x v="1"/>
  </r>
  <r>
    <x v="1"/>
  </r>
  <r>
    <x v="3"/>
  </r>
  <r>
    <x v="1"/>
  </r>
  <r>
    <x v="0"/>
  </r>
  <r>
    <x v="0"/>
  </r>
  <r>
    <x v="0"/>
  </r>
  <r>
    <x v="2"/>
  </r>
  <r>
    <x v="1"/>
  </r>
  <r>
    <x v="1"/>
  </r>
  <r>
    <x v="1"/>
  </r>
  <r>
    <x v="1"/>
  </r>
  <r>
    <x v="1"/>
  </r>
  <r>
    <x v="1"/>
  </r>
  <r>
    <x v="1"/>
  </r>
  <r>
    <x v="2"/>
  </r>
  <r>
    <x v="0"/>
  </r>
  <r>
    <x v="1"/>
  </r>
  <r>
    <x v="1"/>
  </r>
  <r>
    <x v="1"/>
  </r>
  <r>
    <x v="1"/>
  </r>
  <r>
    <x v="3"/>
  </r>
  <r>
    <x v="2"/>
  </r>
  <r>
    <x v="1"/>
  </r>
  <r>
    <x v="1"/>
  </r>
  <r>
    <x v="1"/>
  </r>
  <r>
    <x v="0"/>
  </r>
  <r>
    <x v="0"/>
  </r>
  <r>
    <x v="1"/>
  </r>
  <r>
    <x v="1"/>
  </r>
  <r>
    <x v="2"/>
  </r>
  <r>
    <x v="1"/>
  </r>
  <r>
    <x v="0"/>
  </r>
  <r>
    <x v="1"/>
  </r>
  <r>
    <x v="0"/>
  </r>
  <r>
    <x v="0"/>
  </r>
  <r>
    <x v="1"/>
  </r>
  <r>
    <x v="0"/>
  </r>
  <r>
    <x v="3"/>
  </r>
  <r>
    <x v="1"/>
  </r>
  <r>
    <x v="1"/>
  </r>
  <r>
    <x v="0"/>
  </r>
  <r>
    <x v="1"/>
  </r>
  <r>
    <x v="1"/>
  </r>
  <r>
    <x v="1"/>
  </r>
  <r>
    <x v="0"/>
  </r>
  <r>
    <x v="0"/>
  </r>
  <r>
    <x v="1"/>
  </r>
  <r>
    <x v="0"/>
  </r>
  <r>
    <x v="1"/>
  </r>
  <r>
    <x v="1"/>
  </r>
  <r>
    <x v="1"/>
  </r>
  <r>
    <x v="3"/>
  </r>
  <r>
    <x v="1"/>
  </r>
  <r>
    <x v="0"/>
  </r>
  <r>
    <x v="0"/>
  </r>
  <r>
    <x v="0"/>
  </r>
  <r>
    <x v="2"/>
  </r>
  <r>
    <x v="1"/>
  </r>
  <r>
    <x v="1"/>
  </r>
  <r>
    <x v="1"/>
  </r>
  <r>
    <x v="1"/>
  </r>
  <r>
    <x v="0"/>
  </r>
  <r>
    <x v="1"/>
  </r>
  <r>
    <x v="0"/>
  </r>
  <r>
    <x v="0"/>
  </r>
  <r>
    <x v="1"/>
  </r>
  <r>
    <x v="1"/>
  </r>
  <r>
    <x v="1"/>
  </r>
  <r>
    <x v="0"/>
  </r>
  <r>
    <x v="3"/>
  </r>
  <r>
    <x v="2"/>
  </r>
  <r>
    <x v="1"/>
  </r>
  <r>
    <x v="1"/>
  </r>
  <r>
    <x v="1"/>
  </r>
  <r>
    <x v="0"/>
  </r>
  <r>
    <x v="1"/>
  </r>
  <r>
    <x v="1"/>
  </r>
  <r>
    <x v="1"/>
  </r>
  <r>
    <x v="0"/>
  </r>
  <r>
    <x v="0"/>
  </r>
  <r>
    <x v="1"/>
  </r>
  <r>
    <x v="1"/>
  </r>
  <r>
    <x v="1"/>
  </r>
  <r>
    <x v="1"/>
  </r>
  <r>
    <x v="1"/>
  </r>
  <r>
    <x v="0"/>
  </r>
  <r>
    <x v="0"/>
  </r>
  <r>
    <x v="0"/>
  </r>
  <r>
    <x v="1"/>
  </r>
  <r>
    <x v="1"/>
  </r>
  <r>
    <x v="0"/>
  </r>
  <r>
    <x v="1"/>
  </r>
  <r>
    <x v="0"/>
  </r>
  <r>
    <x v="1"/>
  </r>
  <r>
    <x v="1"/>
  </r>
  <r>
    <x v="1"/>
  </r>
  <r>
    <x v="1"/>
  </r>
  <r>
    <x v="1"/>
  </r>
  <r>
    <x v="1"/>
  </r>
  <r>
    <x v="1"/>
  </r>
  <r>
    <x v="0"/>
  </r>
  <r>
    <x v="2"/>
  </r>
  <r>
    <x v="1"/>
  </r>
  <r>
    <x v="3"/>
  </r>
  <r>
    <x v="0"/>
  </r>
  <r>
    <x v="0"/>
  </r>
  <r>
    <x v="2"/>
  </r>
  <r>
    <x v="3"/>
  </r>
  <r>
    <x v="1"/>
  </r>
  <r>
    <x v="0"/>
  </r>
  <r>
    <x v="0"/>
  </r>
  <r>
    <x v="0"/>
  </r>
  <r>
    <x v="1"/>
  </r>
  <r>
    <x v="1"/>
  </r>
  <r>
    <x v="1"/>
  </r>
  <r>
    <x v="0"/>
  </r>
  <r>
    <x v="0"/>
  </r>
  <r>
    <x v="0"/>
  </r>
  <r>
    <x v="1"/>
  </r>
  <r>
    <x v="1"/>
  </r>
  <r>
    <x v="0"/>
  </r>
  <r>
    <x v="0"/>
  </r>
  <r>
    <x v="0"/>
  </r>
  <r>
    <x v="1"/>
  </r>
  <r>
    <x v="3"/>
  </r>
  <r>
    <x v="1"/>
  </r>
  <r>
    <x v="1"/>
  </r>
  <r>
    <x v="0"/>
  </r>
  <r>
    <x v="0"/>
  </r>
  <r>
    <x v="1"/>
  </r>
  <r>
    <x v="0"/>
  </r>
  <r>
    <x v="2"/>
  </r>
  <r>
    <x v="0"/>
  </r>
  <r>
    <x v="1"/>
  </r>
  <r>
    <x v="0"/>
  </r>
  <r>
    <x v="2"/>
  </r>
  <r>
    <x v="0"/>
  </r>
  <r>
    <x v="1"/>
  </r>
  <r>
    <x v="1"/>
  </r>
  <r>
    <x v="1"/>
  </r>
  <r>
    <x v="1"/>
  </r>
  <r>
    <x v="2"/>
  </r>
  <r>
    <x v="1"/>
  </r>
  <r>
    <x v="1"/>
  </r>
  <r>
    <x v="1"/>
  </r>
  <r>
    <x v="1"/>
  </r>
  <r>
    <x v="0"/>
  </r>
  <r>
    <x v="1"/>
  </r>
  <r>
    <x v="0"/>
  </r>
  <r>
    <x v="2"/>
  </r>
  <r>
    <x v="1"/>
  </r>
  <r>
    <x v="3"/>
  </r>
  <r>
    <x v="1"/>
  </r>
  <r>
    <x v="0"/>
  </r>
  <r>
    <x v="1"/>
  </r>
  <r>
    <x v="0"/>
  </r>
  <r>
    <x v="1"/>
  </r>
  <r>
    <x v="0"/>
  </r>
  <r>
    <x v="1"/>
  </r>
  <r>
    <x v="1"/>
  </r>
  <r>
    <x v="1"/>
  </r>
  <r>
    <x v="1"/>
  </r>
  <r>
    <x v="0"/>
  </r>
  <r>
    <x v="0"/>
  </r>
  <r>
    <x v="1"/>
  </r>
  <r>
    <x v="0"/>
  </r>
  <r>
    <x v="1"/>
  </r>
  <r>
    <x v="1"/>
  </r>
  <r>
    <x v="1"/>
  </r>
  <r>
    <x v="1"/>
  </r>
  <r>
    <x v="0"/>
  </r>
  <r>
    <x v="1"/>
  </r>
  <r>
    <x v="3"/>
  </r>
  <r>
    <x v="1"/>
  </r>
  <r>
    <x v="0"/>
  </r>
  <r>
    <x v="0"/>
  </r>
  <r>
    <x v="1"/>
  </r>
  <r>
    <x v="1"/>
  </r>
  <r>
    <x v="1"/>
  </r>
  <r>
    <x v="0"/>
  </r>
  <r>
    <x v="3"/>
  </r>
  <r>
    <x v="1"/>
  </r>
  <r>
    <x v="1"/>
  </r>
  <r>
    <x v="0"/>
  </r>
  <r>
    <x v="1"/>
  </r>
  <r>
    <x v="0"/>
  </r>
  <r>
    <x v="2"/>
  </r>
  <r>
    <x v="0"/>
  </r>
  <r>
    <x v="0"/>
  </r>
  <r>
    <x v="2"/>
  </r>
  <r>
    <x v="2"/>
  </r>
  <r>
    <x v="0"/>
  </r>
  <r>
    <x v="1"/>
  </r>
  <r>
    <x v="0"/>
  </r>
  <r>
    <x v="0"/>
  </r>
  <r>
    <x v="1"/>
  </r>
  <r>
    <x v="1"/>
  </r>
  <r>
    <x v="2"/>
  </r>
  <r>
    <x v="0"/>
  </r>
  <r>
    <x v="2"/>
  </r>
  <r>
    <x v="0"/>
  </r>
  <r>
    <x v="0"/>
  </r>
  <r>
    <x v="1"/>
  </r>
  <r>
    <x v="1"/>
  </r>
  <r>
    <x v="0"/>
  </r>
  <r>
    <x v="1"/>
  </r>
  <r>
    <x v="0"/>
  </r>
  <r>
    <x v="3"/>
  </r>
  <r>
    <x v="1"/>
  </r>
  <r>
    <x v="2"/>
  </r>
  <r>
    <x v="0"/>
  </r>
  <r>
    <x v="1"/>
  </r>
  <r>
    <x v="0"/>
  </r>
  <r>
    <x v="0"/>
  </r>
  <r>
    <x v="0"/>
  </r>
  <r>
    <x v="0"/>
  </r>
  <r>
    <x v="3"/>
  </r>
  <r>
    <x v="2"/>
  </r>
  <r>
    <x v="0"/>
  </r>
  <r>
    <x v="1"/>
  </r>
  <r>
    <x v="1"/>
  </r>
  <r>
    <x v="0"/>
  </r>
  <r>
    <x v="0"/>
  </r>
  <r>
    <x v="0"/>
  </r>
  <r>
    <x v="1"/>
  </r>
  <r>
    <x v="1"/>
  </r>
  <r>
    <x v="2"/>
  </r>
  <r>
    <x v="0"/>
  </r>
  <r>
    <x v="0"/>
  </r>
  <r>
    <x v="1"/>
  </r>
  <r>
    <x v="3"/>
  </r>
  <r>
    <x v="1"/>
  </r>
  <r>
    <x v="0"/>
  </r>
  <r>
    <x v="0"/>
  </r>
  <r>
    <x v="0"/>
  </r>
  <r>
    <x v="2"/>
  </r>
  <r>
    <x v="1"/>
  </r>
  <r>
    <x v="1"/>
  </r>
  <r>
    <x v="1"/>
  </r>
  <r>
    <x v="1"/>
  </r>
  <r>
    <x v="1"/>
  </r>
  <r>
    <x v="1"/>
  </r>
  <r>
    <x v="0"/>
  </r>
  <r>
    <x v="0"/>
  </r>
  <r>
    <x v="1"/>
  </r>
  <r>
    <x v="1"/>
  </r>
  <r>
    <x v="1"/>
  </r>
  <r>
    <x v="0"/>
  </r>
  <r>
    <x v="3"/>
  </r>
  <r>
    <x v="2"/>
  </r>
  <r>
    <x v="1"/>
  </r>
  <r>
    <x v="1"/>
  </r>
  <r>
    <x v="1"/>
  </r>
  <r>
    <x v="0"/>
  </r>
  <r>
    <x v="1"/>
  </r>
  <r>
    <x v="0"/>
  </r>
  <r>
    <x v="2"/>
  </r>
  <r>
    <x v="1"/>
  </r>
  <r>
    <x v="1"/>
  </r>
  <r>
    <x v="0"/>
  </r>
  <r>
    <x v="2"/>
  </r>
  <r>
    <x v="0"/>
  </r>
  <r>
    <x v="1"/>
  </r>
  <r>
    <x v="1"/>
  </r>
  <r>
    <x v="1"/>
  </r>
  <r>
    <x v="0"/>
  </r>
  <r>
    <x v="1"/>
  </r>
  <r>
    <x v="2"/>
  </r>
  <r>
    <x v="1"/>
  </r>
  <r>
    <x v="1"/>
  </r>
  <r>
    <x v="1"/>
  </r>
  <r>
    <x v="1"/>
  </r>
  <r>
    <x v="0"/>
  </r>
  <r>
    <x v="1"/>
  </r>
  <r>
    <x v="0"/>
  </r>
  <r>
    <x v="2"/>
  </r>
  <r>
    <x v="1"/>
  </r>
  <r>
    <x v="0"/>
  </r>
  <r>
    <x v="2"/>
  </r>
  <r>
    <x v="1"/>
  </r>
  <r>
    <x v="0"/>
  </r>
  <r>
    <x v="0"/>
  </r>
  <r>
    <x v="0"/>
  </r>
  <r>
    <x v="0"/>
  </r>
  <r>
    <x v="1"/>
  </r>
  <r>
    <x v="0"/>
  </r>
  <r>
    <x v="1"/>
  </r>
  <r>
    <x v="0"/>
  </r>
  <r>
    <x v="1"/>
  </r>
  <r>
    <x v="2"/>
  </r>
  <r>
    <x v="1"/>
  </r>
  <r>
    <x v="1"/>
  </r>
  <r>
    <x v="0"/>
  </r>
  <r>
    <x v="1"/>
  </r>
  <r>
    <x v="1"/>
  </r>
  <r>
    <x v="0"/>
  </r>
  <r>
    <x v="1"/>
  </r>
  <r>
    <x v="0"/>
  </r>
  <r>
    <x v="2"/>
  </r>
  <r>
    <x v="1"/>
  </r>
  <r>
    <x v="0"/>
  </r>
  <r>
    <x v="0"/>
  </r>
  <r>
    <x v="1"/>
  </r>
  <r>
    <x v="2"/>
  </r>
  <r>
    <x v="3"/>
  </r>
  <r>
    <x v="1"/>
  </r>
  <r>
    <x v="1"/>
  </r>
  <r>
    <x v="0"/>
  </r>
  <r>
    <x v="0"/>
  </r>
  <r>
    <x v="1"/>
  </r>
  <r>
    <x v="1"/>
  </r>
  <r>
    <x v="1"/>
  </r>
  <r>
    <x v="2"/>
  </r>
  <r>
    <x v="0"/>
  </r>
  <r>
    <x v="0"/>
  </r>
  <r>
    <x v="0"/>
  </r>
  <r>
    <x v="0"/>
  </r>
  <r>
    <x v="1"/>
  </r>
  <r>
    <x v="0"/>
  </r>
  <r>
    <x v="1"/>
  </r>
  <r>
    <x v="0"/>
  </r>
  <r>
    <x v="1"/>
  </r>
  <r>
    <x v="0"/>
  </r>
  <r>
    <x v="1"/>
  </r>
  <r>
    <x v="1"/>
  </r>
  <r>
    <x v="1"/>
  </r>
  <r>
    <x v="1"/>
  </r>
  <r>
    <x v="0"/>
  </r>
  <r>
    <x v="2"/>
  </r>
  <r>
    <x v="1"/>
  </r>
  <r>
    <x v="0"/>
  </r>
  <r>
    <x v="0"/>
  </r>
  <r>
    <x v="0"/>
  </r>
  <r>
    <x v="1"/>
  </r>
  <r>
    <x v="1"/>
  </r>
  <r>
    <x v="0"/>
  </r>
  <r>
    <x v="1"/>
  </r>
  <r>
    <x v="2"/>
  </r>
  <r>
    <x v="0"/>
  </r>
  <r>
    <x v="0"/>
  </r>
  <r>
    <x v="0"/>
  </r>
  <r>
    <x v="1"/>
  </r>
  <r>
    <x v="0"/>
  </r>
  <r>
    <x v="1"/>
  </r>
  <r>
    <x v="1"/>
  </r>
  <r>
    <x v="0"/>
  </r>
  <r>
    <x v="0"/>
  </r>
  <r>
    <x v="3"/>
  </r>
  <r>
    <x v="0"/>
  </r>
  <r>
    <x v="2"/>
  </r>
  <r>
    <x v="1"/>
  </r>
  <r>
    <x v="1"/>
  </r>
  <r>
    <x v="1"/>
  </r>
  <r>
    <x v="1"/>
  </r>
  <r>
    <x v="1"/>
  </r>
  <r>
    <x v="1"/>
  </r>
  <r>
    <x v="2"/>
  </r>
  <r>
    <x v="1"/>
  </r>
  <r>
    <x v="0"/>
  </r>
  <r>
    <x v="1"/>
  </r>
  <r>
    <x v="0"/>
  </r>
  <r>
    <x v="0"/>
  </r>
  <r>
    <x v="1"/>
  </r>
  <r>
    <x v="0"/>
  </r>
  <r>
    <x v="1"/>
  </r>
  <r>
    <x v="1"/>
  </r>
  <r>
    <x v="0"/>
  </r>
  <r>
    <x v="2"/>
  </r>
  <r>
    <x v="1"/>
  </r>
  <r>
    <x v="1"/>
  </r>
  <r>
    <x v="0"/>
  </r>
  <r>
    <x v="1"/>
  </r>
  <r>
    <x v="1"/>
  </r>
  <r>
    <x v="0"/>
  </r>
  <r>
    <x v="1"/>
  </r>
  <r>
    <x v="0"/>
  </r>
  <r>
    <x v="2"/>
  </r>
  <r>
    <x v="1"/>
  </r>
  <r>
    <x v="2"/>
  </r>
  <r>
    <x v="1"/>
  </r>
  <r>
    <x v="0"/>
  </r>
  <r>
    <x v="0"/>
  </r>
  <r>
    <x v="3"/>
  </r>
  <r>
    <x v="2"/>
  </r>
  <r>
    <x v="0"/>
  </r>
  <r>
    <x v="0"/>
  </r>
  <r>
    <x v="1"/>
  </r>
  <r>
    <x v="1"/>
  </r>
  <r>
    <x v="1"/>
  </r>
  <r>
    <x v="1"/>
  </r>
  <r>
    <x v="0"/>
  </r>
  <r>
    <x v="1"/>
  </r>
  <r>
    <x v="1"/>
  </r>
  <r>
    <x v="3"/>
  </r>
  <r>
    <x v="0"/>
  </r>
  <r>
    <x v="2"/>
  </r>
  <r>
    <x v="1"/>
  </r>
  <r>
    <x v="1"/>
  </r>
  <r>
    <x v="0"/>
  </r>
  <r>
    <x v="1"/>
  </r>
  <r>
    <x v="1"/>
  </r>
  <r>
    <x v="1"/>
  </r>
  <r>
    <x v="0"/>
  </r>
  <r>
    <x v="0"/>
  </r>
  <r>
    <x v="0"/>
  </r>
  <r>
    <x v="1"/>
  </r>
  <r>
    <x v="0"/>
  </r>
  <r>
    <x v="2"/>
  </r>
  <r>
    <x v="1"/>
  </r>
  <r>
    <x v="1"/>
  </r>
  <r>
    <x v="1"/>
  </r>
  <r>
    <x v="0"/>
  </r>
  <r>
    <x v="1"/>
  </r>
  <r>
    <x v="2"/>
  </r>
  <r>
    <x v="1"/>
  </r>
  <r>
    <x v="0"/>
  </r>
  <r>
    <x v="0"/>
  </r>
  <r>
    <x v="1"/>
  </r>
  <r>
    <x v="1"/>
  </r>
  <r>
    <x v="1"/>
  </r>
  <r>
    <x v="0"/>
  </r>
  <r>
    <x v="1"/>
  </r>
  <r>
    <x v="2"/>
  </r>
  <r>
    <x v="2"/>
  </r>
  <r>
    <x v="2"/>
  </r>
  <r>
    <x v="0"/>
  </r>
  <r>
    <x v="2"/>
  </r>
  <r>
    <x v="1"/>
  </r>
  <r>
    <x v="0"/>
  </r>
  <r>
    <x v="1"/>
  </r>
  <r>
    <x v="0"/>
  </r>
  <r>
    <x v="1"/>
  </r>
  <r>
    <x v="1"/>
  </r>
  <r>
    <x v="0"/>
  </r>
  <r>
    <x v="3"/>
  </r>
  <r>
    <x v="2"/>
  </r>
  <r>
    <x v="0"/>
  </r>
  <r>
    <x v="0"/>
  </r>
  <r>
    <x v="0"/>
  </r>
  <r>
    <x v="1"/>
  </r>
  <r>
    <x v="0"/>
  </r>
  <r>
    <x v="1"/>
  </r>
  <r>
    <x v="0"/>
  </r>
  <r>
    <x v="0"/>
  </r>
  <r>
    <x v="0"/>
  </r>
  <r>
    <x v="1"/>
  </r>
  <r>
    <x v="1"/>
  </r>
  <r>
    <x v="1"/>
  </r>
  <r>
    <x v="1"/>
  </r>
  <r>
    <x v="1"/>
  </r>
  <r>
    <x v="1"/>
  </r>
  <r>
    <x v="1"/>
  </r>
  <r>
    <x v="3"/>
  </r>
  <r>
    <x v="1"/>
  </r>
  <r>
    <x v="0"/>
  </r>
  <r>
    <x v="1"/>
  </r>
  <r>
    <x v="1"/>
  </r>
  <r>
    <x v="1"/>
  </r>
  <r>
    <x v="0"/>
  </r>
  <r>
    <x v="1"/>
  </r>
  <r>
    <x v="1"/>
  </r>
  <r>
    <x v="1"/>
  </r>
  <r>
    <x v="1"/>
  </r>
  <r>
    <x v="0"/>
  </r>
  <r>
    <x v="0"/>
  </r>
  <r>
    <x v="1"/>
  </r>
  <r>
    <x v="0"/>
  </r>
  <r>
    <x v="1"/>
  </r>
  <r>
    <x v="1"/>
  </r>
  <r>
    <x v="1"/>
  </r>
  <r>
    <x v="1"/>
  </r>
  <r>
    <x v="0"/>
  </r>
  <r>
    <x v="1"/>
  </r>
  <r>
    <x v="3"/>
  </r>
  <r>
    <x v="0"/>
  </r>
  <r>
    <x v="0"/>
  </r>
  <r>
    <x v="0"/>
  </r>
  <r>
    <x v="1"/>
  </r>
  <r>
    <x v="1"/>
  </r>
  <r>
    <x v="0"/>
  </r>
  <r>
    <x v="0"/>
  </r>
  <r>
    <x v="0"/>
  </r>
  <r>
    <x v="1"/>
  </r>
  <r>
    <x v="0"/>
  </r>
  <r>
    <x v="2"/>
  </r>
  <r>
    <x v="1"/>
  </r>
  <r>
    <x v="1"/>
  </r>
  <r>
    <x v="1"/>
  </r>
  <r>
    <x v="1"/>
  </r>
  <r>
    <x v="1"/>
  </r>
  <r>
    <x v="1"/>
  </r>
  <r>
    <x v="1"/>
  </r>
  <r>
    <x v="1"/>
  </r>
  <r>
    <x v="0"/>
  </r>
  <r>
    <x v="0"/>
  </r>
  <r>
    <x v="1"/>
  </r>
  <r>
    <x v="1"/>
  </r>
  <r>
    <x v="1"/>
  </r>
  <r>
    <x v="0"/>
  </r>
  <r>
    <x v="1"/>
  </r>
  <r>
    <x v="2"/>
  </r>
  <r>
    <x v="0"/>
  </r>
  <r>
    <x v="1"/>
  </r>
  <r>
    <x v="1"/>
  </r>
  <r>
    <x v="1"/>
  </r>
  <r>
    <x v="0"/>
  </r>
  <r>
    <x v="1"/>
  </r>
  <r>
    <x v="3"/>
  </r>
  <r>
    <x v="1"/>
  </r>
  <r>
    <x v="1"/>
  </r>
  <r>
    <x v="1"/>
  </r>
  <r>
    <x v="0"/>
  </r>
  <r>
    <x v="2"/>
  </r>
  <r>
    <x v="0"/>
  </r>
  <r>
    <x v="1"/>
  </r>
  <r>
    <x v="2"/>
  </r>
  <r>
    <x v="0"/>
  </r>
  <r>
    <x v="0"/>
  </r>
  <r>
    <x v="1"/>
  </r>
  <r>
    <x v="0"/>
  </r>
  <r>
    <x v="0"/>
  </r>
  <r>
    <x v="0"/>
  </r>
  <r>
    <x v="1"/>
  </r>
  <r>
    <x v="1"/>
  </r>
  <r>
    <x v="1"/>
  </r>
  <r>
    <x v="0"/>
  </r>
  <r>
    <x v="0"/>
  </r>
  <r>
    <x v="1"/>
  </r>
  <r>
    <x v="1"/>
  </r>
  <r>
    <x v="3"/>
  </r>
  <r>
    <x v="1"/>
  </r>
  <r>
    <x v="0"/>
  </r>
  <r>
    <x v="0"/>
  </r>
  <r>
    <x v="0"/>
  </r>
  <r>
    <x v="2"/>
  </r>
  <r>
    <x v="1"/>
  </r>
  <r>
    <x v="1"/>
  </r>
  <r>
    <x v="1"/>
  </r>
  <r>
    <x v="1"/>
  </r>
  <r>
    <x v="0"/>
  </r>
  <r>
    <x v="1"/>
  </r>
  <r>
    <x v="0"/>
  </r>
  <r>
    <x v="0"/>
  </r>
  <r>
    <x v="0"/>
  </r>
  <r>
    <x v="1"/>
  </r>
  <r>
    <x v="1"/>
  </r>
  <r>
    <x v="0"/>
  </r>
  <r>
    <x v="3"/>
  </r>
  <r>
    <x v="1"/>
  </r>
  <r>
    <x v="1"/>
  </r>
  <r>
    <x v="1"/>
  </r>
  <r>
    <x v="1"/>
  </r>
  <r>
    <x v="0"/>
  </r>
  <r>
    <x v="1"/>
  </r>
  <r>
    <x v="1"/>
  </r>
  <r>
    <x v="0"/>
  </r>
  <r>
    <x v="2"/>
  </r>
  <r>
    <x v="1"/>
  </r>
  <r>
    <x v="0"/>
  </r>
  <r>
    <x v="0"/>
  </r>
  <r>
    <x v="0"/>
  </r>
  <r>
    <x v="0"/>
  </r>
  <r>
    <x v="1"/>
  </r>
  <r>
    <x v="1"/>
  </r>
  <r>
    <x v="1"/>
  </r>
  <r>
    <x v="0"/>
  </r>
  <r>
    <x v="1"/>
  </r>
  <r>
    <x v="2"/>
  </r>
  <r>
    <x v="1"/>
  </r>
  <r>
    <x v="1"/>
  </r>
  <r>
    <x v="0"/>
  </r>
  <r>
    <x v="1"/>
  </r>
  <r>
    <x v="0"/>
  </r>
  <r>
    <x v="0"/>
  </r>
  <r>
    <x v="1"/>
  </r>
  <r>
    <x v="0"/>
  </r>
  <r>
    <x v="2"/>
  </r>
  <r>
    <x v="1"/>
  </r>
  <r>
    <x v="1"/>
  </r>
  <r>
    <x v="0"/>
  </r>
  <r>
    <x v="1"/>
  </r>
  <r>
    <x v="1"/>
  </r>
  <r>
    <x v="3"/>
  </r>
  <r>
    <x v="1"/>
  </r>
  <r>
    <x v="1"/>
  </r>
  <r>
    <x v="0"/>
  </r>
  <r>
    <x v="0"/>
  </r>
  <r>
    <x v="0"/>
  </r>
  <r>
    <x v="0"/>
  </r>
  <r>
    <x v="1"/>
  </r>
  <r>
    <x v="2"/>
  </r>
  <r>
    <x v="0"/>
  </r>
  <r>
    <x v="0"/>
  </r>
  <r>
    <x v="0"/>
  </r>
  <r>
    <x v="0"/>
  </r>
  <r>
    <x v="1"/>
  </r>
  <r>
    <x v="0"/>
  </r>
  <r>
    <x v="0"/>
  </r>
  <r>
    <x v="0"/>
  </r>
  <r>
    <x v="1"/>
  </r>
  <r>
    <x v="0"/>
  </r>
  <r>
    <x v="1"/>
  </r>
  <r>
    <x v="1"/>
  </r>
  <r>
    <x v="1"/>
  </r>
  <r>
    <x v="1"/>
  </r>
  <r>
    <x v="1"/>
  </r>
  <r>
    <x v="1"/>
  </r>
  <r>
    <x v="0"/>
  </r>
  <r>
    <x v="0"/>
  </r>
  <r>
    <x v="1"/>
  </r>
  <r>
    <x v="1"/>
  </r>
  <r>
    <x v="1"/>
  </r>
  <r>
    <x v="1"/>
  </r>
  <r>
    <x v="3"/>
  </r>
  <r>
    <x v="0"/>
  </r>
  <r>
    <x v="0"/>
  </r>
  <r>
    <x v="0"/>
  </r>
  <r>
    <x v="1"/>
  </r>
  <r>
    <x v="0"/>
  </r>
  <r>
    <x v="1"/>
  </r>
  <r>
    <x v="1"/>
  </r>
  <r>
    <x v="0"/>
  </r>
  <r>
    <x v="1"/>
  </r>
  <r>
    <x v="1"/>
  </r>
  <r>
    <x v="3"/>
  </r>
  <r>
    <x v="1"/>
  </r>
  <r>
    <x v="1"/>
  </r>
  <r>
    <x v="1"/>
  </r>
  <r>
    <x v="1"/>
  </r>
  <r>
    <x v="0"/>
  </r>
  <r>
    <x v="2"/>
  </r>
  <r>
    <x v="1"/>
  </r>
  <r>
    <x v="0"/>
  </r>
  <r>
    <x v="2"/>
  </r>
  <r>
    <x v="1"/>
  </r>
  <r>
    <x v="1"/>
  </r>
  <r>
    <x v="0"/>
  </r>
  <r>
    <x v="0"/>
  </r>
  <r>
    <x v="0"/>
  </r>
  <r>
    <x v="1"/>
  </r>
  <r>
    <x v="1"/>
  </r>
  <r>
    <x v="1"/>
  </r>
  <r>
    <x v="0"/>
  </r>
  <r>
    <x v="1"/>
  </r>
  <r>
    <x v="2"/>
  </r>
  <r>
    <x v="1"/>
  </r>
  <r>
    <x v="1"/>
  </r>
  <r>
    <x v="1"/>
  </r>
  <r>
    <x v="0"/>
  </r>
  <r>
    <x v="0"/>
  </r>
  <r>
    <x v="1"/>
  </r>
  <r>
    <x v="0"/>
  </r>
  <r>
    <x v="2"/>
  </r>
  <r>
    <x v="0"/>
  </r>
  <r>
    <x v="1"/>
  </r>
  <r>
    <x v="0"/>
  </r>
  <r>
    <x v="0"/>
  </r>
  <r>
    <x v="0"/>
  </r>
  <r>
    <x v="0"/>
  </r>
  <r>
    <x v="1"/>
  </r>
  <r>
    <x v="0"/>
  </r>
  <r>
    <x v="1"/>
  </r>
  <r>
    <x v="1"/>
  </r>
  <r>
    <x v="1"/>
  </r>
  <r>
    <x v="1"/>
  </r>
  <r>
    <x v="1"/>
  </r>
  <r>
    <x v="1"/>
  </r>
  <r>
    <x v="0"/>
  </r>
  <r>
    <x v="1"/>
  </r>
  <r>
    <x v="1"/>
  </r>
  <r>
    <x v="1"/>
  </r>
  <r>
    <x v="0"/>
  </r>
  <r>
    <x v="0"/>
  </r>
  <r>
    <x v="2"/>
  </r>
  <r>
    <x v="1"/>
  </r>
  <r>
    <x v="0"/>
  </r>
  <r>
    <x v="1"/>
  </r>
  <r>
    <x v="0"/>
  </r>
  <r>
    <x v="1"/>
  </r>
  <r>
    <x v="1"/>
  </r>
  <r>
    <x v="1"/>
  </r>
  <r>
    <x v="1"/>
  </r>
  <r>
    <x v="1"/>
  </r>
  <r>
    <x v="0"/>
  </r>
  <r>
    <x v="0"/>
  </r>
  <r>
    <x v="1"/>
  </r>
  <r>
    <x v="1"/>
  </r>
  <r>
    <x v="0"/>
  </r>
  <r>
    <x v="1"/>
  </r>
  <r>
    <x v="1"/>
  </r>
  <r>
    <x v="0"/>
  </r>
  <r>
    <x v="0"/>
  </r>
  <r>
    <x v="0"/>
  </r>
  <r>
    <x v="0"/>
  </r>
  <r>
    <x v="1"/>
  </r>
  <r>
    <x v="0"/>
  </r>
  <r>
    <x v="0"/>
  </r>
  <r>
    <x v="1"/>
  </r>
  <r>
    <x v="1"/>
  </r>
  <r>
    <x v="1"/>
  </r>
  <r>
    <x v="3"/>
  </r>
  <r>
    <x v="1"/>
  </r>
  <r>
    <x v="1"/>
  </r>
  <r>
    <x v="0"/>
  </r>
  <r>
    <x v="0"/>
  </r>
  <r>
    <x v="0"/>
  </r>
  <r>
    <x v="1"/>
  </r>
  <r>
    <x v="0"/>
  </r>
  <r>
    <x v="2"/>
  </r>
  <r>
    <x v="1"/>
  </r>
  <r>
    <x v="0"/>
  </r>
  <r>
    <x v="0"/>
  </r>
  <r>
    <x v="0"/>
  </r>
  <r>
    <x v="0"/>
  </r>
  <r>
    <x v="1"/>
  </r>
  <r>
    <x v="1"/>
  </r>
  <r>
    <x v="1"/>
  </r>
  <r>
    <x v="0"/>
  </r>
  <r>
    <x v="1"/>
  </r>
  <r>
    <x v="2"/>
  </r>
  <r>
    <x v="1"/>
  </r>
  <r>
    <x v="1"/>
  </r>
  <r>
    <x v="0"/>
  </r>
  <r>
    <x v="1"/>
  </r>
  <r>
    <x v="0"/>
  </r>
  <r>
    <x v="0"/>
  </r>
  <r>
    <x v="1"/>
  </r>
  <r>
    <x v="0"/>
  </r>
  <r>
    <x v="2"/>
  </r>
  <r>
    <x v="3"/>
  </r>
  <r>
    <x v="1"/>
  </r>
  <r>
    <x v="0"/>
  </r>
  <r>
    <x v="0"/>
  </r>
  <r>
    <x v="0"/>
  </r>
  <r>
    <x v="2"/>
  </r>
  <r>
    <x v="1"/>
  </r>
  <r>
    <x v="1"/>
  </r>
  <r>
    <x v="1"/>
  </r>
  <r>
    <x v="1"/>
  </r>
  <r>
    <x v="1"/>
  </r>
  <r>
    <x v="1"/>
  </r>
  <r>
    <x v="1"/>
  </r>
  <r>
    <x v="1"/>
  </r>
  <r>
    <x v="0"/>
  </r>
  <r>
    <x v="1"/>
  </r>
  <r>
    <x v="1"/>
  </r>
  <r>
    <x v="1"/>
  </r>
  <r>
    <x v="1"/>
  </r>
  <r>
    <x v="0"/>
  </r>
  <r>
    <x v="2"/>
  </r>
  <r>
    <x v="1"/>
  </r>
  <r>
    <x v="1"/>
  </r>
  <r>
    <x v="1"/>
  </r>
  <r>
    <x v="0"/>
  </r>
  <r>
    <x v="1"/>
  </r>
  <r>
    <x v="1"/>
  </r>
  <r>
    <x v="1"/>
  </r>
  <r>
    <x v="0"/>
  </r>
  <r>
    <x v="0"/>
  </r>
  <r>
    <x v="1"/>
  </r>
  <r>
    <x v="1"/>
  </r>
  <r>
    <x v="1"/>
  </r>
  <r>
    <x v="1"/>
  </r>
  <r>
    <x v="3"/>
  </r>
  <r>
    <x v="0"/>
  </r>
  <r>
    <x v="0"/>
  </r>
  <r>
    <x v="0"/>
  </r>
  <r>
    <x v="1"/>
  </r>
  <r>
    <x v="0"/>
  </r>
  <r>
    <x v="1"/>
  </r>
  <r>
    <x v="1"/>
  </r>
  <r>
    <x v="0"/>
  </r>
  <r>
    <x v="1"/>
  </r>
  <r>
    <x v="1"/>
  </r>
  <r>
    <x v="3"/>
  </r>
  <r>
    <x v="1"/>
  </r>
  <r>
    <x v="2"/>
  </r>
  <r>
    <x v="1"/>
  </r>
  <r>
    <x v="1"/>
  </r>
  <r>
    <x v="1"/>
  </r>
  <r>
    <x v="0"/>
  </r>
  <r>
    <x v="2"/>
  </r>
  <r>
    <x v="1"/>
  </r>
  <r>
    <x v="0"/>
  </r>
  <r>
    <x v="2"/>
  </r>
  <r>
    <x v="1"/>
  </r>
  <r>
    <x v="0"/>
  </r>
  <r>
    <x v="0"/>
  </r>
  <r>
    <x v="0"/>
  </r>
  <r>
    <x v="0"/>
  </r>
  <r>
    <x v="1"/>
  </r>
  <r>
    <x v="0"/>
  </r>
  <r>
    <x v="1"/>
  </r>
  <r>
    <x v="0"/>
  </r>
  <r>
    <x v="1"/>
  </r>
  <r>
    <x v="2"/>
  </r>
  <r>
    <x v="1"/>
  </r>
  <r>
    <x v="1"/>
  </r>
  <r>
    <x v="0"/>
  </r>
  <r>
    <x v="1"/>
  </r>
  <r>
    <x v="0"/>
  </r>
  <r>
    <x v="0"/>
  </r>
  <r>
    <x v="1"/>
  </r>
  <r>
    <x v="0"/>
  </r>
  <r>
    <x v="2"/>
  </r>
  <r>
    <x v="1"/>
  </r>
  <r>
    <x v="1"/>
  </r>
  <r>
    <x v="1"/>
  </r>
  <r>
    <x v="0"/>
  </r>
  <r>
    <x v="1"/>
  </r>
  <r>
    <x v="1"/>
  </r>
  <r>
    <x v="1"/>
  </r>
  <r>
    <x v="1"/>
  </r>
  <r>
    <x v="1"/>
  </r>
  <r>
    <x v="0"/>
  </r>
  <r>
    <x v="0"/>
  </r>
  <r>
    <x v="0"/>
  </r>
  <r>
    <x v="1"/>
  </r>
  <r>
    <x v="1"/>
  </r>
  <r>
    <x v="0"/>
  </r>
  <r>
    <x v="1"/>
  </r>
  <r>
    <x v="0"/>
  </r>
  <r>
    <x v="1"/>
  </r>
  <r>
    <x v="1"/>
  </r>
  <r>
    <x v="3"/>
  </r>
  <r>
    <x v="1"/>
  </r>
  <r>
    <x v="1"/>
  </r>
  <r>
    <x v="0"/>
  </r>
  <r>
    <x v="0"/>
  </r>
  <r>
    <x v="0"/>
  </r>
  <r>
    <x v="0"/>
  </r>
  <r>
    <x v="3"/>
  </r>
  <r>
    <x v="1"/>
  </r>
  <r>
    <x v="0"/>
  </r>
  <r>
    <x v="0"/>
  </r>
  <r>
    <x v="0"/>
  </r>
  <r>
    <x v="1"/>
  </r>
  <r>
    <x v="1"/>
  </r>
  <r>
    <x v="0"/>
  </r>
  <r>
    <x v="1"/>
  </r>
  <r>
    <x v="1"/>
  </r>
  <r>
    <x v="1"/>
  </r>
  <r>
    <x v="1"/>
  </r>
  <r>
    <x v="1"/>
  </r>
  <r>
    <x v="1"/>
  </r>
  <r>
    <x v="0"/>
  </r>
  <r>
    <x v="1"/>
  </r>
  <r>
    <x v="1"/>
  </r>
  <r>
    <x v="1"/>
  </r>
  <r>
    <x v="0"/>
  </r>
  <r>
    <x v="0"/>
  </r>
  <r>
    <x v="2"/>
  </r>
  <r>
    <x v="1"/>
  </r>
  <r>
    <x v="1"/>
  </r>
  <r>
    <x v="1"/>
  </r>
  <r>
    <x v="0"/>
  </r>
  <r>
    <x v="1"/>
  </r>
  <r>
    <x v="1"/>
  </r>
  <r>
    <x v="1"/>
  </r>
  <r>
    <x v="1"/>
  </r>
  <r>
    <x v="0"/>
  </r>
  <r>
    <x v="0"/>
  </r>
  <r>
    <x v="1"/>
  </r>
  <r>
    <x v="0"/>
  </r>
  <r>
    <x v="1"/>
  </r>
  <r>
    <x v="3"/>
  </r>
  <r>
    <x v="3"/>
  </r>
  <r>
    <x v="0"/>
  </r>
  <r>
    <x v="0"/>
  </r>
  <r>
    <x v="0"/>
  </r>
  <r>
    <x v="1"/>
  </r>
  <r>
    <x v="1"/>
  </r>
  <r>
    <x v="1"/>
  </r>
  <r>
    <x v="1"/>
  </r>
  <r>
    <x v="0"/>
  </r>
  <r>
    <x v="1"/>
  </r>
  <r>
    <x v="1"/>
  </r>
  <r>
    <x v="3"/>
  </r>
  <r>
    <x v="1"/>
  </r>
  <r>
    <x v="2"/>
  </r>
  <r>
    <x v="1"/>
  </r>
  <r>
    <x v="1"/>
  </r>
  <r>
    <x v="1"/>
  </r>
  <r>
    <x v="0"/>
  </r>
  <r>
    <x v="1"/>
  </r>
  <r>
    <x v="0"/>
  </r>
  <r>
    <x v="1"/>
  </r>
  <r>
    <x v="0"/>
  </r>
  <r>
    <x v="0"/>
  </r>
  <r>
    <x v="0"/>
  </r>
  <r>
    <x v="1"/>
  </r>
  <r>
    <x v="0"/>
  </r>
  <r>
    <x v="2"/>
  </r>
  <r>
    <x v="0"/>
  </r>
  <r>
    <x v="1"/>
  </r>
  <r>
    <x v="1"/>
  </r>
  <r>
    <x v="0"/>
  </r>
  <r>
    <x v="1"/>
  </r>
  <r>
    <x v="2"/>
  </r>
  <r>
    <x v="1"/>
  </r>
  <r>
    <x v="0"/>
  </r>
  <r>
    <x v="1"/>
  </r>
  <r>
    <x v="0"/>
  </r>
  <r>
    <x v="0"/>
  </r>
  <r>
    <x v="1"/>
  </r>
  <r>
    <x v="3"/>
  </r>
  <r>
    <x v="2"/>
  </r>
  <r>
    <x v="1"/>
  </r>
  <r>
    <x v="0"/>
  </r>
  <r>
    <x v="0"/>
  </r>
  <r>
    <x v="1"/>
  </r>
  <r>
    <x v="2"/>
  </r>
  <r>
    <x v="3"/>
  </r>
  <r>
    <x v="1"/>
  </r>
  <r>
    <x v="1"/>
  </r>
  <r>
    <x v="0"/>
  </r>
  <r>
    <x v="0"/>
  </r>
  <r>
    <x v="1"/>
  </r>
  <r>
    <x v="1"/>
  </r>
  <r>
    <x v="1"/>
  </r>
  <r>
    <x v="0"/>
  </r>
  <r>
    <x v="0"/>
  </r>
  <r>
    <x v="0"/>
  </r>
  <r>
    <x v="0"/>
  </r>
  <r>
    <x v="1"/>
  </r>
  <r>
    <x v="1"/>
  </r>
  <r>
    <x v="1"/>
  </r>
  <r>
    <x v="0"/>
  </r>
  <r>
    <x v="1"/>
  </r>
  <r>
    <x v="0"/>
  </r>
  <r>
    <x v="1"/>
  </r>
  <r>
    <x v="1"/>
  </r>
  <r>
    <x v="1"/>
  </r>
  <r>
    <x v="1"/>
  </r>
  <r>
    <x v="0"/>
  </r>
  <r>
    <x v="1"/>
  </r>
  <r>
    <x v="2"/>
  </r>
  <r>
    <x v="0"/>
  </r>
  <r>
    <x v="0"/>
  </r>
  <r>
    <x v="1"/>
  </r>
  <r>
    <x v="0"/>
  </r>
  <r>
    <x v="2"/>
  </r>
  <r>
    <x v="0"/>
  </r>
  <r>
    <x v="0"/>
  </r>
  <r>
    <x v="0"/>
  </r>
  <r>
    <x v="1"/>
  </r>
  <r>
    <x v="0"/>
  </r>
  <r>
    <x v="1"/>
  </r>
  <r>
    <x v="1"/>
  </r>
  <r>
    <x v="0"/>
  </r>
  <r>
    <x v="1"/>
  </r>
  <r>
    <x v="0"/>
  </r>
  <r>
    <x v="0"/>
  </r>
  <r>
    <x v="0"/>
  </r>
  <r>
    <x v="1"/>
  </r>
  <r>
    <x v="1"/>
  </r>
  <r>
    <x v="0"/>
  </r>
  <r>
    <x v="0"/>
  </r>
  <r>
    <x v="1"/>
  </r>
  <r>
    <x v="1"/>
  </r>
  <r>
    <x v="2"/>
  </r>
  <r>
    <x v="1"/>
  </r>
  <r>
    <x v="0"/>
  </r>
  <r>
    <x v="0"/>
  </r>
  <r>
    <x v="3"/>
  </r>
  <r>
    <x v="2"/>
  </r>
  <r>
    <x v="0"/>
  </r>
  <r>
    <x v="0"/>
  </r>
  <r>
    <x v="0"/>
  </r>
  <r>
    <x v="1"/>
  </r>
  <r>
    <x v="1"/>
  </r>
  <r>
    <x v="1"/>
  </r>
  <r>
    <x v="0"/>
  </r>
  <r>
    <x v="0"/>
  </r>
  <r>
    <x v="1"/>
  </r>
  <r>
    <x v="1"/>
  </r>
  <r>
    <x v="0"/>
  </r>
  <r>
    <x v="2"/>
  </r>
  <r>
    <x v="1"/>
  </r>
  <r>
    <x v="1"/>
  </r>
  <r>
    <x v="1"/>
  </r>
  <r>
    <x v="0"/>
  </r>
  <r>
    <x v="1"/>
  </r>
  <r>
    <x v="3"/>
  </r>
  <r>
    <x v="1"/>
  </r>
  <r>
    <x v="0"/>
  </r>
  <r>
    <x v="0"/>
  </r>
  <r>
    <x v="0"/>
  </r>
  <r>
    <x v="2"/>
  </r>
  <r>
    <x v="1"/>
  </r>
  <r>
    <x v="1"/>
  </r>
  <r>
    <x v="1"/>
  </r>
  <r>
    <x v="1"/>
  </r>
  <r>
    <x v="1"/>
  </r>
  <r>
    <x v="1"/>
  </r>
  <r>
    <x v="0"/>
  </r>
  <r>
    <x v="0"/>
  </r>
  <r>
    <x v="1"/>
  </r>
  <r>
    <x v="1"/>
  </r>
  <r>
    <x v="1"/>
  </r>
  <r>
    <x v="0"/>
  </r>
  <r>
    <x v="0"/>
  </r>
  <r>
    <x v="1"/>
  </r>
  <r>
    <x v="1"/>
  </r>
  <r>
    <x v="1"/>
  </r>
  <r>
    <x v="1"/>
  </r>
  <r>
    <x v="0"/>
  </r>
  <r>
    <x v="1"/>
  </r>
  <r>
    <x v="1"/>
  </r>
  <r>
    <x v="1"/>
  </r>
  <r>
    <x v="0"/>
  </r>
  <r>
    <x v="1"/>
  </r>
  <r>
    <x v="1"/>
  </r>
  <r>
    <x v="1"/>
  </r>
  <r>
    <x v="1"/>
  </r>
  <r>
    <x v="1"/>
  </r>
  <r>
    <x v="0"/>
  </r>
  <r>
    <x v="2"/>
  </r>
  <r>
    <x v="0"/>
  </r>
  <r>
    <x v="0"/>
  </r>
  <r>
    <x v="2"/>
  </r>
  <r>
    <x v="2"/>
  </r>
  <r>
    <x v="0"/>
  </r>
  <r>
    <x v="1"/>
  </r>
  <r>
    <x v="0"/>
  </r>
  <r>
    <x v="0"/>
  </r>
  <r>
    <x v="0"/>
  </r>
  <r>
    <x v="0"/>
  </r>
  <r>
    <x v="1"/>
  </r>
  <r>
    <x v="1"/>
  </r>
  <r>
    <x v="0"/>
  </r>
  <r>
    <x v="0"/>
  </r>
  <r>
    <x v="0"/>
  </r>
  <r>
    <x v="1"/>
  </r>
  <r>
    <x v="0"/>
  </r>
  <r>
    <x v="2"/>
  </r>
  <r>
    <x v="1"/>
  </r>
  <r>
    <x v="0"/>
  </r>
  <r>
    <x v="0"/>
  </r>
  <r>
    <x v="1"/>
  </r>
  <r>
    <x v="3"/>
  </r>
  <r>
    <x v="2"/>
  </r>
  <r>
    <x v="0"/>
  </r>
  <r>
    <x v="0"/>
  </r>
  <r>
    <x v="0"/>
  </r>
  <r>
    <x v="1"/>
  </r>
  <r>
    <x v="0"/>
  </r>
  <r>
    <x v="1"/>
  </r>
  <r>
    <x v="0"/>
  </r>
  <r>
    <x v="0"/>
  </r>
  <r>
    <x v="0"/>
  </r>
  <r>
    <x v="1"/>
  </r>
  <r>
    <x v="0"/>
  </r>
  <r>
    <x v="1"/>
  </r>
  <r>
    <x v="1"/>
  </r>
  <r>
    <x v="3"/>
  </r>
  <r>
    <x v="0"/>
  </r>
  <r>
    <x v="1"/>
  </r>
  <r>
    <x v="3"/>
  </r>
  <r>
    <x v="1"/>
  </r>
  <r>
    <x v="0"/>
  </r>
  <r>
    <x v="0"/>
  </r>
  <r>
    <x v="0"/>
  </r>
  <r>
    <x v="2"/>
  </r>
  <r>
    <x v="1"/>
  </r>
  <r>
    <x v="1"/>
  </r>
  <r>
    <x v="1"/>
  </r>
  <r>
    <x v="1"/>
  </r>
  <r>
    <x v="0"/>
  </r>
  <r>
    <x v="1"/>
  </r>
  <r>
    <x v="0"/>
  </r>
  <r>
    <x v="0"/>
  </r>
  <r>
    <x v="0"/>
  </r>
  <r>
    <x v="1"/>
  </r>
  <r>
    <x v="1"/>
  </r>
  <r>
    <x v="0"/>
  </r>
  <r>
    <x v="0"/>
  </r>
  <r>
    <x v="1"/>
  </r>
  <r>
    <x v="1"/>
  </r>
  <r>
    <x v="1"/>
  </r>
  <r>
    <x v="1"/>
  </r>
  <r>
    <x v="0"/>
  </r>
  <r>
    <x v="1"/>
  </r>
  <r>
    <x v="1"/>
  </r>
  <r>
    <x v="1"/>
  </r>
  <r>
    <x v="0"/>
  </r>
  <r>
    <x v="1"/>
  </r>
  <r>
    <x v="1"/>
  </r>
  <r>
    <x v="3"/>
  </r>
  <r>
    <x v="1"/>
  </r>
  <r>
    <x v="1"/>
  </r>
  <r>
    <x v="0"/>
  </r>
  <r>
    <x v="0"/>
  </r>
  <r>
    <x v="0"/>
  </r>
  <r>
    <x v="0"/>
  </r>
  <r>
    <x v="1"/>
  </r>
  <r>
    <x v="2"/>
  </r>
  <r>
    <x v="0"/>
  </r>
  <r>
    <x v="0"/>
  </r>
  <r>
    <x v="0"/>
  </r>
  <r>
    <x v="0"/>
  </r>
  <r>
    <x v="0"/>
  </r>
  <r>
    <x v="1"/>
  </r>
  <r>
    <x v="0"/>
  </r>
  <r>
    <x v="0"/>
  </r>
  <r>
    <x v="1"/>
  </r>
  <r>
    <x v="0"/>
  </r>
  <r>
    <x v="1"/>
  </r>
  <r>
    <x v="1"/>
  </r>
  <r>
    <x v="1"/>
  </r>
  <r>
    <x v="1"/>
  </r>
  <r>
    <x v="1"/>
  </r>
  <r>
    <x v="1"/>
  </r>
  <r>
    <x v="0"/>
  </r>
  <r>
    <x v="0"/>
  </r>
  <r>
    <x v="2"/>
  </r>
  <r>
    <x v="3"/>
  </r>
  <r>
    <x v="1"/>
  </r>
  <r>
    <x v="1"/>
  </r>
  <r>
    <x v="0"/>
  </r>
  <r>
    <x v="0"/>
  </r>
  <r>
    <x v="1"/>
  </r>
  <r>
    <x v="1"/>
  </r>
  <r>
    <x v="1"/>
  </r>
  <r>
    <x v="0"/>
  </r>
  <r>
    <x v="0"/>
  </r>
  <r>
    <x v="0"/>
  </r>
  <r>
    <x v="1"/>
  </r>
  <r>
    <x v="1"/>
  </r>
  <r>
    <x v="1"/>
  </r>
  <r>
    <x v="1"/>
  </r>
  <r>
    <x v="1"/>
  </r>
  <r>
    <x v="1"/>
  </r>
  <r>
    <x v="0"/>
  </r>
  <r>
    <x v="1"/>
  </r>
  <r>
    <x v="1"/>
  </r>
  <r>
    <x v="0"/>
  </r>
  <r>
    <x v="1"/>
  </r>
  <r>
    <x v="0"/>
  </r>
  <r>
    <x v="1"/>
  </r>
  <r>
    <x v="0"/>
  </r>
  <r>
    <x v="3"/>
  </r>
  <r>
    <x v="1"/>
  </r>
  <r>
    <x v="1"/>
  </r>
  <r>
    <x v="0"/>
  </r>
  <r>
    <x v="1"/>
  </r>
  <r>
    <x v="0"/>
  </r>
  <r>
    <x v="2"/>
  </r>
  <r>
    <x v="0"/>
  </r>
  <r>
    <x v="0"/>
  </r>
  <r>
    <x v="3"/>
  </r>
  <r>
    <x v="2"/>
  </r>
  <r>
    <x v="0"/>
  </r>
  <r>
    <x v="1"/>
  </r>
  <r>
    <x v="1"/>
  </r>
  <r>
    <x v="0"/>
  </r>
  <r>
    <x v="0"/>
  </r>
  <r>
    <x v="0"/>
  </r>
  <r>
    <x v="1"/>
  </r>
  <r>
    <x v="1"/>
  </r>
  <r>
    <x v="2"/>
  </r>
  <r>
    <x v="0"/>
  </r>
  <r>
    <x v="0"/>
  </r>
  <r>
    <x v="1"/>
  </r>
  <r>
    <x v="1"/>
  </r>
  <r>
    <x v="2"/>
  </r>
  <r>
    <x v="1"/>
  </r>
  <r>
    <x v="1"/>
  </r>
  <r>
    <x v="0"/>
  </r>
  <r>
    <x v="3"/>
  </r>
  <r>
    <x v="2"/>
  </r>
  <r>
    <x v="0"/>
  </r>
  <r>
    <x v="0"/>
  </r>
  <r>
    <x v="1"/>
  </r>
  <r>
    <x v="1"/>
  </r>
  <r>
    <x v="1"/>
  </r>
  <r>
    <x v="1"/>
  </r>
  <r>
    <x v="0"/>
  </r>
  <r>
    <x v="1"/>
  </r>
  <r>
    <x v="1"/>
  </r>
  <r>
    <x v="1"/>
  </r>
  <r>
    <x v="0"/>
  </r>
  <r>
    <x v="2"/>
  </r>
  <r>
    <x v="1"/>
  </r>
  <r>
    <x v="0"/>
  </r>
  <r>
    <x v="1"/>
  </r>
  <r>
    <x v="0"/>
  </r>
  <r>
    <x v="1"/>
  </r>
  <r>
    <x v="3"/>
  </r>
  <r>
    <x v="1"/>
  </r>
  <r>
    <x v="0"/>
  </r>
  <r>
    <x v="0"/>
  </r>
  <r>
    <x v="0"/>
  </r>
  <r>
    <x v="2"/>
  </r>
  <r>
    <x v="1"/>
  </r>
  <r>
    <x v="1"/>
  </r>
  <r>
    <x v="1"/>
  </r>
  <r>
    <x v="1"/>
  </r>
  <r>
    <x v="0"/>
  </r>
  <r>
    <x v="1"/>
  </r>
  <r>
    <x v="0"/>
  </r>
  <r>
    <x v="0"/>
  </r>
  <r>
    <x v="0"/>
  </r>
  <r>
    <x v="1"/>
  </r>
  <r>
    <x v="1"/>
  </r>
  <r>
    <x v="0"/>
  </r>
  <r>
    <x v="0"/>
  </r>
  <r>
    <x v="1"/>
  </r>
  <r>
    <x v="1"/>
  </r>
  <r>
    <x v="0"/>
  </r>
  <r>
    <x v="1"/>
  </r>
  <r>
    <x v="0"/>
  </r>
  <r>
    <x v="1"/>
  </r>
  <r>
    <x v="1"/>
  </r>
  <r>
    <x v="2"/>
  </r>
  <r>
    <x v="1"/>
  </r>
  <r>
    <x v="0"/>
  </r>
  <r>
    <x v="1"/>
  </r>
  <r>
    <x v="0"/>
  </r>
  <r>
    <x v="0"/>
  </r>
  <r>
    <x v="3"/>
  </r>
  <r>
    <x v="2"/>
  </r>
  <r>
    <x v="0"/>
  </r>
  <r>
    <x v="0"/>
  </r>
  <r>
    <x v="1"/>
  </r>
  <r>
    <x v="1"/>
  </r>
  <r>
    <x v="1"/>
  </r>
  <r>
    <x v="1"/>
  </r>
  <r>
    <x v="0"/>
  </r>
  <r>
    <x v="1"/>
  </r>
  <r>
    <x v="1"/>
  </r>
  <r>
    <x v="1"/>
  </r>
  <r>
    <x v="0"/>
  </r>
  <r>
    <x v="2"/>
  </r>
  <r>
    <x v="1"/>
  </r>
  <r>
    <x v="0"/>
  </r>
  <r>
    <x v="1"/>
  </r>
  <r>
    <x v="0"/>
  </r>
  <r>
    <x v="1"/>
  </r>
  <r>
    <x v="1"/>
  </r>
  <r>
    <x v="0"/>
  </r>
  <r>
    <x v="0"/>
  </r>
  <r>
    <x v="1"/>
  </r>
  <r>
    <x v="1"/>
  </r>
  <r>
    <x v="3"/>
  </r>
  <r>
    <x v="1"/>
  </r>
  <r>
    <x v="1"/>
  </r>
  <r>
    <x v="0"/>
  </r>
  <r>
    <x v="0"/>
  </r>
  <r>
    <x v="1"/>
  </r>
  <r>
    <x v="1"/>
  </r>
  <r>
    <x v="1"/>
  </r>
  <r>
    <x v="2"/>
  </r>
  <r>
    <x v="0"/>
  </r>
  <r>
    <x v="0"/>
  </r>
  <r>
    <x v="0"/>
  </r>
  <r>
    <x v="0"/>
  </r>
  <r>
    <x v="1"/>
  </r>
  <r>
    <x v="1"/>
  </r>
  <r>
    <x v="1"/>
  </r>
  <r>
    <x v="1"/>
  </r>
  <r>
    <x v="1"/>
  </r>
  <r>
    <x v="0"/>
  </r>
  <r>
    <x v="1"/>
  </r>
  <r>
    <x v="1"/>
  </r>
  <r>
    <x v="1"/>
  </r>
  <r>
    <x v="1"/>
  </r>
  <r>
    <x v="1"/>
  </r>
  <r>
    <x v="3"/>
  </r>
  <r>
    <x v="0"/>
  </r>
  <r>
    <x v="0"/>
  </r>
  <r>
    <x v="1"/>
  </r>
  <r>
    <x v="3"/>
  </r>
  <r>
    <x v="1"/>
  </r>
  <r>
    <x v="0"/>
  </r>
  <r>
    <x v="0"/>
  </r>
  <r>
    <x v="1"/>
  </r>
  <r>
    <x v="1"/>
  </r>
  <r>
    <x v="1"/>
  </r>
  <r>
    <x v="1"/>
  </r>
  <r>
    <x v="0"/>
  </r>
  <r>
    <x v="0"/>
  </r>
  <r>
    <x v="0"/>
  </r>
  <r>
    <x v="1"/>
  </r>
  <r>
    <x v="1"/>
  </r>
  <r>
    <x v="1"/>
  </r>
  <r>
    <x v="0"/>
  </r>
  <r>
    <x v="1"/>
  </r>
  <r>
    <x v="1"/>
  </r>
  <r>
    <x v="3"/>
  </r>
  <r>
    <x v="1"/>
  </r>
  <r>
    <x v="1"/>
  </r>
  <r>
    <x v="0"/>
  </r>
  <r>
    <x v="3"/>
  </r>
  <r>
    <x v="1"/>
  </r>
  <r>
    <x v="0"/>
  </r>
  <r>
    <x v="0"/>
  </r>
  <r>
    <x v="0"/>
  </r>
  <r>
    <x v="2"/>
  </r>
  <r>
    <x v="1"/>
  </r>
  <r>
    <x v="1"/>
  </r>
  <r>
    <x v="1"/>
  </r>
  <r>
    <x v="1"/>
  </r>
  <r>
    <x v="0"/>
  </r>
  <r>
    <x v="1"/>
  </r>
  <r>
    <x v="0"/>
  </r>
  <r>
    <x v="0"/>
  </r>
  <r>
    <x v="0"/>
  </r>
  <r>
    <x v="1"/>
  </r>
  <r>
    <x v="1"/>
  </r>
  <r>
    <x v="0"/>
  </r>
  <r>
    <x v="0"/>
  </r>
  <r>
    <x v="1"/>
  </r>
  <r>
    <x v="1"/>
  </r>
  <r>
    <x v="0"/>
  </r>
  <r>
    <x v="1"/>
  </r>
  <r>
    <x v="0"/>
  </r>
  <r>
    <x v="1"/>
  </r>
  <r>
    <x v="1"/>
  </r>
  <r>
    <x v="1"/>
  </r>
  <r>
    <x v="1"/>
  </r>
  <r>
    <x v="0"/>
  </r>
  <r>
    <x v="1"/>
  </r>
  <r>
    <x v="1"/>
  </r>
  <r>
    <x v="1"/>
  </r>
  <r>
    <x v="0"/>
  </r>
  <r>
    <x v="1"/>
  </r>
  <r>
    <x v="1"/>
  </r>
  <r>
    <x v="0"/>
  </r>
  <r>
    <x v="0"/>
  </r>
  <r>
    <x v="0"/>
  </r>
  <r>
    <x v="0"/>
  </r>
  <r>
    <x v="1"/>
  </r>
  <r>
    <x v="0"/>
  </r>
  <r>
    <x v="0"/>
  </r>
  <r>
    <x v="1"/>
  </r>
  <r>
    <x v="1"/>
  </r>
  <r>
    <x v="1"/>
  </r>
  <r>
    <x v="3"/>
  </r>
  <r>
    <x v="1"/>
  </r>
  <r>
    <x v="1"/>
  </r>
  <r>
    <x v="0"/>
  </r>
  <r>
    <x v="0"/>
  </r>
  <r>
    <x v="0"/>
  </r>
  <r>
    <x v="1"/>
  </r>
  <r>
    <x v="2"/>
  </r>
  <r>
    <x v="1"/>
  </r>
  <r>
    <x v="0"/>
  </r>
  <r>
    <x v="1"/>
  </r>
  <r>
    <x v="0"/>
  </r>
  <r>
    <x v="0"/>
  </r>
  <r>
    <x v="3"/>
  </r>
  <r>
    <x v="2"/>
  </r>
  <r>
    <x v="0"/>
  </r>
  <r>
    <x v="0"/>
  </r>
  <r>
    <x v="1"/>
  </r>
  <r>
    <x v="1"/>
  </r>
  <r>
    <x v="1"/>
  </r>
  <r>
    <x v="1"/>
  </r>
  <r>
    <x v="0"/>
  </r>
  <r>
    <x v="1"/>
  </r>
  <r>
    <x v="1"/>
  </r>
  <r>
    <x v="1"/>
  </r>
  <r>
    <x v="0"/>
  </r>
  <r>
    <x v="2"/>
  </r>
  <r>
    <x v="1"/>
  </r>
  <r>
    <x v="0"/>
  </r>
  <r>
    <x v="1"/>
  </r>
  <r>
    <x v="0"/>
  </r>
  <r>
    <x v="1"/>
  </r>
  <r>
    <x v="1"/>
  </r>
  <r>
    <x v="3"/>
  </r>
  <r>
    <x v="1"/>
  </r>
  <r>
    <x v="0"/>
  </r>
  <r>
    <x v="1"/>
  </r>
  <r>
    <x v="0"/>
  </r>
  <r>
    <x v="1"/>
  </r>
  <r>
    <x v="0"/>
  </r>
  <r>
    <x v="0"/>
  </r>
  <r>
    <x v="1"/>
  </r>
  <r>
    <x v="1"/>
  </r>
  <r>
    <x v="1"/>
  </r>
  <r>
    <x v="0"/>
  </r>
  <r>
    <x v="1"/>
  </r>
  <r>
    <x v="0"/>
  </r>
  <r>
    <x v="1"/>
  </r>
  <r>
    <x v="1"/>
  </r>
  <r>
    <x v="1"/>
  </r>
  <r>
    <x v="1"/>
  </r>
  <r>
    <x v="0"/>
  </r>
  <r>
    <x v="1"/>
  </r>
  <r>
    <x v="3"/>
  </r>
  <r>
    <x v="0"/>
  </r>
  <r>
    <x v="1"/>
  </r>
  <r>
    <x v="0"/>
  </r>
  <r>
    <x v="1"/>
  </r>
  <r>
    <x v="1"/>
  </r>
  <r>
    <x v="0"/>
  </r>
  <r>
    <x v="0"/>
  </r>
  <r>
    <x v="1"/>
  </r>
  <r>
    <x v="1"/>
  </r>
  <r>
    <x v="1"/>
  </r>
  <r>
    <x v="1"/>
  </r>
  <r>
    <x v="1"/>
  </r>
  <r>
    <x v="0"/>
  </r>
  <r>
    <x v="0"/>
  </r>
  <r>
    <x v="0"/>
  </r>
  <r>
    <x v="1"/>
  </r>
  <r>
    <x v="0"/>
  </r>
  <r>
    <x v="0"/>
  </r>
  <r>
    <x v="1"/>
  </r>
  <r>
    <x v="0"/>
  </r>
  <r>
    <x v="1"/>
  </r>
  <r>
    <x v="1"/>
  </r>
  <r>
    <x v="3"/>
  </r>
  <r>
    <x v="0"/>
  </r>
  <r>
    <x v="2"/>
  </r>
  <r>
    <x v="1"/>
  </r>
  <r>
    <x v="1"/>
  </r>
  <r>
    <x v="1"/>
  </r>
  <r>
    <x v="0"/>
  </r>
  <r>
    <x v="2"/>
  </r>
  <r>
    <x v="1"/>
  </r>
  <r>
    <x v="2"/>
  </r>
  <r>
    <x v="0"/>
  </r>
  <r>
    <x v="0"/>
  </r>
  <r>
    <x v="1"/>
  </r>
  <r>
    <x v="0"/>
  </r>
  <r>
    <x v="1"/>
  </r>
  <r>
    <x v="3"/>
  </r>
  <r>
    <x v="3"/>
  </r>
  <r>
    <x v="0"/>
  </r>
  <r>
    <x v="0"/>
  </r>
  <r>
    <x v="0"/>
  </r>
  <r>
    <x v="1"/>
  </r>
  <r>
    <x v="1"/>
  </r>
  <r>
    <x v="1"/>
  </r>
  <r>
    <x v="1"/>
  </r>
  <r>
    <x v="0"/>
  </r>
  <r>
    <x v="1"/>
  </r>
  <r>
    <x v="1"/>
  </r>
  <r>
    <x v="1"/>
  </r>
  <r>
    <x v="0"/>
  </r>
  <r>
    <x v="2"/>
  </r>
  <r>
    <x v="1"/>
  </r>
  <r>
    <x v="1"/>
  </r>
  <r>
    <x v="1"/>
  </r>
  <r>
    <x v="0"/>
  </r>
  <r>
    <x v="1"/>
  </r>
  <r>
    <x v="1"/>
  </r>
  <r>
    <x v="1"/>
  </r>
  <r>
    <x v="1"/>
  </r>
  <r>
    <x v="0"/>
  </r>
  <r>
    <x v="0"/>
  </r>
  <r>
    <x v="1"/>
  </r>
  <r>
    <x v="1"/>
  </r>
  <r>
    <x v="0"/>
  </r>
  <r>
    <x v="1"/>
  </r>
  <r>
    <x v="1"/>
  </r>
  <r>
    <x v="0"/>
  </r>
  <r>
    <x v="0"/>
  </r>
  <r>
    <x v="0"/>
  </r>
  <r>
    <x v="0"/>
  </r>
  <r>
    <x v="1"/>
  </r>
  <r>
    <x v="0"/>
  </r>
  <r>
    <x v="0"/>
  </r>
  <r>
    <x v="1"/>
  </r>
  <r>
    <x v="1"/>
  </r>
  <r>
    <x v="1"/>
  </r>
  <r>
    <x v="3"/>
  </r>
  <r>
    <x v="1"/>
  </r>
  <r>
    <x v="1"/>
  </r>
  <r>
    <x v="1"/>
  </r>
  <r>
    <x v="1"/>
  </r>
  <r>
    <x v="0"/>
  </r>
  <r>
    <x v="1"/>
  </r>
  <r>
    <x v="1"/>
  </r>
  <r>
    <x v="1"/>
  </r>
  <r>
    <x v="0"/>
  </r>
  <r>
    <x v="3"/>
  </r>
  <r>
    <x v="1"/>
  </r>
  <r>
    <x v="1"/>
  </r>
  <r>
    <x v="0"/>
  </r>
  <r>
    <x v="1"/>
  </r>
  <r>
    <x v="0"/>
  </r>
  <r>
    <x v="2"/>
  </r>
  <r>
    <x v="0"/>
  </r>
  <r>
    <x v="0"/>
  </r>
  <r>
    <x v="3"/>
  </r>
  <r>
    <x v="2"/>
  </r>
  <r>
    <x v="0"/>
  </r>
  <r>
    <x v="1"/>
  </r>
  <r>
    <x v="1"/>
  </r>
  <r>
    <x v="0"/>
  </r>
  <r>
    <x v="0"/>
  </r>
  <r>
    <x v="1"/>
  </r>
  <r>
    <x v="1"/>
  </r>
  <r>
    <x v="1"/>
  </r>
  <r>
    <x v="0"/>
  </r>
  <r>
    <x v="0"/>
  </r>
  <r>
    <x v="0"/>
  </r>
  <r>
    <x v="1"/>
  </r>
  <r>
    <x v="1"/>
  </r>
  <r>
    <x v="2"/>
  </r>
  <r>
    <x v="1"/>
  </r>
  <r>
    <x v="0"/>
  </r>
  <r>
    <x v="0"/>
  </r>
  <r>
    <x v="1"/>
  </r>
  <r>
    <x v="3"/>
  </r>
  <r>
    <x v="2"/>
  </r>
  <r>
    <x v="0"/>
  </r>
  <r>
    <x v="0"/>
  </r>
  <r>
    <x v="0"/>
  </r>
  <r>
    <x v="1"/>
  </r>
  <r>
    <x v="0"/>
  </r>
  <r>
    <x v="1"/>
  </r>
  <r>
    <x v="0"/>
  </r>
  <r>
    <x v="0"/>
  </r>
  <r>
    <x v="1"/>
  </r>
  <r>
    <x v="1"/>
  </r>
  <r>
    <x v="0"/>
  </r>
  <r>
    <x v="2"/>
  </r>
  <r>
    <x v="1"/>
  </r>
  <r>
    <x v="0"/>
  </r>
  <r>
    <x v="1"/>
  </r>
  <r>
    <x v="0"/>
  </r>
  <r>
    <x v="1"/>
  </r>
  <r>
    <x v="1"/>
  </r>
  <r>
    <x v="2"/>
  </r>
  <r>
    <x v="0"/>
  </r>
  <r>
    <x v="1"/>
  </r>
  <r>
    <x v="0"/>
  </r>
  <r>
    <x v="0"/>
  </r>
  <r>
    <x v="3"/>
  </r>
  <r>
    <x v="2"/>
  </r>
  <r>
    <x v="0"/>
  </r>
  <r>
    <x v="0"/>
  </r>
  <r>
    <x v="1"/>
  </r>
  <r>
    <x v="1"/>
  </r>
  <r>
    <x v="1"/>
  </r>
  <r>
    <x v="1"/>
  </r>
  <r>
    <x v="0"/>
  </r>
  <r>
    <x v="1"/>
  </r>
  <r>
    <x v="1"/>
  </r>
  <r>
    <x v="1"/>
  </r>
  <r>
    <x v="0"/>
  </r>
  <r>
    <x v="2"/>
  </r>
  <r>
    <x v="1"/>
  </r>
  <r>
    <x v="1"/>
  </r>
  <r>
    <x v="1"/>
  </r>
  <r>
    <x v="0"/>
  </r>
  <r>
    <x v="1"/>
  </r>
  <r>
    <x v="1"/>
  </r>
  <r>
    <x v="1"/>
  </r>
  <r>
    <x v="1"/>
  </r>
  <r>
    <x v="0"/>
  </r>
  <r>
    <x v="1"/>
  </r>
  <r>
    <x v="1"/>
  </r>
  <r>
    <x v="1"/>
  </r>
  <r>
    <x v="0"/>
  </r>
  <r>
    <x v="1"/>
  </r>
  <r>
    <x v="1"/>
  </r>
  <r>
    <x v="0"/>
  </r>
  <r>
    <x v="1"/>
  </r>
  <r>
    <x v="0"/>
  </r>
  <r>
    <x v="0"/>
  </r>
  <r>
    <x v="1"/>
  </r>
  <r>
    <x v="0"/>
  </r>
  <r>
    <x v="0"/>
  </r>
  <r>
    <x v="1"/>
  </r>
  <r>
    <x v="1"/>
  </r>
  <r>
    <x v="1"/>
  </r>
  <r>
    <x v="0"/>
  </r>
  <r>
    <x v="1"/>
  </r>
  <r>
    <x v="1"/>
  </r>
  <r>
    <x v="1"/>
  </r>
  <r>
    <x v="1"/>
  </r>
  <r>
    <x v="0"/>
  </r>
  <r>
    <x v="1"/>
  </r>
  <r>
    <x v="3"/>
  </r>
  <r>
    <x v="1"/>
  </r>
  <r>
    <x v="0"/>
  </r>
  <r>
    <x v="1"/>
  </r>
  <r>
    <x v="1"/>
  </r>
  <r>
    <x v="1"/>
  </r>
  <r>
    <x v="0"/>
  </r>
  <r>
    <x v="1"/>
  </r>
  <r>
    <x v="1"/>
  </r>
  <r>
    <x v="0"/>
  </r>
  <r>
    <x v="1"/>
  </r>
  <r>
    <x v="0"/>
  </r>
  <r>
    <x v="0"/>
  </r>
  <r>
    <x v="1"/>
  </r>
  <r>
    <x v="0"/>
  </r>
  <r>
    <x v="0"/>
  </r>
  <r>
    <x v="1"/>
  </r>
  <r>
    <x v="1"/>
  </r>
  <r>
    <x v="1"/>
  </r>
  <r>
    <x v="0"/>
  </r>
  <r>
    <x v="1"/>
  </r>
  <r>
    <x v="1"/>
  </r>
  <r>
    <x v="1"/>
  </r>
  <r>
    <x v="1"/>
  </r>
  <r>
    <x v="0"/>
  </r>
  <r>
    <x v="1"/>
  </r>
  <r>
    <x v="1"/>
  </r>
  <r>
    <x v="0"/>
  </r>
  <r>
    <x v="0"/>
  </r>
  <r>
    <x v="1"/>
  </r>
  <r>
    <x v="0"/>
  </r>
  <r>
    <x v="1"/>
  </r>
  <r>
    <x v="3"/>
  </r>
  <r>
    <x v="3"/>
  </r>
  <r>
    <x v="0"/>
  </r>
  <r>
    <x v="0"/>
  </r>
  <r>
    <x v="0"/>
  </r>
  <r>
    <x v="1"/>
  </r>
  <r>
    <x v="1"/>
  </r>
  <r>
    <x v="1"/>
  </r>
  <r>
    <x v="1"/>
  </r>
  <r>
    <x v="0"/>
  </r>
  <r>
    <x v="1"/>
  </r>
  <r>
    <x v="1"/>
  </r>
  <r>
    <x v="3"/>
  </r>
  <r>
    <x v="0"/>
  </r>
  <r>
    <x v="2"/>
  </r>
  <r>
    <x v="1"/>
  </r>
  <r>
    <x v="1"/>
  </r>
  <r>
    <x v="1"/>
  </r>
  <r>
    <x v="0"/>
  </r>
  <r>
    <x v="1"/>
  </r>
  <r>
    <x v="1"/>
  </r>
  <r>
    <x v="1"/>
  </r>
  <r>
    <x v="0"/>
  </r>
  <r>
    <x v="0"/>
  </r>
  <r>
    <x v="1"/>
  </r>
  <r>
    <x v="1"/>
  </r>
  <r>
    <x v="1"/>
  </r>
  <r>
    <x v="1"/>
  </r>
  <r>
    <x v="1"/>
  </r>
  <r>
    <x v="0"/>
  </r>
  <r>
    <x v="0"/>
  </r>
  <r>
    <x v="0"/>
  </r>
  <r>
    <x v="1"/>
  </r>
  <r>
    <x v="0"/>
  </r>
  <r>
    <x v="0"/>
  </r>
  <r>
    <x v="1"/>
  </r>
  <r>
    <x v="0"/>
  </r>
  <r>
    <x v="1"/>
  </r>
  <r>
    <x v="0"/>
  </r>
  <r>
    <x v="3"/>
  </r>
  <r>
    <x v="0"/>
  </r>
  <r>
    <x v="2"/>
  </r>
  <r>
    <x v="1"/>
  </r>
  <r>
    <x v="1"/>
  </r>
  <r>
    <x v="1"/>
  </r>
  <r>
    <x v="0"/>
  </r>
  <r>
    <x v="2"/>
  </r>
  <r>
    <x v="1"/>
  </r>
  <r>
    <x v="3"/>
  </r>
  <r>
    <x v="1"/>
  </r>
  <r>
    <x v="0"/>
  </r>
  <r>
    <x v="1"/>
  </r>
  <r>
    <x v="1"/>
  </r>
  <r>
    <x v="1"/>
  </r>
  <r>
    <x v="0"/>
  </r>
  <r>
    <x v="1"/>
  </r>
  <r>
    <x v="1"/>
  </r>
  <r>
    <x v="0"/>
  </r>
  <r>
    <x v="1"/>
  </r>
  <r>
    <x v="0"/>
  </r>
  <r>
    <x v="0"/>
  </r>
  <r>
    <x v="1"/>
  </r>
  <r>
    <x v="0"/>
  </r>
  <r>
    <x v="1"/>
  </r>
  <r>
    <x v="1"/>
  </r>
  <r>
    <x v="1"/>
  </r>
  <r>
    <x v="1"/>
  </r>
  <r>
    <x v="0"/>
  </r>
  <r>
    <x v="1"/>
  </r>
  <r>
    <x v="1"/>
  </r>
  <r>
    <x v="1"/>
  </r>
  <r>
    <x v="1"/>
  </r>
  <r>
    <x v="0"/>
  </r>
  <r>
    <x v="0"/>
  </r>
  <r>
    <x v="0"/>
  </r>
  <r>
    <x v="0"/>
  </r>
  <r>
    <x v="0"/>
  </r>
  <r>
    <x v="0"/>
  </r>
  <r>
    <x v="0"/>
  </r>
  <r>
    <x v="0"/>
  </r>
  <r>
    <x v="0"/>
  </r>
  <r>
    <x v="0"/>
  </r>
</pivotCacheRecords>
</file>

<file path=xl/pivotCache/pivotCacheRecords2.xml><?xml version="1.0" encoding="utf-8"?>
<pivotCacheRecords xmlns="http://schemas.openxmlformats.org/spreadsheetml/2006/main" xmlns:r="http://schemas.openxmlformats.org/officeDocument/2006/relationships" count="2952">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32"/>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35"/>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294"/>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395"/>
  </r>
  <r>
    <x v="413"/>
  </r>
  <r>
    <x v="414"/>
  </r>
  <r>
    <x v="415"/>
  </r>
  <r>
    <x v="416"/>
  </r>
  <r>
    <x v="417"/>
  </r>
  <r>
    <x v="418"/>
  </r>
  <r>
    <x v="419"/>
  </r>
  <r>
    <x v="420"/>
  </r>
  <r>
    <x v="421"/>
  </r>
  <r>
    <x v="422"/>
  </r>
  <r>
    <x v="423"/>
  </r>
  <r>
    <x v="424"/>
  </r>
  <r>
    <x v="425"/>
  </r>
  <r>
    <x v="426"/>
  </r>
  <r>
    <x v="427"/>
  </r>
  <r>
    <x v="221"/>
  </r>
  <r>
    <x v="428"/>
  </r>
  <r>
    <x v="429"/>
  </r>
  <r>
    <x v="430"/>
  </r>
  <r>
    <x v="431"/>
  </r>
  <r>
    <x v="432"/>
  </r>
  <r>
    <x v="419"/>
  </r>
  <r>
    <x v="433"/>
  </r>
  <r>
    <x v="434"/>
  </r>
  <r>
    <x v="435"/>
  </r>
  <r>
    <x v="436"/>
  </r>
  <r>
    <x v="437"/>
  </r>
  <r>
    <x v="438"/>
  </r>
  <r>
    <x v="439"/>
  </r>
  <r>
    <x v="440"/>
  </r>
  <r>
    <x v="441"/>
  </r>
  <r>
    <x v="442"/>
  </r>
  <r>
    <x v="106"/>
  </r>
  <r>
    <x v="443"/>
  </r>
  <r>
    <x v="444"/>
  </r>
  <r>
    <x v="445"/>
  </r>
  <r>
    <x v="432"/>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118"/>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45"/>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7"/>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151"/>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366"/>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70"/>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r>
    <x v="991"/>
  </r>
  <r>
    <x v="992"/>
  </r>
  <r>
    <x v="993"/>
  </r>
  <r>
    <x v="994"/>
  </r>
  <r>
    <x v="995"/>
  </r>
  <r>
    <x v="996"/>
  </r>
  <r>
    <x v="997"/>
  </r>
  <r>
    <x v="998"/>
  </r>
  <r>
    <x v="999"/>
  </r>
  <r>
    <x v="1000"/>
  </r>
  <r>
    <x v="1001"/>
  </r>
  <r>
    <x v="1002"/>
  </r>
  <r>
    <x v="1003"/>
  </r>
  <r>
    <x v="1004"/>
  </r>
  <r>
    <x v="1005"/>
  </r>
  <r>
    <x v="1006"/>
  </r>
  <r>
    <x v="1007"/>
  </r>
  <r>
    <x v="1008"/>
  </r>
  <r>
    <x v="1009"/>
  </r>
  <r>
    <x v="1010"/>
  </r>
  <r>
    <x v="1011"/>
  </r>
  <r>
    <x v="1012"/>
  </r>
  <r>
    <x v="1013"/>
  </r>
  <r>
    <x v="1014"/>
  </r>
  <r>
    <x v="1015"/>
  </r>
  <r>
    <x v="1016"/>
  </r>
  <r>
    <x v="1017"/>
  </r>
  <r>
    <x v="1018"/>
  </r>
  <r>
    <x v="1019"/>
  </r>
  <r>
    <x v="1020"/>
  </r>
  <r>
    <x v="1021"/>
  </r>
  <r>
    <x v="1022"/>
  </r>
  <r>
    <x v="1023"/>
  </r>
  <r>
    <x v="1024"/>
  </r>
  <r>
    <x v="1025"/>
  </r>
  <r>
    <x v="1026"/>
  </r>
  <r>
    <x v="1027"/>
  </r>
  <r>
    <x v="1028"/>
  </r>
  <r>
    <x v="1029"/>
  </r>
  <r>
    <x v="1030"/>
  </r>
  <r>
    <x v="1031"/>
  </r>
  <r>
    <x v="1032"/>
  </r>
  <r>
    <x v="1033"/>
  </r>
  <r>
    <x v="1034"/>
  </r>
  <r>
    <x v="1035"/>
  </r>
  <r>
    <x v="1036"/>
  </r>
  <r>
    <x v="1037"/>
  </r>
  <r>
    <x v="1038"/>
  </r>
  <r>
    <x v="1039"/>
  </r>
  <r>
    <x v="1040"/>
  </r>
  <r>
    <x v="1041"/>
  </r>
  <r>
    <x v="1042"/>
  </r>
  <r>
    <x v="1043"/>
  </r>
  <r>
    <x v="1044"/>
  </r>
  <r>
    <x v="1045"/>
  </r>
  <r>
    <x v="1046"/>
  </r>
  <r>
    <x v="1047"/>
  </r>
  <r>
    <x v="1048"/>
  </r>
  <r>
    <x v="1049"/>
  </r>
  <r>
    <x v="1050"/>
  </r>
  <r>
    <x v="1051"/>
  </r>
  <r>
    <x v="1052"/>
  </r>
  <r>
    <x v="1053"/>
  </r>
  <r>
    <x v="1054"/>
  </r>
  <r>
    <x v="1055"/>
  </r>
  <r>
    <x v="1056"/>
  </r>
  <r>
    <x v="1057"/>
  </r>
  <r>
    <x v="1058"/>
  </r>
  <r>
    <x v="1059"/>
  </r>
  <r>
    <x v="1060"/>
  </r>
  <r>
    <x v="1061"/>
  </r>
  <r>
    <x v="1062"/>
  </r>
  <r>
    <x v="1063"/>
  </r>
  <r>
    <x v="1064"/>
  </r>
  <r>
    <x v="1065"/>
  </r>
  <r>
    <x v="1066"/>
  </r>
  <r>
    <x v="1067"/>
  </r>
  <r>
    <x v="1068"/>
  </r>
  <r>
    <x v="1069"/>
  </r>
  <r>
    <x v="1070"/>
  </r>
  <r>
    <x v="1071"/>
  </r>
  <r>
    <x v="1072"/>
  </r>
  <r>
    <x v="1073"/>
  </r>
  <r>
    <x v="1074"/>
  </r>
  <r>
    <x v="1075"/>
  </r>
  <r>
    <x v="1076"/>
  </r>
  <r>
    <x v="1077"/>
  </r>
  <r>
    <x v="1078"/>
  </r>
  <r>
    <x v="1079"/>
  </r>
  <r>
    <x v="1080"/>
  </r>
  <r>
    <x v="1081"/>
  </r>
  <r>
    <x v="1082"/>
  </r>
  <r>
    <x v="1083"/>
  </r>
  <r>
    <x v="1084"/>
  </r>
  <r>
    <x v="1085"/>
  </r>
  <r>
    <x v="1086"/>
  </r>
  <r>
    <x v="1087"/>
  </r>
  <r>
    <x v="1088"/>
  </r>
  <r>
    <x v="1089"/>
  </r>
  <r>
    <x v="1090"/>
  </r>
  <r>
    <x v="1091"/>
  </r>
  <r>
    <x v="1092"/>
  </r>
  <r>
    <x v="1093"/>
  </r>
  <r>
    <x v="1094"/>
  </r>
  <r>
    <x v="1095"/>
  </r>
  <r>
    <x v="1096"/>
  </r>
  <r>
    <x v="1097"/>
  </r>
  <r>
    <x v="1098"/>
  </r>
  <r>
    <x v="1099"/>
  </r>
  <r>
    <x v="1100"/>
  </r>
  <r>
    <x v="1101"/>
  </r>
  <r>
    <x v="1102"/>
  </r>
  <r>
    <x v="1103"/>
  </r>
  <r>
    <x v="1104"/>
  </r>
  <r>
    <x v="1105"/>
  </r>
  <r>
    <x v="1106"/>
  </r>
  <r>
    <x v="1107"/>
  </r>
  <r>
    <x v="1108"/>
  </r>
  <r>
    <x v="1109"/>
  </r>
  <r>
    <x v="1110"/>
  </r>
  <r>
    <x v="1111"/>
  </r>
  <r>
    <x v="1112"/>
  </r>
  <r>
    <x v="1113"/>
  </r>
  <r>
    <x v="1114"/>
  </r>
  <r>
    <x v="1115"/>
  </r>
  <r>
    <x v="1116"/>
  </r>
  <r>
    <x v="1117"/>
  </r>
  <r>
    <x v="1118"/>
  </r>
  <r>
    <x v="1119"/>
  </r>
  <r>
    <x v="1120"/>
  </r>
  <r>
    <x v="1121"/>
  </r>
  <r>
    <x v="1122"/>
  </r>
  <r>
    <x v="1123"/>
  </r>
  <r>
    <x v="1124"/>
  </r>
  <r>
    <x v="1125"/>
  </r>
  <r>
    <x v="1126"/>
  </r>
  <r>
    <x v="1127"/>
  </r>
  <r>
    <x v="1128"/>
  </r>
  <r>
    <x v="1129"/>
  </r>
  <r>
    <x v="1130"/>
  </r>
  <r>
    <x v="1131"/>
  </r>
  <r>
    <x v="1132"/>
  </r>
  <r>
    <x v="1133"/>
  </r>
  <r>
    <x v="1134"/>
  </r>
  <r>
    <x v="1135"/>
  </r>
  <r>
    <x v="1136"/>
  </r>
  <r>
    <x v="1137"/>
  </r>
  <r>
    <x v="1138"/>
  </r>
  <r>
    <x v="1139"/>
  </r>
  <r>
    <x v="1140"/>
  </r>
  <r>
    <x v="1141"/>
  </r>
  <r>
    <x v="1142"/>
  </r>
  <r>
    <x v="1143"/>
  </r>
  <r>
    <x v="1144"/>
  </r>
  <r>
    <x v="1129"/>
  </r>
  <r>
    <x v="1145"/>
  </r>
  <r>
    <x v="1146"/>
  </r>
  <r>
    <x v="1147"/>
  </r>
  <r>
    <x v="1148"/>
  </r>
  <r>
    <x v="1149"/>
  </r>
  <r>
    <x v="1150"/>
  </r>
  <r>
    <x v="1151"/>
  </r>
  <r>
    <x v="1152"/>
  </r>
  <r>
    <x v="1153"/>
  </r>
  <r>
    <x v="1154"/>
  </r>
  <r>
    <x v="1155"/>
  </r>
  <r>
    <x v="1156"/>
  </r>
  <r>
    <x v="1157"/>
  </r>
  <r>
    <x v="1158"/>
  </r>
  <r>
    <x v="1159"/>
  </r>
  <r>
    <x v="1160"/>
  </r>
  <r>
    <x v="1161"/>
  </r>
  <r>
    <x v="1162"/>
  </r>
  <r>
    <x v="1163"/>
  </r>
  <r>
    <x v="1164"/>
  </r>
  <r>
    <x v="1165"/>
  </r>
  <r>
    <x v="1166"/>
  </r>
  <r>
    <x v="1167"/>
  </r>
  <r>
    <x v="1168"/>
  </r>
  <r>
    <x v="1169"/>
  </r>
  <r>
    <x v="1170"/>
  </r>
  <r>
    <x v="1171"/>
  </r>
  <r>
    <x v="1172"/>
  </r>
  <r>
    <x v="1173"/>
  </r>
  <r>
    <x v="1174"/>
  </r>
  <r>
    <x v="1175"/>
  </r>
  <r>
    <x v="1176"/>
  </r>
  <r>
    <x v="1177"/>
  </r>
  <r>
    <x v="1178"/>
  </r>
  <r>
    <x v="1179"/>
  </r>
  <r>
    <x v="1180"/>
  </r>
  <r>
    <x v="1181"/>
  </r>
  <r>
    <x v="1182"/>
  </r>
  <r>
    <x v="1183"/>
  </r>
  <r>
    <x v="1184"/>
  </r>
  <r>
    <x v="1185"/>
  </r>
  <r>
    <x v="1186"/>
  </r>
  <r>
    <x v="1187"/>
  </r>
  <r>
    <x v="1188"/>
  </r>
  <r>
    <x v="1189"/>
  </r>
  <r>
    <x v="1190"/>
  </r>
  <r>
    <x v="1191"/>
  </r>
  <r>
    <x v="1192"/>
  </r>
  <r>
    <x v="1193"/>
  </r>
  <r>
    <x v="1194"/>
  </r>
  <r>
    <x v="1195"/>
  </r>
  <r>
    <x v="1196"/>
  </r>
  <r>
    <x v="1197"/>
  </r>
  <r>
    <x v="1198"/>
  </r>
  <r>
    <x v="1199"/>
  </r>
  <r>
    <x v="1200"/>
  </r>
  <r>
    <x v="1201"/>
  </r>
  <r>
    <x v="1202"/>
  </r>
  <r>
    <x v="1203"/>
  </r>
  <r>
    <x v="1204"/>
  </r>
  <r>
    <x v="1205"/>
  </r>
  <r>
    <x v="1206"/>
  </r>
  <r>
    <x v="1207"/>
  </r>
  <r>
    <x v="1208"/>
  </r>
  <r>
    <x v="1209"/>
  </r>
  <r>
    <x v="1210"/>
  </r>
  <r>
    <x v="1211"/>
  </r>
  <r>
    <x v="1212"/>
  </r>
  <r>
    <x v="1213"/>
  </r>
  <r>
    <x v="1214"/>
  </r>
  <r>
    <x v="1215"/>
  </r>
  <r>
    <x v="1216"/>
  </r>
  <r>
    <x v="1217"/>
  </r>
  <r>
    <x v="1218"/>
  </r>
  <r>
    <x v="1219"/>
  </r>
  <r>
    <x v="1220"/>
  </r>
  <r>
    <x v="1221"/>
  </r>
  <r>
    <x v="1222"/>
  </r>
  <r>
    <x v="1223"/>
  </r>
  <r>
    <x v="1224"/>
  </r>
  <r>
    <x v="1225"/>
  </r>
  <r>
    <x v="1226"/>
  </r>
  <r>
    <x v="1227"/>
  </r>
  <r>
    <x v="1228"/>
  </r>
  <r>
    <x v="1229"/>
  </r>
  <r>
    <x v="1230"/>
  </r>
  <r>
    <x v="1231"/>
  </r>
  <r>
    <x v="1232"/>
  </r>
  <r>
    <x v="1233"/>
  </r>
  <r>
    <x v="1234"/>
  </r>
  <r>
    <x v="1235"/>
  </r>
  <r>
    <x v="1236"/>
  </r>
  <r>
    <x v="1237"/>
  </r>
  <r>
    <x v="1238"/>
  </r>
  <r>
    <x v="635"/>
  </r>
  <r>
    <x v="1239"/>
  </r>
  <r>
    <x v="1240"/>
  </r>
  <r>
    <x v="1241"/>
  </r>
  <r>
    <x v="1242"/>
  </r>
  <r>
    <x v="1243"/>
  </r>
  <r>
    <x v="1244"/>
  </r>
  <r>
    <x v="1245"/>
  </r>
  <r>
    <x v="1246"/>
  </r>
  <r>
    <x v="1247"/>
  </r>
  <r>
    <x v="1248"/>
  </r>
  <r>
    <x v="1249"/>
  </r>
  <r>
    <x v="1250"/>
  </r>
  <r>
    <x v="1251"/>
  </r>
  <r>
    <x v="1252"/>
  </r>
  <r>
    <x v="1253"/>
  </r>
  <r>
    <x v="1254"/>
  </r>
  <r>
    <x v="1255"/>
  </r>
  <r>
    <x v="1256"/>
  </r>
  <r>
    <x v="1257"/>
  </r>
  <r>
    <x v="1258"/>
  </r>
  <r>
    <x v="1259"/>
  </r>
  <r>
    <x v="1260"/>
  </r>
  <r>
    <x v="1261"/>
  </r>
  <r>
    <x v="1262"/>
  </r>
  <r>
    <x v="1263"/>
  </r>
  <r>
    <x v="1264"/>
  </r>
  <r>
    <x v="1265"/>
  </r>
  <r>
    <x v="1266"/>
  </r>
  <r>
    <x v="583"/>
  </r>
  <r>
    <x v="1267"/>
  </r>
  <r>
    <x v="1268"/>
  </r>
  <r>
    <x v="1269"/>
  </r>
  <r>
    <x v="1270"/>
  </r>
  <r>
    <x v="1271"/>
  </r>
  <r>
    <x v="1272"/>
  </r>
  <r>
    <x v="1273"/>
  </r>
  <r>
    <x v="1274"/>
  </r>
  <r>
    <x v="1275"/>
  </r>
  <r>
    <x v="1276"/>
  </r>
  <r>
    <x v="1277"/>
  </r>
  <r>
    <x v="1278"/>
  </r>
  <r>
    <x v="1279"/>
  </r>
  <r>
    <x v="1280"/>
  </r>
  <r>
    <x v="1281"/>
  </r>
  <r>
    <x v="1282"/>
  </r>
  <r>
    <x v="1283"/>
  </r>
  <r>
    <x v="1284"/>
  </r>
  <r>
    <x v="1285"/>
  </r>
  <r>
    <x v="1286"/>
  </r>
  <r>
    <x v="1287"/>
  </r>
  <r>
    <x v="1288"/>
  </r>
  <r>
    <x v="880"/>
  </r>
  <r>
    <x v="1289"/>
  </r>
  <r>
    <x v="1290"/>
  </r>
  <r>
    <x v="1291"/>
  </r>
  <r>
    <x v="1292"/>
  </r>
  <r>
    <x v="1293"/>
  </r>
  <r>
    <x v="1294"/>
  </r>
  <r>
    <x v="1295"/>
  </r>
  <r>
    <x v="1296"/>
  </r>
  <r>
    <x v="1297"/>
  </r>
  <r>
    <x v="1298"/>
  </r>
  <r>
    <x v="1299"/>
  </r>
  <r>
    <x v="1300"/>
  </r>
  <r>
    <x v="1301"/>
  </r>
  <r>
    <x v="1302"/>
  </r>
  <r>
    <x v="1303"/>
  </r>
  <r>
    <x v="1304"/>
  </r>
  <r>
    <x v="1305"/>
  </r>
  <r>
    <x v="1306"/>
  </r>
  <r>
    <x v="1307"/>
  </r>
  <r>
    <x v="1308"/>
  </r>
  <r>
    <x v="1309"/>
  </r>
  <r>
    <x v="1310"/>
  </r>
  <r>
    <x v="1311"/>
  </r>
  <r>
    <x v="1312"/>
  </r>
  <r>
    <x v="1313"/>
  </r>
  <r>
    <x v="1314"/>
  </r>
  <r>
    <x v="1315"/>
  </r>
  <r>
    <x v="1316"/>
  </r>
  <r>
    <x v="1317"/>
  </r>
  <r>
    <x v="1318"/>
  </r>
  <r>
    <x v="1319"/>
  </r>
  <r>
    <x v="1320"/>
  </r>
  <r>
    <x v="1321"/>
  </r>
  <r>
    <x v="1322"/>
  </r>
  <r>
    <x v="1323"/>
  </r>
  <r>
    <x v="1324"/>
  </r>
  <r>
    <x v="1325"/>
  </r>
  <r>
    <x v="1326"/>
  </r>
  <r>
    <x v="1327"/>
  </r>
  <r>
    <x v="1328"/>
  </r>
  <r>
    <x v="1329"/>
  </r>
  <r>
    <x v="1330"/>
  </r>
  <r>
    <x v="1331"/>
  </r>
  <r>
    <x v="1332"/>
  </r>
  <r>
    <x v="1333"/>
  </r>
  <r>
    <x v="1334"/>
  </r>
  <r>
    <x v="1335"/>
  </r>
  <r>
    <x v="1336"/>
  </r>
  <r>
    <x v="1337"/>
  </r>
  <r>
    <x v="1338"/>
  </r>
  <r>
    <x v="1339"/>
  </r>
  <r>
    <x v="1340"/>
  </r>
  <r>
    <x v="1341"/>
  </r>
  <r>
    <x v="1342"/>
  </r>
  <r>
    <x v="1343"/>
  </r>
  <r>
    <x v="1344"/>
  </r>
  <r>
    <x v="1345"/>
  </r>
  <r>
    <x v="1346"/>
  </r>
  <r>
    <x v="1085"/>
  </r>
  <r>
    <x v="1347"/>
  </r>
  <r>
    <x v="1348"/>
  </r>
  <r>
    <x v="1349"/>
  </r>
  <r>
    <x v="1350"/>
  </r>
  <r>
    <x v="1351"/>
  </r>
  <r>
    <x v="1352"/>
  </r>
  <r>
    <x v="1353"/>
  </r>
  <r>
    <x v="1354"/>
  </r>
  <r>
    <x v="852"/>
  </r>
  <r>
    <x v="1350"/>
  </r>
  <r>
    <x v="1355"/>
  </r>
  <r>
    <x v="1356"/>
  </r>
  <r>
    <x v="1357"/>
  </r>
  <r>
    <x v="1358"/>
  </r>
  <r>
    <x v="1359"/>
  </r>
  <r>
    <x v="1360"/>
  </r>
  <r>
    <x v="1361"/>
  </r>
  <r>
    <x v="1362"/>
  </r>
  <r>
    <x v="1363"/>
  </r>
  <r>
    <x v="1364"/>
  </r>
  <r>
    <x v="1365"/>
  </r>
  <r>
    <x v="1366"/>
  </r>
  <r>
    <x v="1367"/>
  </r>
  <r>
    <x v="1368"/>
  </r>
  <r>
    <x v="1369"/>
  </r>
  <r>
    <x v="1370"/>
  </r>
  <r>
    <x v="1371"/>
  </r>
  <r>
    <x v="1372"/>
  </r>
  <r>
    <x v="1373"/>
  </r>
  <r>
    <x v="1374"/>
  </r>
  <r>
    <x v="1375"/>
  </r>
  <r>
    <x v="1376"/>
  </r>
  <r>
    <x v="1377"/>
  </r>
  <r>
    <x v="1378"/>
  </r>
  <r>
    <x v="1379"/>
  </r>
  <r>
    <x v="1380"/>
  </r>
  <r>
    <x v="1381"/>
  </r>
  <r>
    <x v="1382"/>
  </r>
  <r>
    <x v="1383"/>
  </r>
  <r>
    <x v="1384"/>
  </r>
  <r>
    <x v="1385"/>
  </r>
  <r>
    <x v="1386"/>
  </r>
  <r>
    <x v="1387"/>
  </r>
  <r>
    <x v="1388"/>
  </r>
  <r>
    <x v="1389"/>
  </r>
  <r>
    <x v="1390"/>
  </r>
  <r>
    <x v="1391"/>
  </r>
  <r>
    <x v="1392"/>
  </r>
  <r>
    <x v="1393"/>
  </r>
  <r>
    <x v="1394"/>
  </r>
  <r>
    <x v="1395"/>
  </r>
  <r>
    <x v="1396"/>
  </r>
  <r>
    <x v="1397"/>
  </r>
  <r>
    <x v="1398"/>
  </r>
  <r>
    <x v="1399"/>
  </r>
  <r>
    <x v="1400"/>
  </r>
  <r>
    <x v="1401"/>
  </r>
  <r>
    <x v="1402"/>
  </r>
  <r>
    <x v="1403"/>
  </r>
  <r>
    <x v="1404"/>
  </r>
  <r>
    <x v="1405"/>
  </r>
  <r>
    <x v="1406"/>
  </r>
  <r>
    <x v="1407"/>
  </r>
  <r>
    <x v="1408"/>
  </r>
  <r>
    <x v="1409"/>
  </r>
  <r>
    <x v="1410"/>
  </r>
  <r>
    <x v="1411"/>
  </r>
  <r>
    <x v="1412"/>
  </r>
  <r>
    <x v="1413"/>
  </r>
  <r>
    <x v="1414"/>
  </r>
  <r>
    <x v="1415"/>
  </r>
  <r>
    <x v="1416"/>
  </r>
  <r>
    <x v="1417"/>
  </r>
  <r>
    <x v="1418"/>
  </r>
  <r>
    <x v="1419"/>
  </r>
  <r>
    <x v="1420"/>
  </r>
  <r>
    <x v="1421"/>
  </r>
  <r>
    <x v="1422"/>
  </r>
  <r>
    <x v="1423"/>
  </r>
  <r>
    <x v="1424"/>
  </r>
  <r>
    <x v="1425"/>
  </r>
  <r>
    <x v="1426"/>
  </r>
  <r>
    <x v="1427"/>
  </r>
  <r>
    <x v="1428"/>
  </r>
  <r>
    <x v="1429"/>
  </r>
  <r>
    <x v="1430"/>
  </r>
  <r>
    <x v="1431"/>
  </r>
  <r>
    <x v="1432"/>
  </r>
  <r>
    <x v="1433"/>
  </r>
  <r>
    <x v="1434"/>
  </r>
  <r>
    <x v="1435"/>
  </r>
  <r>
    <x v="683"/>
  </r>
  <r>
    <x v="1436"/>
  </r>
  <r>
    <x v="1437"/>
  </r>
  <r>
    <x v="1438"/>
  </r>
  <r>
    <x v="1439"/>
  </r>
  <r>
    <x v="1440"/>
  </r>
  <r>
    <x v="1441"/>
  </r>
  <r>
    <x v="1442"/>
  </r>
  <r>
    <x v="1443"/>
  </r>
  <r>
    <x v="1444"/>
  </r>
  <r>
    <x v="1445"/>
  </r>
  <r>
    <x v="1446"/>
  </r>
  <r>
    <x v="1447"/>
  </r>
  <r>
    <x v="1448"/>
  </r>
  <r>
    <x v="1449"/>
  </r>
  <r>
    <x v="1450"/>
  </r>
  <r>
    <x v="1451"/>
  </r>
  <r>
    <x v="1452"/>
  </r>
  <r>
    <x v="1453"/>
  </r>
  <r>
    <x v="1454"/>
  </r>
  <r>
    <x v="1455"/>
  </r>
  <r>
    <x v="1456"/>
  </r>
  <r>
    <x v="1457"/>
  </r>
  <r>
    <x v="1458"/>
  </r>
  <r>
    <x v="1459"/>
  </r>
  <r>
    <x v="1460"/>
  </r>
  <r>
    <x v="1461"/>
  </r>
  <r>
    <x v="1462"/>
  </r>
  <r>
    <x v="1463"/>
  </r>
  <r>
    <x v="1464"/>
  </r>
  <r>
    <x v="1465"/>
  </r>
  <r>
    <x v="1466"/>
  </r>
  <r>
    <x v="1467"/>
  </r>
  <r>
    <x v="1468"/>
  </r>
  <r>
    <x v="1469"/>
  </r>
  <r>
    <x v="1470"/>
  </r>
  <r>
    <x v="1471"/>
  </r>
  <r>
    <x v="1472"/>
  </r>
  <r>
    <x v="1473"/>
  </r>
  <r>
    <x v="1474"/>
  </r>
  <r>
    <x v="1475"/>
  </r>
  <r>
    <x v="1476"/>
  </r>
  <r>
    <x v="1477"/>
  </r>
  <r>
    <x v="1478"/>
  </r>
  <r>
    <x v="1479"/>
  </r>
  <r>
    <x v="1480"/>
  </r>
  <r>
    <x v="1481"/>
  </r>
  <r>
    <x v="1482"/>
  </r>
  <r>
    <x v="1483"/>
  </r>
  <r>
    <x v="1484"/>
  </r>
  <r>
    <x v="1485"/>
  </r>
  <r>
    <x v="1486"/>
  </r>
  <r>
    <x v="1487"/>
  </r>
  <r>
    <x v="1488"/>
  </r>
  <r>
    <x v="1489"/>
  </r>
  <r>
    <x v="1490"/>
  </r>
  <r>
    <x v="1491"/>
  </r>
  <r>
    <x v="1492"/>
  </r>
  <r>
    <x v="1493"/>
  </r>
  <r>
    <x v="1494"/>
  </r>
  <r>
    <x v="1495"/>
  </r>
  <r>
    <x v="1496"/>
  </r>
  <r>
    <x v="1497"/>
  </r>
  <r>
    <x v="1498"/>
  </r>
  <r>
    <x v="1499"/>
  </r>
  <r>
    <x v="1500"/>
  </r>
  <r>
    <x v="1501"/>
  </r>
  <r>
    <x v="1502"/>
  </r>
  <r>
    <x v="1503"/>
  </r>
  <r>
    <x v="1504"/>
  </r>
  <r>
    <x v="1505"/>
  </r>
  <r>
    <x v="1506"/>
  </r>
  <r>
    <x v="1507"/>
  </r>
  <r>
    <x v="1508"/>
  </r>
  <r>
    <x v="1509"/>
  </r>
  <r>
    <x v="1510"/>
  </r>
  <r>
    <x v="1511"/>
  </r>
  <r>
    <x v="1512"/>
  </r>
  <r>
    <x v="1513"/>
  </r>
  <r>
    <x v="1514"/>
  </r>
  <r>
    <x v="1515"/>
  </r>
  <r>
    <x v="1516"/>
  </r>
  <r>
    <x v="1517"/>
  </r>
  <r>
    <x v="1518"/>
  </r>
  <r>
    <x v="1519"/>
  </r>
  <r>
    <x v="1520"/>
  </r>
  <r>
    <x v="1521"/>
  </r>
  <r>
    <x v="1522"/>
  </r>
  <r>
    <x v="1523"/>
  </r>
  <r>
    <x v="1524"/>
  </r>
  <r>
    <x v="1525"/>
  </r>
  <r>
    <x v="1526"/>
  </r>
  <r>
    <x v="1527"/>
  </r>
  <r>
    <x v="1528"/>
  </r>
  <r>
    <x v="1529"/>
  </r>
  <r>
    <x v="1530"/>
  </r>
  <r>
    <x v="1531"/>
  </r>
  <r>
    <x v="1532"/>
  </r>
  <r>
    <x v="1533"/>
  </r>
  <r>
    <x v="1534"/>
  </r>
  <r>
    <x v="1535"/>
  </r>
  <r>
    <x v="1536"/>
  </r>
  <r>
    <x v="1537"/>
  </r>
  <r>
    <x v="966"/>
  </r>
  <r>
    <x v="1538"/>
  </r>
  <r>
    <x v="1539"/>
  </r>
  <r>
    <x v="1540"/>
  </r>
  <r>
    <x v="1541"/>
  </r>
  <r>
    <x v="1542"/>
  </r>
  <r>
    <x v="1543"/>
  </r>
  <r>
    <x v="1544"/>
  </r>
  <r>
    <x v="1545"/>
  </r>
  <r>
    <x v="1546"/>
  </r>
  <r>
    <x v="1547"/>
  </r>
  <r>
    <x v="1548"/>
  </r>
  <r>
    <x v="1549"/>
  </r>
  <r>
    <x v="1550"/>
  </r>
  <r>
    <x v="1551"/>
  </r>
  <r>
    <x v="1552"/>
  </r>
  <r>
    <x v="1553"/>
  </r>
  <r>
    <x v="1554"/>
  </r>
  <r>
    <x v="1555"/>
  </r>
  <r>
    <x v="1556"/>
  </r>
  <r>
    <x v="1557"/>
  </r>
  <r>
    <x v="1558"/>
  </r>
  <r>
    <x v="1559"/>
  </r>
  <r>
    <x v="1560"/>
  </r>
  <r>
    <x v="1561"/>
  </r>
  <r>
    <x v="1562"/>
  </r>
  <r>
    <x v="1563"/>
  </r>
  <r>
    <x v="356"/>
  </r>
  <r>
    <x v="1564"/>
  </r>
  <r>
    <x v="1553"/>
  </r>
  <r>
    <x v="1565"/>
  </r>
  <r>
    <x v="1566"/>
  </r>
  <r>
    <x v="1567"/>
  </r>
  <r>
    <x v="1568"/>
  </r>
  <r>
    <x v="1569"/>
  </r>
  <r>
    <x v="1570"/>
  </r>
  <r>
    <x v="1571"/>
  </r>
  <r>
    <x v="1572"/>
  </r>
  <r>
    <x v="1573"/>
  </r>
  <r>
    <x v="1574"/>
  </r>
  <r>
    <x v="1575"/>
  </r>
  <r>
    <x v="1576"/>
  </r>
  <r>
    <x v="1577"/>
  </r>
  <r>
    <x v="1578"/>
  </r>
  <r>
    <x v="1579"/>
  </r>
  <r>
    <x v="1580"/>
  </r>
  <r>
    <x v="1581"/>
  </r>
  <r>
    <x v="1582"/>
  </r>
  <r>
    <x v="1583"/>
  </r>
  <r>
    <x v="1584"/>
  </r>
  <r>
    <x v="1585"/>
  </r>
  <r>
    <x v="1586"/>
  </r>
  <r>
    <x v="1587"/>
  </r>
  <r>
    <x v="1588"/>
  </r>
  <r>
    <x v="1589"/>
  </r>
  <r>
    <x v="1590"/>
  </r>
  <r>
    <x v="1591"/>
  </r>
  <r>
    <x v="1592"/>
  </r>
  <r>
    <x v="1593"/>
  </r>
  <r>
    <x v="1594"/>
  </r>
  <r>
    <x v="1595"/>
  </r>
  <r>
    <x v="1596"/>
  </r>
  <r>
    <x v="1597"/>
  </r>
  <r>
    <x v="1598"/>
  </r>
  <r>
    <x v="1599"/>
  </r>
  <r>
    <x v="1600"/>
  </r>
  <r>
    <x v="1601"/>
  </r>
  <r>
    <x v="1602"/>
  </r>
  <r>
    <x v="1603"/>
  </r>
  <r>
    <x v="1604"/>
  </r>
  <r>
    <x v="1605"/>
  </r>
  <r>
    <x v="1606"/>
  </r>
  <r>
    <x v="1607"/>
  </r>
  <r>
    <x v="1608"/>
  </r>
  <r>
    <x v="1609"/>
  </r>
  <r>
    <x v="1610"/>
  </r>
  <r>
    <x v="1611"/>
  </r>
  <r>
    <x v="1612"/>
  </r>
  <r>
    <x v="1613"/>
  </r>
  <r>
    <x v="1614"/>
  </r>
  <r>
    <x v="1615"/>
  </r>
  <r>
    <x v="1616"/>
  </r>
  <r>
    <x v="1617"/>
  </r>
  <r>
    <x v="1618"/>
  </r>
  <r>
    <x v="1619"/>
  </r>
  <r>
    <x v="1620"/>
  </r>
  <r>
    <x v="1621"/>
  </r>
  <r>
    <x v="1622"/>
  </r>
  <r>
    <x v="1623"/>
  </r>
  <r>
    <x v="1624"/>
  </r>
  <r>
    <x v="1625"/>
  </r>
  <r>
    <x v="1626"/>
  </r>
  <r>
    <x v="1627"/>
  </r>
  <r>
    <x v="1628"/>
  </r>
  <r>
    <x v="1629"/>
  </r>
  <r>
    <x v="1630"/>
  </r>
  <r>
    <x v="1631"/>
  </r>
  <r>
    <x v="1632"/>
  </r>
  <r>
    <x v="1633"/>
  </r>
  <r>
    <x v="1634"/>
  </r>
  <r>
    <x v="1635"/>
  </r>
  <r>
    <x v="1636"/>
  </r>
  <r>
    <x v="1637"/>
  </r>
  <r>
    <x v="1638"/>
  </r>
  <r>
    <x v="1639"/>
  </r>
  <r>
    <x v="1640"/>
  </r>
  <r>
    <x v="1641"/>
  </r>
  <r>
    <x v="1642"/>
  </r>
  <r>
    <x v="1643"/>
  </r>
  <r>
    <x v="1644"/>
  </r>
  <r>
    <x v="1645"/>
  </r>
  <r>
    <x v="1646"/>
  </r>
  <r>
    <x v="1647"/>
  </r>
  <r>
    <x v="1648"/>
  </r>
  <r>
    <x v="1649"/>
  </r>
  <r>
    <x v="1650"/>
  </r>
  <r>
    <x v="1651"/>
  </r>
  <r>
    <x v="1652"/>
  </r>
  <r>
    <x v="1653"/>
  </r>
  <r>
    <x v="1654"/>
  </r>
  <r>
    <x v="1655"/>
  </r>
  <r>
    <x v="1656"/>
  </r>
  <r>
    <x v="1657"/>
  </r>
  <r>
    <x v="1658"/>
  </r>
  <r>
    <x v="1659"/>
  </r>
  <r>
    <x v="1660"/>
  </r>
  <r>
    <x v="1661"/>
  </r>
  <r>
    <x v="1662"/>
  </r>
  <r>
    <x v="1663"/>
  </r>
  <r>
    <x v="1664"/>
  </r>
  <r>
    <x v="1665"/>
  </r>
  <r>
    <x v="1666"/>
  </r>
  <r>
    <x v="1667"/>
  </r>
  <r>
    <x v="1668"/>
  </r>
  <r>
    <x v="1669"/>
  </r>
  <r>
    <x v="1670"/>
  </r>
  <r>
    <x v="1671"/>
  </r>
  <r>
    <x v="1672"/>
  </r>
  <r>
    <x v="1673"/>
  </r>
  <r>
    <x v="1674"/>
  </r>
  <r>
    <x v="1675"/>
  </r>
  <r>
    <x v="1676"/>
  </r>
  <r>
    <x v="1677"/>
  </r>
  <r>
    <x v="1678"/>
  </r>
  <r>
    <x v="1679"/>
  </r>
  <r>
    <x v="1680"/>
  </r>
  <r>
    <x v="1681"/>
  </r>
  <r>
    <x v="1682"/>
  </r>
  <r>
    <x v="1683"/>
  </r>
  <r>
    <x v="1684"/>
  </r>
  <r>
    <x v="1685"/>
  </r>
  <r>
    <x v="1686"/>
  </r>
  <r>
    <x v="1687"/>
  </r>
  <r>
    <x v="1688"/>
  </r>
  <r>
    <x v="441"/>
  </r>
  <r>
    <x v="1689"/>
  </r>
  <r>
    <x v="500"/>
  </r>
  <r>
    <x v="1690"/>
  </r>
  <r>
    <x v="1691"/>
  </r>
  <r>
    <x v="1692"/>
  </r>
  <r>
    <x v="1693"/>
  </r>
  <r>
    <x v="1694"/>
  </r>
  <r>
    <x v="1695"/>
  </r>
  <r>
    <x v="1696"/>
  </r>
  <r>
    <x v="1697"/>
  </r>
  <r>
    <x v="1698"/>
  </r>
  <r>
    <x v="1699"/>
  </r>
  <r>
    <x v="1700"/>
  </r>
  <r>
    <x v="1701"/>
  </r>
  <r>
    <x v="1702"/>
  </r>
  <r>
    <x v="1703"/>
  </r>
  <r>
    <x v="1704"/>
  </r>
  <r>
    <x v="1705"/>
  </r>
  <r>
    <x v="1706"/>
  </r>
  <r>
    <x v="1707"/>
  </r>
  <r>
    <x v="1708"/>
  </r>
  <r>
    <x v="1709"/>
  </r>
  <r>
    <x v="1710"/>
  </r>
  <r>
    <x v="1711"/>
  </r>
  <r>
    <x v="1712"/>
  </r>
  <r>
    <x v="1713"/>
  </r>
  <r>
    <x v="1714"/>
  </r>
  <r>
    <x v="1715"/>
  </r>
  <r>
    <x v="1702"/>
  </r>
  <r>
    <x v="1716"/>
  </r>
  <r>
    <x v="1717"/>
  </r>
  <r>
    <x v="1718"/>
  </r>
  <r>
    <x v="1719"/>
  </r>
  <r>
    <x v="1720"/>
  </r>
  <r>
    <x v="1721"/>
  </r>
  <r>
    <x v="1722"/>
  </r>
  <r>
    <x v="1723"/>
  </r>
  <r>
    <x v="1724"/>
  </r>
  <r>
    <x v="1725"/>
  </r>
  <r>
    <x v="1726"/>
  </r>
  <r>
    <x v="1727"/>
  </r>
  <r>
    <x v="1728"/>
  </r>
  <r>
    <x v="1729"/>
  </r>
  <r>
    <x v="1730"/>
  </r>
  <r>
    <x v="1731"/>
  </r>
  <r>
    <x v="1732"/>
  </r>
  <r>
    <x v="1733"/>
  </r>
  <r>
    <x v="1734"/>
  </r>
  <r>
    <x v="1735"/>
  </r>
  <r>
    <x v="1736"/>
  </r>
  <r>
    <x v="1737"/>
  </r>
  <r>
    <x v="1738"/>
  </r>
  <r>
    <x v="565"/>
  </r>
  <r>
    <x v="1739"/>
  </r>
  <r>
    <x v="1740"/>
  </r>
  <r>
    <x v="1741"/>
  </r>
  <r>
    <x v="1742"/>
  </r>
  <r>
    <x v="1743"/>
  </r>
  <r>
    <x v="1744"/>
  </r>
  <r>
    <x v="1745"/>
  </r>
  <r>
    <x v="1746"/>
  </r>
  <r>
    <x v="1747"/>
  </r>
  <r>
    <x v="1748"/>
  </r>
  <r>
    <x v="1749"/>
  </r>
  <r>
    <x v="1750"/>
  </r>
  <r>
    <x v="1751"/>
  </r>
  <r>
    <x v="1752"/>
  </r>
  <r>
    <x v="1753"/>
  </r>
  <r>
    <x v="1754"/>
  </r>
  <r>
    <x v="1755"/>
  </r>
  <r>
    <x v="1756"/>
  </r>
  <r>
    <x v="1757"/>
  </r>
  <r>
    <x v="1758"/>
  </r>
  <r>
    <x v="1759"/>
  </r>
  <r>
    <x v="1760"/>
  </r>
  <r>
    <x v="1761"/>
  </r>
  <r>
    <x v="1762"/>
  </r>
  <r>
    <x v="1763"/>
  </r>
  <r>
    <x v="1764"/>
  </r>
  <r>
    <x v="1765"/>
  </r>
  <r>
    <x v="1766"/>
  </r>
  <r>
    <x v="1767"/>
  </r>
  <r>
    <x v="1768"/>
  </r>
  <r>
    <x v="1769"/>
  </r>
  <r>
    <x v="1770"/>
  </r>
  <r>
    <x v="1771"/>
  </r>
  <r>
    <x v="1772"/>
  </r>
  <r>
    <x v="1773"/>
  </r>
  <r>
    <x v="1774"/>
  </r>
  <r>
    <x v="1775"/>
  </r>
  <r>
    <x v="1776"/>
  </r>
  <r>
    <x v="1777"/>
  </r>
  <r>
    <x v="1778"/>
  </r>
  <r>
    <x v="1779"/>
  </r>
  <r>
    <x v="1780"/>
  </r>
  <r>
    <x v="1781"/>
  </r>
  <r>
    <x v="1782"/>
  </r>
  <r>
    <x v="1783"/>
  </r>
  <r>
    <x v="1784"/>
  </r>
  <r>
    <x v="1785"/>
  </r>
  <r>
    <x v="1786"/>
  </r>
  <r>
    <x v="1787"/>
  </r>
  <r>
    <x v="1788"/>
  </r>
  <r>
    <x v="1789"/>
  </r>
  <r>
    <x v="1790"/>
  </r>
  <r>
    <x v="1791"/>
  </r>
  <r>
    <x v="1792"/>
  </r>
  <r>
    <x v="1793"/>
  </r>
  <r>
    <x v="1794"/>
  </r>
  <r>
    <x v="1795"/>
  </r>
  <r>
    <x v="1796"/>
  </r>
  <r>
    <x v="1797"/>
  </r>
  <r>
    <x v="1798"/>
  </r>
  <r>
    <x v="1799"/>
  </r>
  <r>
    <x v="1800"/>
  </r>
  <r>
    <x v="607"/>
  </r>
  <r>
    <x v="1801"/>
  </r>
  <r>
    <x v="1802"/>
  </r>
  <r>
    <x v="1803"/>
  </r>
  <r>
    <x v="1804"/>
  </r>
  <r>
    <x v="1805"/>
  </r>
  <r>
    <x v="1806"/>
  </r>
  <r>
    <x v="1807"/>
  </r>
  <r>
    <x v="1808"/>
  </r>
  <r>
    <x v="1809"/>
  </r>
  <r>
    <x v="1810"/>
  </r>
  <r>
    <x v="1811"/>
  </r>
  <r>
    <x v="1812"/>
  </r>
  <r>
    <x v="1813"/>
  </r>
  <r>
    <x v="1814"/>
  </r>
  <r>
    <x v="1815"/>
  </r>
  <r>
    <x v="1816"/>
  </r>
  <r>
    <x v="1817"/>
  </r>
  <r>
    <x v="1818"/>
  </r>
  <r>
    <x v="1819"/>
  </r>
  <r>
    <x v="1820"/>
  </r>
  <r>
    <x v="1821"/>
  </r>
  <r>
    <x v="1822"/>
  </r>
  <r>
    <x v="1823"/>
  </r>
  <r>
    <x v="1822"/>
  </r>
  <r>
    <x v="1824"/>
  </r>
  <r>
    <x v="1825"/>
  </r>
  <r>
    <x v="1826"/>
  </r>
  <r>
    <x v="1827"/>
  </r>
  <r>
    <x v="1828"/>
  </r>
  <r>
    <x v="1829"/>
  </r>
  <r>
    <x v="1830"/>
  </r>
  <r>
    <x v="1831"/>
  </r>
  <r>
    <x v="1832"/>
  </r>
  <r>
    <x v="1833"/>
  </r>
  <r>
    <x v="1834"/>
  </r>
  <r>
    <x v="1835"/>
  </r>
  <r>
    <x v="1836"/>
  </r>
  <r>
    <x v="1837"/>
  </r>
  <r>
    <x v="1838"/>
  </r>
  <r>
    <x v="1839"/>
  </r>
  <r>
    <x v="1840"/>
  </r>
  <r>
    <x v="1841"/>
  </r>
  <r>
    <x v="1838"/>
  </r>
  <r>
    <x v="1842"/>
  </r>
  <r>
    <x v="1843"/>
  </r>
  <r>
    <x v="1844"/>
  </r>
  <r>
    <x v="1845"/>
  </r>
  <r>
    <x v="1846"/>
  </r>
  <r>
    <x v="1847"/>
  </r>
  <r>
    <x v="1848"/>
  </r>
  <r>
    <x v="1847"/>
  </r>
  <r>
    <x v="1849"/>
  </r>
  <r>
    <x v="1850"/>
  </r>
  <r>
    <x v="1851"/>
  </r>
  <r>
    <x v="1852"/>
  </r>
  <r>
    <x v="1853"/>
  </r>
  <r>
    <x v="1854"/>
  </r>
  <r>
    <x v="1855"/>
  </r>
  <r>
    <x v="1856"/>
  </r>
  <r>
    <x v="1857"/>
  </r>
  <r>
    <x v="1858"/>
  </r>
  <r>
    <x v="1859"/>
  </r>
  <r>
    <x v="1860"/>
  </r>
  <r>
    <x v="1861"/>
  </r>
  <r>
    <x v="1862"/>
  </r>
  <r>
    <x v="1863"/>
  </r>
  <r>
    <x v="1864"/>
  </r>
  <r>
    <x v="1865"/>
  </r>
  <r>
    <x v="1866"/>
  </r>
  <r>
    <x v="1867"/>
  </r>
  <r>
    <x v="1868"/>
  </r>
  <r>
    <x v="1869"/>
  </r>
  <r>
    <x v="1870"/>
  </r>
  <r>
    <x v="1871"/>
  </r>
  <r>
    <x v="1872"/>
  </r>
  <r>
    <x v="1873"/>
  </r>
  <r>
    <x v="1874"/>
  </r>
  <r>
    <x v="1875"/>
  </r>
  <r>
    <x v="1876"/>
  </r>
  <r>
    <x v="1877"/>
  </r>
  <r>
    <x v="1878"/>
  </r>
  <r>
    <x v="1862"/>
  </r>
  <r>
    <x v="1879"/>
  </r>
  <r>
    <x v="1880"/>
  </r>
  <r>
    <x v="1881"/>
  </r>
  <r>
    <x v="1882"/>
  </r>
  <r>
    <x v="1883"/>
  </r>
  <r>
    <x v="1884"/>
  </r>
  <r>
    <x v="1189"/>
  </r>
  <r>
    <x v="1885"/>
  </r>
  <r>
    <x v="1886"/>
  </r>
  <r>
    <x v="1887"/>
  </r>
  <r>
    <x v="1888"/>
  </r>
  <r>
    <x v="1889"/>
  </r>
  <r>
    <x v="1890"/>
  </r>
  <r>
    <x v="1891"/>
  </r>
  <r>
    <x v="1892"/>
  </r>
  <r>
    <x v="1893"/>
  </r>
  <r>
    <x v="1894"/>
  </r>
  <r>
    <x v="1895"/>
  </r>
  <r>
    <x v="1896"/>
  </r>
  <r>
    <x v="1897"/>
  </r>
  <r>
    <x v="1898"/>
  </r>
  <r>
    <x v="1899"/>
  </r>
  <r>
    <x v="1900"/>
  </r>
  <r>
    <x v="1901"/>
  </r>
  <r>
    <x v="1902"/>
  </r>
  <r>
    <x v="1903"/>
  </r>
  <r>
    <x v="1904"/>
  </r>
  <r>
    <x v="1905"/>
  </r>
  <r>
    <x v="1906"/>
  </r>
  <r>
    <x v="1907"/>
  </r>
  <r>
    <x v="1908"/>
  </r>
  <r>
    <x v="1909"/>
  </r>
  <r>
    <x v="1910"/>
  </r>
  <r>
    <x v="1911"/>
  </r>
  <r>
    <x v="1912"/>
  </r>
  <r>
    <x v="1913"/>
  </r>
  <r>
    <x v="1914"/>
  </r>
  <r>
    <x v="1915"/>
  </r>
  <r>
    <x v="1916"/>
  </r>
  <r>
    <x v="1917"/>
  </r>
  <r>
    <x v="1918"/>
  </r>
  <r>
    <x v="1919"/>
  </r>
  <r>
    <x v="1920"/>
  </r>
  <r>
    <x v="1921"/>
  </r>
  <r>
    <x v="1922"/>
  </r>
  <r>
    <x v="1923"/>
  </r>
  <r>
    <x v="1924"/>
  </r>
  <r>
    <x v="1925"/>
  </r>
  <r>
    <x v="1926"/>
  </r>
  <r>
    <x v="1927"/>
  </r>
  <r>
    <x v="1928"/>
  </r>
  <r>
    <x v="1929"/>
  </r>
  <r>
    <x v="1930"/>
  </r>
  <r>
    <x v="1931"/>
  </r>
  <r>
    <x v="1932"/>
  </r>
  <r>
    <x v="1933"/>
  </r>
  <r>
    <x v="1934"/>
  </r>
  <r>
    <x v="1935"/>
  </r>
  <r>
    <x v="1936"/>
  </r>
  <r>
    <x v="1937"/>
  </r>
  <r>
    <x v="1938"/>
  </r>
  <r>
    <x v="1939"/>
  </r>
  <r>
    <x v="1940"/>
  </r>
  <r>
    <x v="1941"/>
  </r>
  <r>
    <x v="1942"/>
  </r>
  <r>
    <x v="1943"/>
  </r>
  <r>
    <x v="1944"/>
  </r>
  <r>
    <x v="1945"/>
  </r>
  <r>
    <x v="1946"/>
  </r>
  <r>
    <x v="1947"/>
  </r>
  <r>
    <x v="1948"/>
  </r>
  <r>
    <x v="1949"/>
  </r>
  <r>
    <x v="1950"/>
  </r>
  <r>
    <x v="1951"/>
  </r>
  <r>
    <x v="1952"/>
  </r>
  <r>
    <x v="1953"/>
  </r>
  <r>
    <x v="1954"/>
  </r>
  <r>
    <x v="1955"/>
  </r>
  <r>
    <x v="1956"/>
  </r>
  <r>
    <x v="1957"/>
  </r>
  <r>
    <x v="1958"/>
  </r>
  <r>
    <x v="1959"/>
  </r>
  <r>
    <x v="1960"/>
  </r>
  <r>
    <x v="1961"/>
  </r>
  <r>
    <x v="1962"/>
  </r>
  <r>
    <x v="1963"/>
  </r>
  <r>
    <x v="1964"/>
  </r>
  <r>
    <x v="1965"/>
  </r>
  <r>
    <x v="1966"/>
  </r>
  <r>
    <x v="1967"/>
  </r>
  <r>
    <x v="1968"/>
  </r>
  <r>
    <x v="1969"/>
  </r>
  <r>
    <x v="1970"/>
  </r>
  <r>
    <x v="1971"/>
  </r>
  <r>
    <x v="1972"/>
  </r>
  <r>
    <x v="1973"/>
  </r>
  <r>
    <x v="1974"/>
  </r>
  <r>
    <x v="1975"/>
  </r>
  <r>
    <x v="1976"/>
  </r>
  <r>
    <x v="1977"/>
  </r>
  <r>
    <x v="1978"/>
  </r>
  <r>
    <x v="1979"/>
  </r>
  <r>
    <x v="1980"/>
  </r>
  <r>
    <x v="1981"/>
  </r>
  <r>
    <x v="1982"/>
  </r>
  <r>
    <x v="1983"/>
  </r>
  <r>
    <x v="1984"/>
  </r>
  <r>
    <x v="1985"/>
  </r>
  <r>
    <x v="1986"/>
  </r>
  <r>
    <x v="1987"/>
  </r>
  <r>
    <x v="1988"/>
  </r>
  <r>
    <x v="1989"/>
  </r>
  <r>
    <x v="1990"/>
  </r>
  <r>
    <x v="1991"/>
  </r>
  <r>
    <x v="1992"/>
  </r>
  <r>
    <x v="1993"/>
  </r>
  <r>
    <x v="1994"/>
  </r>
  <r>
    <x v="1995"/>
  </r>
  <r>
    <x v="1996"/>
  </r>
  <r>
    <x v="1997"/>
  </r>
  <r>
    <x v="1998"/>
  </r>
  <r>
    <x v="1999"/>
  </r>
  <r>
    <x v="2000"/>
  </r>
  <r>
    <x v="2001"/>
  </r>
  <r>
    <x v="2002"/>
  </r>
  <r>
    <x v="2003"/>
  </r>
  <r>
    <x v="2004"/>
  </r>
  <r>
    <x v="2005"/>
  </r>
  <r>
    <x v="2006"/>
  </r>
  <r>
    <x v="2007"/>
  </r>
  <r>
    <x v="2008"/>
  </r>
  <r>
    <x v="2009"/>
  </r>
  <r>
    <x v="2010"/>
  </r>
  <r>
    <x v="2011"/>
  </r>
  <r>
    <x v="2012"/>
  </r>
  <r>
    <x v="2013"/>
  </r>
  <r>
    <x v="2014"/>
  </r>
  <r>
    <x v="2015"/>
  </r>
  <r>
    <x v="2016"/>
  </r>
  <r>
    <x v="2017"/>
  </r>
  <r>
    <x v="2018"/>
  </r>
  <r>
    <x v="2019"/>
  </r>
  <r>
    <x v="2020"/>
  </r>
  <r>
    <x v="2021"/>
  </r>
  <r>
    <x v="2022"/>
  </r>
  <r>
    <x v="2023"/>
  </r>
  <r>
    <x v="2024"/>
  </r>
  <r>
    <x v="2025"/>
  </r>
  <r>
    <x v="2026"/>
  </r>
  <r>
    <x v="2027"/>
  </r>
  <r>
    <x v="2028"/>
  </r>
  <r>
    <x v="2029"/>
  </r>
  <r>
    <x v="2030"/>
  </r>
  <r>
    <x v="2031"/>
  </r>
  <r>
    <x v="2032"/>
  </r>
  <r>
    <x v="2033"/>
  </r>
  <r>
    <x v="2034"/>
  </r>
  <r>
    <x v="2035"/>
  </r>
  <r>
    <x v="2036"/>
  </r>
  <r>
    <x v="2037"/>
  </r>
  <r>
    <x v="2038"/>
  </r>
  <r>
    <x v="2039"/>
  </r>
  <r>
    <x v="2040"/>
  </r>
  <r>
    <x v="2041"/>
  </r>
  <r>
    <x v="2042"/>
  </r>
  <r>
    <x v="2043"/>
  </r>
  <r>
    <x v="2044"/>
  </r>
  <r>
    <x v="2045"/>
  </r>
  <r>
    <x v="2046"/>
  </r>
  <r>
    <x v="2047"/>
  </r>
  <r>
    <x v="2048"/>
  </r>
  <r>
    <x v="2049"/>
  </r>
  <r>
    <x v="2050"/>
  </r>
  <r>
    <x v="2051"/>
  </r>
  <r>
    <x v="2052"/>
  </r>
  <r>
    <x v="2053"/>
  </r>
  <r>
    <x v="2054"/>
  </r>
  <r>
    <x v="2055"/>
  </r>
  <r>
    <x v="2056"/>
  </r>
  <r>
    <x v="2057"/>
  </r>
  <r>
    <x v="2058"/>
  </r>
  <r>
    <x v="2059"/>
  </r>
  <r>
    <x v="2060"/>
  </r>
  <r>
    <x v="2061"/>
  </r>
  <r>
    <x v="2062"/>
  </r>
  <r>
    <x v="2063"/>
  </r>
  <r>
    <x v="2064"/>
  </r>
  <r>
    <x v="2065"/>
  </r>
  <r>
    <x v="2066"/>
  </r>
  <r>
    <x v="2067"/>
  </r>
  <r>
    <x v="2068"/>
  </r>
  <r>
    <x v="2069"/>
  </r>
  <r>
    <x v="2070"/>
  </r>
  <r>
    <x v="2071"/>
  </r>
  <r>
    <x v="2072"/>
  </r>
  <r>
    <x v="2073"/>
  </r>
  <r>
    <x v="2074"/>
  </r>
  <r>
    <x v="2075"/>
  </r>
  <r>
    <x v="2076"/>
  </r>
  <r>
    <x v="2077"/>
  </r>
  <r>
    <x v="2078"/>
  </r>
  <r>
    <x v="2079"/>
  </r>
  <r>
    <x v="2080"/>
  </r>
  <r>
    <x v="2081"/>
  </r>
  <r>
    <x v="2082"/>
  </r>
  <r>
    <x v="2083"/>
  </r>
  <r>
    <x v="2084"/>
  </r>
  <r>
    <x v="2085"/>
  </r>
  <r>
    <x v="2086"/>
  </r>
  <r>
    <x v="2087"/>
  </r>
  <r>
    <x v="2088"/>
  </r>
  <r>
    <x v="2089"/>
  </r>
  <r>
    <x v="2090"/>
  </r>
  <r>
    <x v="2091"/>
  </r>
  <r>
    <x v="2092"/>
  </r>
  <r>
    <x v="2093"/>
  </r>
  <r>
    <x v="2094"/>
  </r>
  <r>
    <x v="2095"/>
  </r>
  <r>
    <x v="2096"/>
  </r>
  <r>
    <x v="2097"/>
  </r>
  <r>
    <x v="2098"/>
  </r>
  <r>
    <x v="2099"/>
  </r>
  <r>
    <x v="2100"/>
  </r>
  <r>
    <x v="2101"/>
  </r>
  <r>
    <x v="2102"/>
  </r>
  <r>
    <x v="2103"/>
  </r>
  <r>
    <x v="2104"/>
  </r>
  <r>
    <x v="2105"/>
  </r>
  <r>
    <x v="2106"/>
  </r>
  <r>
    <x v="2107"/>
  </r>
  <r>
    <x v="2108"/>
  </r>
  <r>
    <x v="2109"/>
  </r>
  <r>
    <x v="2110"/>
  </r>
  <r>
    <x v="2111"/>
  </r>
  <r>
    <x v="2112"/>
  </r>
  <r>
    <x v="2113"/>
  </r>
  <r>
    <x v="2114"/>
  </r>
  <r>
    <x v="2115"/>
  </r>
  <r>
    <x v="2116"/>
  </r>
  <r>
    <x v="2117"/>
  </r>
  <r>
    <x v="2118"/>
  </r>
  <r>
    <x v="2119"/>
  </r>
  <r>
    <x v="2120"/>
  </r>
  <r>
    <x v="2121"/>
  </r>
  <r>
    <x v="2122"/>
  </r>
  <r>
    <x v="2123"/>
  </r>
  <r>
    <x v="2124"/>
  </r>
  <r>
    <x v="2125"/>
  </r>
  <r>
    <x v="2126"/>
  </r>
  <r>
    <x v="2127"/>
  </r>
  <r>
    <x v="2128"/>
  </r>
  <r>
    <x v="2129"/>
  </r>
  <r>
    <x v="2130"/>
  </r>
  <r>
    <x v="2131"/>
  </r>
  <r>
    <x v="2132"/>
  </r>
  <r>
    <x v="152"/>
  </r>
  <r>
    <x v="2133"/>
  </r>
  <r>
    <x v="2134"/>
  </r>
  <r>
    <x v="2135"/>
  </r>
  <r>
    <x v="2136"/>
  </r>
  <r>
    <x v="2137"/>
  </r>
  <r>
    <x v="2138"/>
  </r>
  <r>
    <x v="2139"/>
  </r>
  <r>
    <x v="2106"/>
  </r>
  <r>
    <x v="2140"/>
  </r>
  <r>
    <x v="2141"/>
  </r>
  <r>
    <x v="2142"/>
  </r>
  <r>
    <x v="2143"/>
  </r>
  <r>
    <x v="2144"/>
  </r>
  <r>
    <x v="2145"/>
  </r>
  <r>
    <x v="2146"/>
  </r>
  <r>
    <x v="2147"/>
  </r>
  <r>
    <x v="2148"/>
  </r>
  <r>
    <x v="2149"/>
  </r>
  <r>
    <x v="2150"/>
  </r>
  <r>
    <x v="2151"/>
  </r>
  <r>
    <x v="2152"/>
  </r>
  <r>
    <x v="2153"/>
  </r>
  <r>
    <x v="2154"/>
  </r>
  <r>
    <x v="2155"/>
  </r>
  <r>
    <x v="2156"/>
  </r>
  <r>
    <x v="2157"/>
  </r>
  <r>
    <x v="2158"/>
  </r>
  <r>
    <x v="2159"/>
  </r>
  <r>
    <x v="2160"/>
  </r>
  <r>
    <x v="2161"/>
  </r>
  <r>
    <x v="2162"/>
  </r>
  <r>
    <x v="2163"/>
  </r>
  <r>
    <x v="2164"/>
  </r>
  <r>
    <x v="2165"/>
  </r>
  <r>
    <x v="2166"/>
  </r>
  <r>
    <x v="2167"/>
  </r>
  <r>
    <x v="2168"/>
  </r>
  <r>
    <x v="2169"/>
  </r>
  <r>
    <x v="2170"/>
  </r>
  <r>
    <x v="2171"/>
  </r>
  <r>
    <x v="2172"/>
  </r>
  <r>
    <x v="2173"/>
  </r>
  <r>
    <x v="2174"/>
  </r>
  <r>
    <x v="2175"/>
  </r>
  <r>
    <x v="2176"/>
  </r>
  <r>
    <x v="2177"/>
  </r>
  <r>
    <x v="2178"/>
  </r>
  <r>
    <x v="2179"/>
  </r>
  <r>
    <x v="2180"/>
  </r>
  <r>
    <x v="2181"/>
  </r>
  <r>
    <x v="2182"/>
  </r>
  <r>
    <x v="2183"/>
  </r>
  <r>
    <x v="2184"/>
  </r>
  <r>
    <x v="2185"/>
  </r>
  <r>
    <x v="2186"/>
  </r>
  <r>
    <x v="2187"/>
  </r>
  <r>
    <x v="2188"/>
  </r>
  <r>
    <x v="2189"/>
  </r>
  <r>
    <x v="2190"/>
  </r>
  <r>
    <x v="2191"/>
  </r>
  <r>
    <x v="2192"/>
  </r>
  <r>
    <x v="2193"/>
  </r>
  <r>
    <x v="2194"/>
  </r>
  <r>
    <x v="2195"/>
  </r>
  <r>
    <x v="2196"/>
  </r>
  <r>
    <x v="2197"/>
  </r>
  <r>
    <x v="2198"/>
  </r>
  <r>
    <x v="2185"/>
  </r>
  <r>
    <x v="2199"/>
  </r>
  <r>
    <x v="2200"/>
  </r>
  <r>
    <x v="2201"/>
  </r>
  <r>
    <x v="2202"/>
  </r>
  <r>
    <x v="2203"/>
  </r>
  <r>
    <x v="2204"/>
  </r>
  <r>
    <x v="2205"/>
  </r>
  <r>
    <x v="2206"/>
  </r>
  <r>
    <x v="2207"/>
  </r>
  <r>
    <x v="2208"/>
  </r>
  <r>
    <x v="2209"/>
  </r>
  <r>
    <x v="2210"/>
  </r>
  <r>
    <x v="2211"/>
  </r>
  <r>
    <x v="2212"/>
  </r>
  <r>
    <x v="2213"/>
  </r>
  <r>
    <x v="2214"/>
  </r>
  <r>
    <x v="2215"/>
  </r>
  <r>
    <x v="2216"/>
  </r>
  <r>
    <x v="2217"/>
  </r>
  <r>
    <x v="2218"/>
  </r>
  <r>
    <x v="2219"/>
  </r>
  <r>
    <x v="2220"/>
  </r>
  <r>
    <x v="2221"/>
  </r>
  <r>
    <x v="2222"/>
  </r>
  <r>
    <x v="2223"/>
  </r>
  <r>
    <x v="2224"/>
  </r>
  <r>
    <x v="2225"/>
  </r>
  <r>
    <x v="2226"/>
  </r>
  <r>
    <x v="2227"/>
  </r>
  <r>
    <x v="2228"/>
  </r>
  <r>
    <x v="2229"/>
  </r>
  <r>
    <x v="2230"/>
  </r>
  <r>
    <x v="2231"/>
  </r>
  <r>
    <x v="2232"/>
  </r>
  <r>
    <x v="2233"/>
  </r>
  <r>
    <x v="2234"/>
  </r>
  <r>
    <x v="2235"/>
  </r>
  <r>
    <x v="2072"/>
  </r>
  <r>
    <x v="2236"/>
  </r>
  <r>
    <x v="2237"/>
  </r>
  <r>
    <x v="2238"/>
  </r>
  <r>
    <x v="2239"/>
  </r>
  <r>
    <x v="2240"/>
  </r>
  <r>
    <x v="2241"/>
  </r>
  <r>
    <x v="2242"/>
  </r>
  <r>
    <x v="2243"/>
  </r>
  <r>
    <x v="2244"/>
  </r>
  <r>
    <x v="2245"/>
  </r>
  <r>
    <x v="2246"/>
  </r>
  <r>
    <x v="2247"/>
  </r>
  <r>
    <x v="2248"/>
  </r>
  <r>
    <x v="2249"/>
  </r>
  <r>
    <x v="2250"/>
  </r>
  <r>
    <x v="2251"/>
  </r>
  <r>
    <x v="2252"/>
  </r>
  <r>
    <x v="2253"/>
  </r>
  <r>
    <x v="2254"/>
  </r>
  <r>
    <x v="2255"/>
  </r>
  <r>
    <x v="1001"/>
  </r>
  <r>
    <x v="2256"/>
  </r>
  <r>
    <x v="2257"/>
  </r>
  <r>
    <x v="2258"/>
  </r>
  <r>
    <x v="2259"/>
  </r>
  <r>
    <x v="2260"/>
  </r>
  <r>
    <x v="2261"/>
  </r>
  <r>
    <x v="444"/>
  </r>
  <r>
    <x v="2262"/>
  </r>
  <r>
    <x v="2263"/>
  </r>
  <r>
    <x v="2264"/>
  </r>
  <r>
    <x v="2265"/>
  </r>
  <r>
    <x v="2266"/>
  </r>
  <r>
    <x v="2267"/>
  </r>
  <r>
    <x v="2268"/>
  </r>
  <r>
    <x v="2269"/>
  </r>
  <r>
    <x v="2270"/>
  </r>
  <r>
    <x v="2271"/>
  </r>
  <r>
    <x v="2272"/>
  </r>
  <r>
    <x v="2273"/>
  </r>
  <r>
    <x v="2274"/>
  </r>
  <r>
    <x v="2275"/>
  </r>
  <r>
    <x v="2276"/>
  </r>
  <r>
    <x v="2277"/>
  </r>
  <r>
    <x v="2267"/>
  </r>
  <r>
    <x v="2278"/>
  </r>
  <r>
    <x v="2279"/>
  </r>
  <r>
    <x v="2280"/>
  </r>
  <r>
    <x v="2281"/>
  </r>
  <r>
    <x v="2282"/>
  </r>
  <r>
    <x v="2283"/>
  </r>
  <r>
    <x v="2284"/>
  </r>
  <r>
    <x v="2285"/>
  </r>
  <r>
    <x v="2286"/>
  </r>
  <r>
    <x v="2287"/>
  </r>
  <r>
    <x v="2288"/>
  </r>
  <r>
    <x v="2289"/>
  </r>
  <r>
    <x v="2290"/>
  </r>
  <r>
    <x v="2291"/>
  </r>
  <r>
    <x v="2292"/>
  </r>
  <r>
    <x v="2293"/>
  </r>
  <r>
    <x v="2294"/>
  </r>
  <r>
    <x v="2295"/>
  </r>
  <r>
    <x v="2296"/>
  </r>
  <r>
    <x v="2297"/>
  </r>
  <r>
    <x v="2298"/>
  </r>
  <r>
    <x v="2299"/>
  </r>
  <r>
    <x v="2300"/>
  </r>
  <r>
    <x v="2301"/>
  </r>
  <r>
    <x v="2302"/>
  </r>
  <r>
    <x v="2303"/>
  </r>
  <r>
    <x v="2304"/>
  </r>
  <r>
    <x v="2305"/>
  </r>
  <r>
    <x v="2306"/>
  </r>
  <r>
    <x v="2307"/>
  </r>
  <r>
    <x v="746"/>
  </r>
  <r>
    <x v="2308"/>
  </r>
  <r>
    <x v="2309"/>
  </r>
  <r>
    <x v="2310"/>
  </r>
  <r>
    <x v="2311"/>
  </r>
  <r>
    <x v="2312"/>
  </r>
  <r>
    <x v="2313"/>
  </r>
  <r>
    <x v="2314"/>
  </r>
  <r>
    <x v="2315"/>
  </r>
  <r>
    <x v="2316"/>
  </r>
  <r>
    <x v="2317"/>
  </r>
  <r>
    <x v="2318"/>
  </r>
  <r>
    <x v="2319"/>
  </r>
  <r>
    <x v="2320"/>
  </r>
  <r>
    <x v="2321"/>
  </r>
  <r>
    <x v="2322"/>
  </r>
  <r>
    <x v="2323"/>
  </r>
  <r>
    <x v="2324"/>
  </r>
  <r>
    <x v="2325"/>
  </r>
  <r>
    <x v="2326"/>
  </r>
  <r>
    <x v="2327"/>
  </r>
  <r>
    <x v="2328"/>
  </r>
  <r>
    <x v="2329"/>
  </r>
  <r>
    <x v="2330"/>
  </r>
  <r>
    <x v="2331"/>
  </r>
  <r>
    <x v="2332"/>
  </r>
  <r>
    <x v="2333"/>
  </r>
  <r>
    <x v="2334"/>
  </r>
  <r>
    <x v="2335"/>
  </r>
  <r>
    <x v="2336"/>
  </r>
  <r>
    <x v="2337"/>
  </r>
  <r>
    <x v="2338"/>
  </r>
  <r>
    <x v="2339"/>
  </r>
  <r>
    <x v="2340"/>
  </r>
  <r>
    <x v="2341"/>
  </r>
  <r>
    <x v="968"/>
  </r>
  <r>
    <x v="2342"/>
  </r>
  <r>
    <x v="2343"/>
  </r>
  <r>
    <x v="2344"/>
  </r>
  <r>
    <x v="2345"/>
  </r>
  <r>
    <x v="2346"/>
  </r>
  <r>
    <x v="2347"/>
  </r>
  <r>
    <x v="2348"/>
  </r>
  <r>
    <x v="2349"/>
  </r>
  <r>
    <x v="2350"/>
  </r>
  <r>
    <x v="2351"/>
  </r>
  <r>
    <x v="2352"/>
  </r>
  <r>
    <x v="2353"/>
  </r>
  <r>
    <x v="2354"/>
  </r>
  <r>
    <x v="809"/>
  </r>
  <r>
    <x v="2355"/>
  </r>
  <r>
    <x v="2356"/>
  </r>
  <r>
    <x v="2357"/>
  </r>
  <r>
    <x v="2358"/>
  </r>
  <r>
    <x v="2359"/>
  </r>
  <r>
    <x v="2360"/>
  </r>
  <r>
    <x v="2361"/>
  </r>
  <r>
    <x v="2362"/>
  </r>
  <r>
    <x v="2363"/>
  </r>
  <r>
    <x v="2364"/>
  </r>
  <r>
    <x v="2365"/>
  </r>
  <r>
    <x v="2366"/>
  </r>
  <r>
    <x v="2367"/>
  </r>
  <r>
    <x v="2368"/>
  </r>
  <r>
    <x v="2369"/>
  </r>
  <r>
    <x v="2370"/>
  </r>
  <r>
    <x v="2371"/>
  </r>
  <r>
    <x v="2372"/>
  </r>
  <r>
    <x v="2373"/>
  </r>
  <r>
    <x v="2374"/>
  </r>
  <r>
    <x v="2375"/>
  </r>
  <r>
    <x v="2376"/>
  </r>
  <r>
    <x v="2377"/>
  </r>
  <r>
    <x v="2378"/>
  </r>
  <r>
    <x v="2379"/>
  </r>
  <r>
    <x v="2380"/>
  </r>
  <r>
    <x v="2381"/>
  </r>
  <r>
    <x v="2382"/>
  </r>
  <r>
    <x v="2383"/>
  </r>
  <r>
    <x v="2384"/>
  </r>
  <r>
    <x v="2385"/>
  </r>
  <r>
    <x v="2386"/>
  </r>
  <r>
    <x v="2387"/>
  </r>
  <r>
    <x v="2388"/>
  </r>
  <r>
    <x v="2389"/>
  </r>
  <r>
    <x v="2390"/>
  </r>
  <r>
    <x v="2391"/>
  </r>
  <r>
    <x v="2392"/>
  </r>
  <r>
    <x v="2393"/>
  </r>
  <r>
    <x v="2394"/>
  </r>
  <r>
    <x v="2395"/>
  </r>
  <r>
    <x v="2396"/>
  </r>
  <r>
    <x v="2397"/>
  </r>
  <r>
    <x v="2398"/>
  </r>
  <r>
    <x v="2399"/>
  </r>
  <r>
    <x v="2400"/>
  </r>
  <r>
    <x v="2401"/>
  </r>
  <r>
    <x v="2402"/>
  </r>
  <r>
    <x v="2403"/>
  </r>
  <r>
    <x v="2404"/>
  </r>
  <r>
    <x v="2405"/>
  </r>
  <r>
    <x v="2406"/>
  </r>
  <r>
    <x v="2407"/>
  </r>
  <r>
    <x v="2408"/>
  </r>
  <r>
    <x v="2409"/>
  </r>
  <r>
    <x v="2410"/>
  </r>
  <r>
    <x v="2411"/>
  </r>
  <r>
    <x v="2412"/>
  </r>
  <r>
    <x v="2413"/>
  </r>
  <r>
    <x v="2414"/>
  </r>
  <r>
    <x v="1533"/>
  </r>
  <r>
    <x v="2415"/>
  </r>
  <r>
    <x v="2416"/>
  </r>
  <r>
    <x v="2417"/>
  </r>
  <r>
    <x v="2418"/>
  </r>
  <r>
    <x v="2419"/>
  </r>
  <r>
    <x v="2420"/>
  </r>
  <r>
    <x v="2421"/>
  </r>
  <r>
    <x v="2422"/>
  </r>
  <r>
    <x v="2423"/>
  </r>
  <r>
    <x v="2424"/>
  </r>
  <r>
    <x v="2425"/>
  </r>
  <r>
    <x v="2426"/>
  </r>
  <r>
    <x v="2427"/>
  </r>
  <r>
    <x v="2428"/>
  </r>
  <r>
    <x v="2429"/>
  </r>
  <r>
    <x v="2430"/>
  </r>
  <r>
    <x v="2431"/>
  </r>
  <r>
    <x v="2432"/>
  </r>
  <r>
    <x v="2433"/>
  </r>
  <r>
    <x v="2434"/>
  </r>
  <r>
    <x v="2435"/>
  </r>
  <r>
    <x v="2436"/>
  </r>
  <r>
    <x v="2437"/>
  </r>
  <r>
    <x v="2438"/>
  </r>
  <r>
    <x v="2439"/>
  </r>
  <r>
    <x v="2440"/>
  </r>
  <r>
    <x v="2441"/>
  </r>
  <r>
    <x v="1751"/>
  </r>
  <r>
    <x v="2442"/>
  </r>
  <r>
    <x v="2443"/>
  </r>
  <r>
    <x v="2444"/>
  </r>
  <r>
    <x v="2445"/>
  </r>
  <r>
    <x v="2446"/>
  </r>
  <r>
    <x v="2447"/>
  </r>
  <r>
    <x v="2448"/>
  </r>
  <r>
    <x v="2449"/>
  </r>
  <r>
    <x v="2450"/>
  </r>
  <r>
    <x v="2451"/>
  </r>
  <r>
    <x v="2452"/>
  </r>
  <r>
    <x v="2453"/>
  </r>
  <r>
    <x v="2454"/>
  </r>
  <r>
    <x v="2455"/>
  </r>
  <r>
    <x v="2456"/>
  </r>
  <r>
    <x v="2457"/>
  </r>
  <r>
    <x v="2458"/>
  </r>
  <r>
    <x v="2459"/>
  </r>
  <r>
    <x v="2460"/>
  </r>
  <r>
    <x v="2461"/>
  </r>
  <r>
    <x v="2462"/>
  </r>
  <r>
    <x v="2463"/>
  </r>
  <r>
    <x v="2464"/>
  </r>
  <r>
    <x v="2465"/>
  </r>
  <r>
    <x v="2466"/>
  </r>
  <r>
    <x v="2467"/>
  </r>
  <r>
    <x v="2468"/>
  </r>
  <r>
    <x v="2296"/>
  </r>
  <r>
    <x v="2469"/>
  </r>
  <r>
    <x v="2395"/>
  </r>
  <r>
    <x v="2470"/>
  </r>
  <r>
    <x v="2471"/>
  </r>
  <r>
    <x v="2472"/>
  </r>
  <r>
    <x v="2473"/>
  </r>
  <r>
    <x v="2474"/>
  </r>
  <r>
    <x v="2475"/>
  </r>
  <r>
    <x v="2476"/>
  </r>
  <r>
    <x v="2477"/>
  </r>
  <r>
    <x v="2478"/>
  </r>
  <r>
    <x v="2479"/>
  </r>
  <r>
    <x v="2480"/>
  </r>
  <r>
    <x v="2481"/>
  </r>
  <r>
    <x v="2482"/>
  </r>
  <r>
    <x v="2483"/>
  </r>
  <r>
    <x v="2484"/>
  </r>
  <r>
    <x v="2485"/>
  </r>
  <r>
    <x v="2486"/>
  </r>
  <r>
    <x v="2487"/>
  </r>
  <r>
    <x v="2488"/>
  </r>
  <r>
    <x v="2489"/>
  </r>
  <r>
    <x v="2490"/>
  </r>
  <r>
    <x v="2491"/>
  </r>
  <r>
    <x v="2492"/>
  </r>
  <r>
    <x v="2493"/>
  </r>
  <r>
    <x v="2494"/>
  </r>
  <r>
    <x v="2495"/>
  </r>
  <r>
    <x v="2496"/>
  </r>
  <r>
    <x v="2497"/>
  </r>
  <r>
    <x v="2493"/>
  </r>
  <r>
    <x v="2498"/>
  </r>
  <r>
    <x v="2499"/>
  </r>
  <r>
    <x v="2500"/>
  </r>
  <r>
    <x v="2501"/>
  </r>
  <r>
    <x v="2502"/>
  </r>
  <r>
    <x v="2503"/>
  </r>
  <r>
    <x v="2504"/>
  </r>
  <r>
    <x v="2505"/>
  </r>
  <r>
    <x v="2506"/>
  </r>
  <r>
    <x v="2507"/>
  </r>
  <r>
    <x v="2508"/>
  </r>
  <r>
    <x v="2509"/>
  </r>
  <r>
    <x v="2510"/>
  </r>
  <r>
    <x v="2511"/>
  </r>
  <r>
    <x v="2512"/>
  </r>
  <r>
    <x v="2513"/>
  </r>
  <r>
    <x v="2514"/>
  </r>
  <r>
    <x v="2515"/>
  </r>
  <r>
    <x v="2516"/>
  </r>
  <r>
    <x v="2517"/>
  </r>
  <r>
    <x v="2518"/>
  </r>
  <r>
    <x v="2519"/>
  </r>
  <r>
    <x v="2520"/>
  </r>
  <r>
    <x v="2521"/>
  </r>
  <r>
    <x v="2522"/>
  </r>
  <r>
    <x v="2523"/>
  </r>
  <r>
    <x v="2524"/>
  </r>
  <r>
    <x v="2525"/>
  </r>
  <r>
    <x v="1304"/>
  </r>
  <r>
    <x v="2526"/>
  </r>
  <r>
    <x v="2527"/>
  </r>
  <r>
    <x v="2528"/>
  </r>
  <r>
    <x v="2529"/>
  </r>
  <r>
    <x v="2530"/>
  </r>
  <r>
    <x v="2531"/>
  </r>
  <r>
    <x v="2532"/>
  </r>
  <r>
    <x v="2533"/>
  </r>
  <r>
    <x v="2534"/>
  </r>
  <r>
    <x v="2535"/>
  </r>
  <r>
    <x v="2536"/>
  </r>
  <r>
    <x v="2537"/>
  </r>
  <r>
    <x v="2538"/>
  </r>
  <r>
    <x v="2539"/>
  </r>
  <r>
    <x v="2540"/>
  </r>
  <r>
    <x v="2541"/>
  </r>
  <r>
    <x v="2542"/>
  </r>
  <r>
    <x v="2543"/>
  </r>
  <r>
    <x v="2544"/>
  </r>
  <r>
    <x v="2545"/>
  </r>
  <r>
    <x v="2546"/>
  </r>
  <r>
    <x v="2547"/>
  </r>
  <r>
    <x v="2548"/>
  </r>
  <r>
    <x v="2549"/>
  </r>
  <r>
    <x v="2550"/>
  </r>
  <r>
    <x v="2551"/>
  </r>
  <r>
    <x v="2552"/>
  </r>
  <r>
    <x v="2553"/>
  </r>
  <r>
    <x v="2554"/>
  </r>
  <r>
    <x v="2555"/>
  </r>
  <r>
    <x v="2556"/>
  </r>
  <r>
    <x v="2557"/>
  </r>
  <r>
    <x v="2558"/>
  </r>
  <r>
    <x v="2559"/>
  </r>
  <r>
    <x v="2560"/>
  </r>
  <r>
    <x v="1490"/>
  </r>
  <r>
    <x v="2561"/>
  </r>
  <r>
    <x v="2562"/>
  </r>
  <r>
    <x v="2563"/>
  </r>
  <r>
    <x v="2564"/>
  </r>
  <r>
    <x v="2565"/>
  </r>
  <r>
    <x v="2566"/>
  </r>
  <r>
    <x v="2567"/>
  </r>
  <r>
    <x v="2568"/>
  </r>
  <r>
    <x v="2569"/>
  </r>
  <r>
    <x v="2570"/>
  </r>
  <r>
    <x v="2571"/>
  </r>
  <r>
    <x v="2572"/>
  </r>
  <r>
    <x v="2573"/>
  </r>
  <r>
    <x v="2574"/>
  </r>
  <r>
    <x v="2575"/>
  </r>
  <r>
    <x v="2576"/>
  </r>
  <r>
    <x v="2577"/>
  </r>
  <r>
    <x v="2578"/>
  </r>
  <r>
    <x v="2579"/>
  </r>
  <r>
    <x v="2580"/>
  </r>
  <r>
    <x v="2581"/>
  </r>
  <r>
    <x v="2582"/>
  </r>
  <r>
    <x v="2583"/>
  </r>
  <r>
    <x v="2584"/>
  </r>
  <r>
    <x v="2585"/>
  </r>
  <r>
    <x v="2586"/>
  </r>
  <r>
    <x v="2587"/>
  </r>
  <r>
    <x v="2588"/>
  </r>
  <r>
    <x v="2589"/>
  </r>
  <r>
    <x v="2590"/>
  </r>
  <r>
    <x v="2591"/>
  </r>
  <r>
    <x v="2592"/>
  </r>
  <r>
    <x v="2593"/>
  </r>
  <r>
    <x v="2594"/>
  </r>
  <r>
    <x v="2595"/>
  </r>
  <r>
    <x v="2596"/>
  </r>
  <r>
    <x v="2597"/>
  </r>
  <r>
    <x v="2598"/>
  </r>
  <r>
    <x v="2599"/>
  </r>
  <r>
    <x v="2600"/>
  </r>
  <r>
    <x v="2601"/>
  </r>
  <r>
    <x v="2602"/>
  </r>
  <r>
    <x v="2603"/>
  </r>
  <r>
    <x v="2604"/>
  </r>
  <r>
    <x v="2605"/>
  </r>
  <r>
    <x v="2606"/>
  </r>
  <r>
    <x v="2607"/>
  </r>
  <r>
    <x v="2608"/>
  </r>
  <r>
    <x v="2609"/>
  </r>
  <r>
    <x v="2610"/>
  </r>
  <r>
    <x v="2611"/>
  </r>
  <r>
    <x v="2612"/>
  </r>
  <r>
    <x v="2613"/>
  </r>
  <r>
    <x v="2614"/>
  </r>
  <r>
    <x v="2615"/>
  </r>
  <r>
    <x v="202"/>
  </r>
  <r>
    <x v="2616"/>
  </r>
  <r>
    <x v="2617"/>
  </r>
  <r>
    <x v="2618"/>
  </r>
  <r>
    <x v="2619"/>
  </r>
  <r>
    <x v="2620"/>
  </r>
  <r>
    <x v="2621"/>
  </r>
  <r>
    <x v="2622"/>
  </r>
  <r>
    <x v="2623"/>
  </r>
  <r>
    <x v="2624"/>
  </r>
  <r>
    <x v="2625"/>
  </r>
  <r>
    <x v="2626"/>
  </r>
  <r>
    <x v="2627"/>
  </r>
  <r>
    <x v="2628"/>
  </r>
  <r>
    <x v="2629"/>
  </r>
  <r>
    <x v="2630"/>
  </r>
  <r>
    <x v="2631"/>
  </r>
  <r>
    <x v="2632"/>
  </r>
  <r>
    <x v="2633"/>
  </r>
  <r>
    <x v="2634"/>
  </r>
  <r>
    <x v="2635"/>
  </r>
  <r>
    <x v="2636"/>
  </r>
  <r>
    <x v="1683"/>
  </r>
  <r>
    <x v="2637"/>
  </r>
  <r>
    <x v="2638"/>
  </r>
  <r>
    <x v="2639"/>
  </r>
  <r>
    <x v="2640"/>
  </r>
  <r>
    <x v="2641"/>
  </r>
  <r>
    <x v="2642"/>
  </r>
  <r>
    <x v="2643"/>
  </r>
  <r>
    <x v="2644"/>
  </r>
  <r>
    <x v="2645"/>
  </r>
  <r>
    <x v="2646"/>
  </r>
  <r>
    <x v="2647"/>
  </r>
  <r>
    <x v="2648"/>
  </r>
  <r>
    <x v="2649"/>
  </r>
  <r>
    <x v="2650"/>
  </r>
  <r>
    <x v="2651"/>
  </r>
  <r>
    <x v="2652"/>
  </r>
  <r>
    <x v="2653"/>
  </r>
  <r>
    <x v="2654"/>
  </r>
  <r>
    <x v="2655"/>
  </r>
  <r>
    <x v="2656"/>
  </r>
  <r>
    <x v="2657"/>
  </r>
  <r>
    <x v="2658"/>
  </r>
  <r>
    <x v="2659"/>
  </r>
  <r>
    <x v="2660"/>
  </r>
  <r>
    <x v="2661"/>
  </r>
  <r>
    <x v="2662"/>
  </r>
  <r>
    <x v="2663"/>
  </r>
  <r>
    <x v="2664"/>
  </r>
  <r>
    <x v="2665"/>
  </r>
  <r>
    <x v="2666"/>
  </r>
  <r>
    <x v="2667"/>
  </r>
  <r>
    <x v="45"/>
  </r>
  <r>
    <x v="2668"/>
  </r>
  <r>
    <x v="2669"/>
  </r>
  <r>
    <x v="2670"/>
  </r>
  <r>
    <x v="2671"/>
  </r>
  <r>
    <x v="2672"/>
  </r>
  <r>
    <x v="2673"/>
  </r>
  <r>
    <x v="2674"/>
  </r>
  <r>
    <x v="2675"/>
  </r>
  <r>
    <x v="2676"/>
  </r>
  <r>
    <x v="2677"/>
  </r>
  <r>
    <x v="390"/>
  </r>
  <r>
    <x v="2678"/>
  </r>
  <r>
    <x v="2679"/>
  </r>
  <r>
    <x v="2680"/>
  </r>
  <r>
    <x v="2681"/>
  </r>
  <r>
    <x v="2682"/>
  </r>
  <r>
    <x v="2683"/>
  </r>
  <r>
    <x v="2684"/>
  </r>
  <r>
    <x v="2685"/>
  </r>
  <r>
    <x v="2686"/>
  </r>
  <r>
    <x v="2687"/>
  </r>
  <r>
    <x v="2688"/>
  </r>
  <r>
    <x v="2689"/>
  </r>
  <r>
    <x v="2690"/>
  </r>
  <r>
    <x v="2691"/>
  </r>
  <r>
    <x v="2692"/>
  </r>
  <r>
    <x v="2693"/>
  </r>
  <r>
    <x v="2694"/>
  </r>
  <r>
    <x v="2695"/>
  </r>
  <r>
    <x v="2696"/>
  </r>
  <r>
    <x v="2697"/>
  </r>
  <r>
    <x v="2698"/>
  </r>
  <r>
    <x v="2699"/>
  </r>
  <r>
    <x v="2700"/>
  </r>
  <r>
    <x v="2701"/>
  </r>
  <r>
    <x v="2702"/>
  </r>
  <r>
    <x v="2703"/>
  </r>
  <r>
    <x v="2704"/>
  </r>
  <r>
    <x v="2705"/>
  </r>
  <r>
    <x v="2706"/>
  </r>
  <r>
    <x v="2707"/>
  </r>
  <r>
    <x v="2708"/>
  </r>
  <r>
    <x v="2709"/>
  </r>
  <r>
    <x v="2710"/>
  </r>
  <r>
    <x v="2711"/>
  </r>
  <r>
    <x v="2712"/>
  </r>
  <r>
    <x v="2713"/>
  </r>
  <r>
    <x v="2714"/>
  </r>
  <r>
    <x v="2715"/>
  </r>
  <r>
    <x v="2716"/>
  </r>
  <r>
    <x v="2717"/>
  </r>
  <r>
    <x v="2718"/>
  </r>
  <r>
    <x v="2719"/>
  </r>
  <r>
    <x v="2720"/>
  </r>
  <r>
    <x v="2721"/>
  </r>
  <r>
    <x v="2722"/>
  </r>
  <r>
    <x v="2723"/>
  </r>
  <r>
    <x v="2724"/>
  </r>
  <r>
    <x v="2725"/>
  </r>
  <r>
    <x v="2726"/>
  </r>
  <r>
    <x v="2727"/>
  </r>
  <r>
    <x v="2728"/>
  </r>
  <r>
    <x v="2729"/>
  </r>
  <r>
    <x v="2730"/>
  </r>
  <r>
    <x v="2731"/>
  </r>
  <r>
    <x v="2685"/>
  </r>
  <r>
    <x v="2732"/>
  </r>
  <r>
    <x v="2733"/>
  </r>
  <r>
    <x v="2734"/>
  </r>
  <r>
    <x v="2735"/>
  </r>
  <r>
    <x v="2736"/>
  </r>
  <r>
    <x v="2737"/>
  </r>
  <r>
    <x v="2738"/>
  </r>
  <r>
    <x v="2739"/>
  </r>
  <r>
    <x v="2740"/>
  </r>
  <r>
    <x v="2741"/>
  </r>
  <r>
    <x v="2742"/>
  </r>
  <r>
    <x v="2743"/>
  </r>
  <r>
    <x v="45"/>
  </r>
  <r>
    <x v="2744"/>
  </r>
  <r>
    <x v="2745"/>
  </r>
  <r>
    <x v="2746"/>
  </r>
  <r>
    <x v="2747"/>
  </r>
  <r>
    <x v="2748"/>
  </r>
  <r>
    <x v="2749"/>
  </r>
  <r>
    <x v="2750"/>
  </r>
  <r>
    <x v="1842"/>
  </r>
  <r>
    <x v="2751"/>
  </r>
  <r>
    <x v="2752"/>
  </r>
  <r>
    <x v="2753"/>
  </r>
  <r>
    <x v="2754"/>
  </r>
  <r>
    <x v="2755"/>
  </r>
  <r>
    <x v="2756"/>
  </r>
  <r>
    <x v="2757"/>
  </r>
  <r>
    <x v="2758"/>
  </r>
  <r>
    <x v="2759"/>
  </r>
  <r>
    <x v="2760"/>
  </r>
  <r>
    <x v="2761"/>
  </r>
  <r>
    <x v="2762"/>
  </r>
  <r>
    <x v="1916"/>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pivotCacheRecords>
</file>

<file path=xl/pivotCache/pivotCacheRecords3.xml><?xml version="1.0" encoding="utf-8"?>
<pivotCacheRecords xmlns="http://schemas.openxmlformats.org/spreadsheetml/2006/main" xmlns:r="http://schemas.openxmlformats.org/officeDocument/2006/relationships" count="2832">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1"/>
  </r>
  <r>
    <x v="1"/>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2"/>
  </r>
  <r>
    <x v="1"/>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4"/>
  </r>
  <r>
    <x v="4"/>
  </r>
  <r>
    <x v="4"/>
  </r>
  <r>
    <x v="4"/>
  </r>
  <r>
    <x v="4"/>
  </r>
  <r>
    <x v="4"/>
  </r>
  <r>
    <x v="4"/>
  </r>
  <r>
    <x v="4"/>
  </r>
  <r>
    <x v="4"/>
  </r>
  <r>
    <x v="4"/>
  </r>
  <r>
    <x v="4"/>
  </r>
  <r>
    <x v="4"/>
  </r>
  <r>
    <x v="4"/>
  </r>
  <r>
    <x v="4"/>
  </r>
  <r>
    <x v="4"/>
  </r>
  <r>
    <x v="4"/>
  </r>
  <r>
    <x v="4"/>
  </r>
  <r>
    <x v="4"/>
  </r>
  <r>
    <x v="4"/>
  </r>
  <r>
    <x v="4"/>
  </r>
  <r>
    <x v="4"/>
  </r>
  <r>
    <x v="4"/>
  </r>
  <r>
    <x v="4"/>
  </r>
  <r>
    <x v="4"/>
  </r>
  <r>
    <x v="4"/>
  </r>
  <r>
    <x v="4"/>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2"/>
  </r>
  <r>
    <x v="2"/>
  </r>
  <r>
    <x v="2"/>
  </r>
  <r>
    <x v="2"/>
  </r>
  <r>
    <x v="2"/>
  </r>
  <r>
    <x v="2"/>
  </r>
  <r>
    <x v="2"/>
  </r>
  <r>
    <x v="2"/>
  </r>
  <r>
    <x v="2"/>
  </r>
  <r>
    <x v="2"/>
  </r>
  <r>
    <x v="2"/>
  </r>
  <r>
    <x v="2"/>
  </r>
  <r>
    <x v="2"/>
  </r>
  <r>
    <x v="2"/>
  </r>
  <r>
    <x v="2"/>
  </r>
  <r>
    <x v="2"/>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3"/>
  </r>
  <r>
    <x v="2"/>
  </r>
  <r>
    <x v="2"/>
  </r>
  <r>
    <x v="2"/>
  </r>
  <r>
    <x v="2"/>
  </r>
  <r>
    <x v="2"/>
  </r>
  <r>
    <x v="2"/>
  </r>
  <r>
    <x v="2"/>
  </r>
  <r>
    <x v="2"/>
  </r>
  <r>
    <x v="2"/>
  </r>
  <r>
    <x v="2"/>
  </r>
  <r>
    <x v="2"/>
  </r>
  <r>
    <x v="2"/>
  </r>
  <r>
    <x v="2"/>
  </r>
  <r>
    <x v="2"/>
  </r>
  <r>
    <x v="2"/>
  </r>
  <r>
    <x v="2"/>
  </r>
  <r>
    <x v="2"/>
  </r>
  <r>
    <x v="2"/>
  </r>
  <r>
    <x v="2"/>
  </r>
  <r>
    <x v="2"/>
  </r>
  <r>
    <x v="2"/>
  </r>
  <r>
    <x v="2"/>
  </r>
  <r>
    <x v="2"/>
  </r>
  <r>
    <x v="2"/>
  </r>
  <r>
    <x v="2"/>
  </r>
  <r>
    <x v="2"/>
  </r>
  <r>
    <x v="2"/>
  </r>
  <r>
    <x v="2"/>
  </r>
  <r>
    <x v="4"/>
  </r>
  <r>
    <x v="4"/>
  </r>
  <r>
    <x v="4"/>
  </r>
  <r>
    <x v="4"/>
  </r>
  <r>
    <x v="4"/>
  </r>
  <r>
    <x v="4"/>
  </r>
  <r>
    <x v="4"/>
  </r>
  <r>
    <x v="4"/>
  </r>
  <r>
    <x v="4"/>
  </r>
  <r>
    <x v="4"/>
  </r>
  <r>
    <x v="4"/>
  </r>
  <r>
    <x v="4"/>
  </r>
  <r>
    <x v="4"/>
  </r>
  <r>
    <x v="4"/>
  </r>
  <r>
    <x v="4"/>
  </r>
  <r>
    <x v="4"/>
  </r>
  <r>
    <x v="4"/>
  </r>
  <r>
    <x v="4"/>
  </r>
  <r>
    <x v="4"/>
  </r>
  <r>
    <x v="4"/>
  </r>
  <r>
    <x v="4"/>
  </r>
  <r>
    <x v="4"/>
  </r>
  <r>
    <x v="4"/>
  </r>
  <r>
    <x v="0"/>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5"/>
  </r>
  <r>
    <x v="5"/>
  </r>
  <r>
    <x v="5"/>
  </r>
  <r>
    <x v="5"/>
  </r>
  <r>
    <x v="5"/>
  </r>
  <r>
    <x v="5"/>
  </r>
  <r>
    <x v="5"/>
  </r>
  <r>
    <x v="5"/>
  </r>
  <r>
    <x v="5"/>
  </r>
  <r>
    <x v="5"/>
  </r>
  <r>
    <x v="5"/>
  </r>
  <r>
    <x v="5"/>
  </r>
  <r>
    <x v="5"/>
  </r>
  <r>
    <x v="5"/>
  </r>
  <r>
    <x v="5"/>
  </r>
  <r>
    <x v="5"/>
  </r>
  <r>
    <x v="5"/>
  </r>
  <r>
    <x v="5"/>
  </r>
  <r>
    <x v="5"/>
  </r>
  <r>
    <x v="5"/>
  </r>
  <r>
    <x v="5"/>
  </r>
  <r>
    <x v="5"/>
  </r>
  <r>
    <x v="5"/>
  </r>
  <r>
    <x v="5"/>
  </r>
  <r>
    <x v="5"/>
  </r>
  <r>
    <x v="5"/>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6"/>
  </r>
  <r>
    <x v="6"/>
  </r>
  <r>
    <x v="6"/>
  </r>
  <r>
    <x v="6"/>
  </r>
  <r>
    <x v="6"/>
  </r>
  <r>
    <x v="6"/>
  </r>
  <r>
    <x v="6"/>
  </r>
  <r>
    <x v="6"/>
  </r>
  <r>
    <x v="6"/>
  </r>
  <r>
    <x v="6"/>
  </r>
  <r>
    <x v="6"/>
  </r>
  <r>
    <x v="6"/>
  </r>
  <r>
    <x v="6"/>
  </r>
  <r>
    <x v="6"/>
  </r>
  <r>
    <x v="6"/>
  </r>
  <r>
    <x v="6"/>
  </r>
  <r>
    <x v="6"/>
  </r>
  <r>
    <x v="6"/>
  </r>
  <r>
    <x v="6"/>
  </r>
  <r>
    <x v="6"/>
  </r>
  <r>
    <x v="6"/>
  </r>
  <r>
    <x v="6"/>
  </r>
  <r>
    <x v="6"/>
  </r>
  <r>
    <x v="6"/>
  </r>
  <r>
    <x v="6"/>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3"/>
  </r>
  <r>
    <x v="2"/>
  </r>
  <r>
    <x v="2"/>
  </r>
  <r>
    <x v="2"/>
  </r>
  <r>
    <x v="2"/>
  </r>
  <r>
    <x v="2"/>
  </r>
  <r>
    <x v="2"/>
  </r>
  <r>
    <x v="2"/>
  </r>
  <r>
    <x v="2"/>
  </r>
  <r>
    <x v="2"/>
  </r>
  <r>
    <x v="2"/>
  </r>
  <r>
    <x v="2"/>
  </r>
  <r>
    <x v="2"/>
  </r>
  <r>
    <x v="2"/>
  </r>
  <r>
    <x v="2"/>
  </r>
  <r>
    <x v="2"/>
  </r>
  <r>
    <x v="2"/>
  </r>
  <r>
    <x v="2"/>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0"/>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4"/>
  </r>
  <r>
    <x v="4"/>
  </r>
  <r>
    <x v="4"/>
  </r>
  <r>
    <x v="4"/>
  </r>
  <r>
    <x v="4"/>
  </r>
  <r>
    <x v="4"/>
  </r>
  <r>
    <x v="4"/>
  </r>
  <r>
    <x v="4"/>
  </r>
  <r>
    <x v="4"/>
  </r>
  <r>
    <x v="4"/>
  </r>
  <r>
    <x v="4"/>
  </r>
  <r>
    <x v="4"/>
  </r>
  <r>
    <x v="4"/>
  </r>
  <r>
    <x v="4"/>
  </r>
  <r>
    <x v="4"/>
  </r>
  <r>
    <x v="4"/>
  </r>
  <r>
    <x v="4"/>
  </r>
  <r>
    <x v="4"/>
  </r>
  <r>
    <x v="4"/>
  </r>
  <r>
    <x v="4"/>
  </r>
  <r>
    <x v="4"/>
  </r>
  <r>
    <x v="4"/>
  </r>
  <r>
    <x v="4"/>
  </r>
  <r>
    <x v="3"/>
  </r>
  <r>
    <x v="3"/>
  </r>
  <r>
    <x v="3"/>
  </r>
  <r>
    <x v="3"/>
  </r>
  <r>
    <x v="3"/>
  </r>
  <r>
    <x v="3"/>
  </r>
  <r>
    <x v="3"/>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0"/>
  </r>
  <r>
    <x v="0"/>
  </r>
  <r>
    <x v="0"/>
  </r>
  <r>
    <x v="0"/>
  </r>
  <r>
    <x v="0"/>
  </r>
  <r>
    <x v="5"/>
  </r>
  <r>
    <x v="5"/>
  </r>
  <r>
    <x v="5"/>
  </r>
  <r>
    <x v="5"/>
  </r>
  <r>
    <x v="5"/>
  </r>
  <r>
    <x v="5"/>
  </r>
  <r>
    <x v="5"/>
  </r>
  <r>
    <x v="5"/>
  </r>
  <r>
    <x v="5"/>
  </r>
  <r>
    <x v="5"/>
  </r>
  <r>
    <x v="5"/>
  </r>
  <r>
    <x v="5"/>
  </r>
  <r>
    <x v="5"/>
  </r>
  <r>
    <x v="5"/>
  </r>
  <r>
    <x v="5"/>
  </r>
  <r>
    <x v="5"/>
  </r>
  <r>
    <x v="5"/>
  </r>
  <r>
    <x v="5"/>
  </r>
  <r>
    <x v="5"/>
  </r>
  <r>
    <x v="5"/>
  </r>
  <r>
    <x v="5"/>
  </r>
  <r>
    <x v="5"/>
  </r>
  <r>
    <x v="5"/>
  </r>
  <r>
    <x v="5"/>
  </r>
  <r>
    <x v="5"/>
  </r>
  <r>
    <x v="5"/>
  </r>
  <r>
    <x v="3"/>
  </r>
  <r>
    <x v="3"/>
  </r>
  <r>
    <x v="3"/>
  </r>
  <r>
    <x v="3"/>
  </r>
  <r>
    <x v="3"/>
  </r>
  <r>
    <x v="3"/>
  </r>
  <r>
    <x v="3"/>
  </r>
  <r>
    <x v="3"/>
  </r>
  <r>
    <x v="3"/>
  </r>
  <r>
    <x v="3"/>
  </r>
  <r>
    <x v="3"/>
  </r>
  <r>
    <x v="3"/>
  </r>
  <r>
    <x v="3"/>
  </r>
  <r>
    <x v="3"/>
  </r>
  <r>
    <x v="3"/>
  </r>
  <r>
    <x v="3"/>
  </r>
  <r>
    <x v="3"/>
  </r>
  <r>
    <x v="3"/>
  </r>
  <r>
    <x v="3"/>
  </r>
  <r>
    <x v="3"/>
  </r>
  <r>
    <x v="3"/>
  </r>
  <r>
    <x v="3"/>
  </r>
  <r>
    <x v="3"/>
  </r>
  <r>
    <x v="3"/>
  </r>
  <r>
    <x v="3"/>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4"/>
  </r>
  <r>
    <x v="4"/>
  </r>
  <r>
    <x v="4"/>
  </r>
  <r>
    <x v="4"/>
  </r>
  <r>
    <x v="4"/>
  </r>
  <r>
    <x v="4"/>
  </r>
  <r>
    <x v="4"/>
  </r>
  <r>
    <x v="4"/>
  </r>
  <r>
    <x v="4"/>
  </r>
  <r>
    <x v="4"/>
  </r>
  <r>
    <x v="4"/>
  </r>
  <r>
    <x v="4"/>
  </r>
  <r>
    <x v="4"/>
  </r>
  <r>
    <x v="4"/>
  </r>
  <r>
    <x v="4"/>
  </r>
  <r>
    <x v="4"/>
  </r>
  <r>
    <x v="4"/>
  </r>
  <r>
    <x v="4"/>
  </r>
  <r>
    <x v="4"/>
  </r>
  <r>
    <x v="4"/>
  </r>
  <r>
    <x v="4"/>
  </r>
  <r>
    <x v="4"/>
  </r>
  <r>
    <x v="4"/>
  </r>
  <r>
    <x v="4"/>
  </r>
  <r>
    <x v="4"/>
  </r>
  <r>
    <x v="4"/>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1"/>
  </r>
  <r>
    <x v="1"/>
  </r>
  <r>
    <x v="4"/>
  </r>
  <r>
    <x v="4"/>
  </r>
  <r>
    <x v="4"/>
  </r>
  <r>
    <x v="4"/>
  </r>
  <r>
    <x v="4"/>
  </r>
  <r>
    <x v="4"/>
  </r>
  <r>
    <x v="4"/>
  </r>
  <r>
    <x v="4"/>
  </r>
  <r>
    <x v="4"/>
  </r>
  <r>
    <x v="4"/>
  </r>
  <r>
    <x v="4"/>
  </r>
  <r>
    <x v="4"/>
  </r>
  <r>
    <x v="4"/>
  </r>
  <r>
    <x v="4"/>
  </r>
  <r>
    <x v="4"/>
  </r>
  <r>
    <x v="4"/>
  </r>
  <r>
    <x v="4"/>
  </r>
  <r>
    <x v="4"/>
  </r>
  <r>
    <x v="4"/>
  </r>
  <r>
    <x v="4"/>
  </r>
  <r>
    <x v="4"/>
  </r>
  <r>
    <x v="4"/>
  </r>
  <r>
    <x v="4"/>
  </r>
  <r>
    <x v="4"/>
  </r>
  <r>
    <x v="4"/>
  </r>
  <r>
    <x v="4"/>
  </r>
  <r>
    <x v="4"/>
  </r>
  <r>
    <x v="3"/>
  </r>
  <r>
    <x v="3"/>
  </r>
  <r>
    <x v="3"/>
  </r>
  <r>
    <x v="3"/>
  </r>
  <r>
    <x v="3"/>
  </r>
  <r>
    <x v="3"/>
  </r>
  <r>
    <x v="3"/>
  </r>
  <r>
    <x v="3"/>
  </r>
  <r>
    <x v="3"/>
  </r>
  <r>
    <x v="3"/>
  </r>
  <r>
    <x v="3"/>
  </r>
  <r>
    <x v="3"/>
  </r>
  <r>
    <x v="3"/>
  </r>
  <r>
    <x v="3"/>
  </r>
  <r>
    <x v="3"/>
  </r>
  <r>
    <x v="3"/>
  </r>
  <r>
    <x v="3"/>
  </r>
  <r>
    <x v="3"/>
  </r>
  <r>
    <x v="3"/>
  </r>
  <r>
    <x v="3"/>
  </r>
  <r>
    <x v="3"/>
  </r>
  <r>
    <x v="3"/>
  </r>
  <r>
    <x v="1"/>
  </r>
  <r>
    <x v="1"/>
  </r>
  <r>
    <x v="1"/>
  </r>
  <r>
    <x v="1"/>
  </r>
  <r>
    <x v="1"/>
  </r>
  <r>
    <x v="1"/>
  </r>
  <r>
    <x v="1"/>
  </r>
  <r>
    <x v="1"/>
  </r>
  <r>
    <x v="1"/>
  </r>
  <r>
    <x v="1"/>
  </r>
  <r>
    <x v="1"/>
  </r>
  <r>
    <x v="1"/>
  </r>
  <r>
    <x v="1"/>
  </r>
  <r>
    <x v="1"/>
  </r>
  <r>
    <x v="1"/>
  </r>
  <r>
    <x v="1"/>
  </r>
  <r>
    <x v="1"/>
  </r>
  <r>
    <x v="1"/>
  </r>
  <r>
    <x v="1"/>
  </r>
  <r>
    <x v="1"/>
  </r>
  <r>
    <x v="1"/>
  </r>
  <r>
    <x v="1"/>
  </r>
  <r>
    <x v="1"/>
  </r>
  <r>
    <x v="1"/>
  </r>
  <r>
    <x v="1"/>
  </r>
  <r>
    <x v="1"/>
  </r>
  <r>
    <x v="3"/>
  </r>
  <r>
    <x v="3"/>
  </r>
  <r>
    <x v="3"/>
  </r>
  <r>
    <x v="3"/>
  </r>
  <r>
    <x v="3"/>
  </r>
  <r>
    <x v="3"/>
  </r>
  <r>
    <x v="3"/>
  </r>
  <r>
    <x v="3"/>
  </r>
  <r>
    <x v="3"/>
  </r>
  <r>
    <x v="3"/>
  </r>
  <r>
    <x v="3"/>
  </r>
  <r>
    <x v="3"/>
  </r>
  <r>
    <x v="3"/>
  </r>
  <r>
    <x v="3"/>
  </r>
  <r>
    <x v="3"/>
  </r>
  <r>
    <x v="3"/>
  </r>
  <r>
    <x v="3"/>
  </r>
  <r>
    <x v="3"/>
  </r>
  <r>
    <x v="3"/>
  </r>
  <r>
    <x v="3"/>
  </r>
  <r>
    <x v="3"/>
  </r>
  <r>
    <x v="3"/>
  </r>
  <r>
    <x v="3"/>
  </r>
  <r>
    <x v="3"/>
  </r>
  <r>
    <x v="3"/>
  </r>
  <r>
    <x v="3"/>
  </r>
  <r>
    <x v="4"/>
  </r>
  <r>
    <x v="4"/>
  </r>
  <r>
    <x v="4"/>
  </r>
  <r>
    <x v="4"/>
  </r>
  <r>
    <x v="4"/>
  </r>
  <r>
    <x v="4"/>
  </r>
  <r>
    <x v="4"/>
  </r>
  <r>
    <x v="4"/>
  </r>
  <r>
    <x v="4"/>
  </r>
  <r>
    <x v="4"/>
  </r>
  <r>
    <x v="4"/>
  </r>
  <r>
    <x v="4"/>
  </r>
  <r>
    <x v="4"/>
  </r>
  <r>
    <x v="4"/>
  </r>
  <r>
    <x v="4"/>
  </r>
  <r>
    <x v="4"/>
  </r>
  <r>
    <x v="4"/>
  </r>
  <r>
    <x v="4"/>
  </r>
  <r>
    <x v="4"/>
  </r>
  <r>
    <x v="4"/>
  </r>
  <r>
    <x v="4"/>
  </r>
  <r>
    <x v="4"/>
  </r>
  <r>
    <x v="4"/>
  </r>
  <r>
    <x v="4"/>
  </r>
  <r>
    <x v="1"/>
  </r>
  <r>
    <x v="1"/>
  </r>
  <r>
    <x v="1"/>
  </r>
  <r>
    <x v="1"/>
  </r>
  <r>
    <x v="1"/>
  </r>
  <r>
    <x v="1"/>
  </r>
  <r>
    <x v="1"/>
  </r>
  <r>
    <x v="1"/>
  </r>
  <r>
    <x v="1"/>
  </r>
  <r>
    <x v="1"/>
  </r>
  <r>
    <x v="1"/>
  </r>
  <r>
    <x v="1"/>
  </r>
  <r>
    <x v="1"/>
  </r>
  <r>
    <x v="1"/>
  </r>
  <r>
    <x v="1"/>
  </r>
  <r>
    <x v="1"/>
  </r>
  <r>
    <x v="1"/>
  </r>
  <r>
    <x v="1"/>
  </r>
  <r>
    <x v="1"/>
  </r>
  <r>
    <x v="1"/>
  </r>
  <r>
    <x v="1"/>
  </r>
  <r>
    <x v="1"/>
  </r>
  <r>
    <x v="1"/>
  </r>
  <r>
    <x v="1"/>
  </r>
  <r>
    <x v="2"/>
  </r>
  <r>
    <x v="2"/>
  </r>
  <r>
    <x v="2"/>
  </r>
  <r>
    <x v="2"/>
  </r>
  <r>
    <x v="2"/>
  </r>
  <r>
    <x v="2"/>
  </r>
  <r>
    <x v="2"/>
  </r>
  <r>
    <x v="2"/>
  </r>
  <r>
    <x v="2"/>
  </r>
  <r>
    <x v="2"/>
  </r>
  <r>
    <x v="2"/>
  </r>
  <r>
    <x v="2"/>
  </r>
  <r>
    <x v="2"/>
  </r>
  <r>
    <x v="2"/>
  </r>
  <r>
    <x v="2"/>
  </r>
  <r>
    <x v="2"/>
  </r>
  <r>
    <x v="2"/>
  </r>
  <r>
    <x v="2"/>
  </r>
  <r>
    <x v="2"/>
  </r>
  <r>
    <x v="2"/>
  </r>
  <r>
    <x v="2"/>
  </r>
  <r>
    <x v="2"/>
  </r>
  <r>
    <x v="2"/>
  </r>
  <r>
    <x v="2"/>
  </r>
  <r>
    <x v="2"/>
  </r>
  <r>
    <x v="2"/>
  </r>
  <r>
    <x v="2"/>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0"/>
  </r>
  <r>
    <x v="2"/>
  </r>
  <r>
    <x v="2"/>
  </r>
  <r>
    <x v="2"/>
  </r>
  <r>
    <x v="2"/>
  </r>
  <r>
    <x v="2"/>
  </r>
  <r>
    <x v="2"/>
  </r>
  <r>
    <x v="2"/>
  </r>
  <r>
    <x v="2"/>
  </r>
  <r>
    <x v="2"/>
  </r>
  <r>
    <x v="2"/>
  </r>
  <r>
    <x v="2"/>
  </r>
  <r>
    <x v="2"/>
  </r>
  <r>
    <x v="2"/>
  </r>
  <r>
    <x v="2"/>
  </r>
  <r>
    <x v="2"/>
  </r>
  <r>
    <x v="2"/>
  </r>
  <r>
    <x v="2"/>
  </r>
  <r>
    <x v="2"/>
  </r>
  <r>
    <x v="2"/>
  </r>
  <r>
    <x v="2"/>
  </r>
  <r>
    <x v="2"/>
  </r>
  <r>
    <x v="2"/>
  </r>
  <r>
    <x v="2"/>
  </r>
  <r>
    <x v="2"/>
  </r>
  <r>
    <x v="2"/>
  </r>
  <r>
    <x v="2"/>
  </r>
  <r>
    <x v="2"/>
  </r>
  <r>
    <x v="2"/>
  </r>
  <r>
    <x v="6"/>
  </r>
  <r>
    <x v="6"/>
  </r>
  <r>
    <x v="6"/>
  </r>
  <r>
    <x v="6"/>
  </r>
  <r>
    <x v="6"/>
  </r>
  <r>
    <x v="6"/>
  </r>
  <r>
    <x v="6"/>
  </r>
  <r>
    <x v="6"/>
  </r>
  <r>
    <x v="6"/>
  </r>
  <r>
    <x v="6"/>
  </r>
  <r>
    <x v="6"/>
  </r>
  <r>
    <x v="6"/>
  </r>
  <r>
    <x v="6"/>
  </r>
  <r>
    <x v="6"/>
  </r>
  <r>
    <x v="6"/>
  </r>
  <r>
    <x v="6"/>
  </r>
  <r>
    <x v="6"/>
  </r>
  <r>
    <x v="6"/>
  </r>
  <r>
    <x v="6"/>
  </r>
  <r>
    <x v="6"/>
  </r>
  <r>
    <x v="6"/>
  </r>
  <r>
    <x v="6"/>
  </r>
  <r>
    <x v="6"/>
  </r>
  <r>
    <x v="6"/>
  </r>
  <r>
    <x v="6"/>
  </r>
  <r>
    <x v="6"/>
  </r>
  <r>
    <x v="2"/>
  </r>
  <r>
    <x v="2"/>
  </r>
  <r>
    <x v="2"/>
  </r>
  <r>
    <x v="2"/>
  </r>
  <r>
    <x v="2"/>
  </r>
  <r>
    <x v="2"/>
  </r>
  <r>
    <x v="2"/>
  </r>
  <r>
    <x v="2"/>
  </r>
  <r>
    <x v="2"/>
  </r>
  <r>
    <x v="2"/>
  </r>
  <r>
    <x v="2"/>
  </r>
  <r>
    <x v="2"/>
  </r>
  <r>
    <x v="2"/>
  </r>
  <r>
    <x v="2"/>
  </r>
  <r>
    <x v="2"/>
  </r>
  <r>
    <x v="2"/>
  </r>
  <r>
    <x v="2"/>
  </r>
  <r>
    <x v="2"/>
  </r>
  <r>
    <x v="2"/>
  </r>
  <r>
    <x v="2"/>
  </r>
  <r>
    <x v="2"/>
  </r>
  <r>
    <x v="2"/>
  </r>
  <r>
    <x v="2"/>
  </r>
  <r>
    <x v="2"/>
  </r>
  <r>
    <x v="2"/>
  </r>
  <r>
    <x v="2"/>
  </r>
  <r>
    <x v="2"/>
  </r>
  <r>
    <x v="3"/>
  </r>
  <r>
    <x v="3"/>
  </r>
  <r>
    <x v="3"/>
  </r>
  <r>
    <x v="3"/>
  </r>
  <r>
    <x v="3"/>
  </r>
  <r>
    <x v="3"/>
  </r>
  <r>
    <x v="3"/>
  </r>
  <r>
    <x v="3"/>
  </r>
  <r>
    <x v="3"/>
  </r>
  <r>
    <x v="3"/>
  </r>
  <r>
    <x v="3"/>
  </r>
  <r>
    <x v="3"/>
  </r>
  <r>
    <x v="3"/>
  </r>
  <r>
    <x v="3"/>
  </r>
  <r>
    <x v="3"/>
  </r>
  <r>
    <x v="3"/>
  </r>
  <r>
    <x v="3"/>
  </r>
  <r>
    <x v="3"/>
  </r>
  <r>
    <x v="3"/>
  </r>
  <r>
    <x v="3"/>
  </r>
  <r>
    <x v="3"/>
  </r>
  <r>
    <x v="3"/>
  </r>
  <r>
    <x v="3"/>
  </r>
  <r>
    <x v="3"/>
  </r>
  <r>
    <x v="0"/>
  </r>
  <r>
    <x v="0"/>
  </r>
  <r>
    <x v="0"/>
  </r>
  <r>
    <x v="0"/>
  </r>
  <r>
    <x v="0"/>
  </r>
  <r>
    <x v="0"/>
  </r>
  <r>
    <x v="0"/>
  </r>
  <r>
    <x v="0"/>
  </r>
  <r>
    <x v="0"/>
  </r>
  <r>
    <x v="0"/>
  </r>
  <r>
    <x v="0"/>
  </r>
  <r>
    <x v="0"/>
  </r>
  <r>
    <x v="0"/>
  </r>
  <r>
    <x v="0"/>
  </r>
  <r>
    <x v="0"/>
  </r>
  <r>
    <x v="0"/>
  </r>
  <r>
    <x v="0"/>
  </r>
  <r>
    <x v="0"/>
  </r>
  <r>
    <x v="0"/>
  </r>
  <r>
    <x v="0"/>
  </r>
  <r>
    <x v="0"/>
  </r>
  <r>
    <x v="0"/>
  </r>
  <r>
    <x v="0"/>
  </r>
  <r>
    <x v="0"/>
  </r>
  <r>
    <x v="0"/>
  </r>
  <r>
    <x v="3"/>
  </r>
  <r>
    <x v="3"/>
  </r>
  <r>
    <x v="3"/>
  </r>
  <r>
    <x v="3"/>
  </r>
  <r>
    <x v="3"/>
  </r>
  <r>
    <x v="3"/>
  </r>
  <r>
    <x v="3"/>
  </r>
  <r>
    <x v="3"/>
  </r>
  <r>
    <x v="3"/>
  </r>
  <r>
    <x v="3"/>
  </r>
  <r>
    <x v="3"/>
  </r>
  <r>
    <x v="3"/>
  </r>
  <r>
    <x v="3"/>
  </r>
  <r>
    <x v="3"/>
  </r>
  <r>
    <x v="3"/>
  </r>
  <r>
    <x v="3"/>
  </r>
  <r>
    <x v="3"/>
  </r>
  <r>
    <x v="3"/>
  </r>
  <r>
    <x v="3"/>
  </r>
  <r>
    <x v="3"/>
  </r>
  <r>
    <x v="3"/>
  </r>
  <r>
    <x v="3"/>
  </r>
  <r>
    <x v="3"/>
  </r>
  <r>
    <x v="3"/>
  </r>
  <r>
    <x v="3"/>
  </r>
  <r>
    <x v="3"/>
  </r>
  <r>
    <x v="2"/>
  </r>
  <r>
    <x v="2"/>
  </r>
  <r>
    <x v="2"/>
  </r>
  <r>
    <x v="2"/>
  </r>
  <r>
    <x v="2"/>
  </r>
  <r>
    <x v="2"/>
  </r>
  <r>
    <x v="2"/>
  </r>
  <r>
    <x v="2"/>
  </r>
  <r>
    <x v="2"/>
  </r>
  <r>
    <x v="2"/>
  </r>
  <r>
    <x v="2"/>
  </r>
  <r>
    <x v="2"/>
  </r>
  <r>
    <x v="2"/>
  </r>
  <r>
    <x v="2"/>
  </r>
  <r>
    <x v="2"/>
  </r>
  <r>
    <x v="2"/>
  </r>
  <r>
    <x v="2"/>
  </r>
  <r>
    <x v="2"/>
  </r>
  <r>
    <x v="2"/>
  </r>
  <r>
    <x v="2"/>
  </r>
  <r>
    <x v="2"/>
  </r>
  <r>
    <x v="2"/>
  </r>
  <r>
    <x v="2"/>
  </r>
  <r>
    <x v="2"/>
  </r>
  <r>
    <x v="2"/>
  </r>
  <r>
    <x v="2"/>
  </r>
  <r>
    <x v="2"/>
  </r>
  <r>
    <x v="2"/>
  </r>
  <r>
    <x v="6"/>
  </r>
  <r>
    <x v="6"/>
  </r>
  <r>
    <x v="6"/>
  </r>
  <r>
    <x v="6"/>
  </r>
  <r>
    <x v="6"/>
  </r>
  <r>
    <x v="6"/>
  </r>
  <r>
    <x v="6"/>
  </r>
  <r>
    <x v="6"/>
  </r>
  <r>
    <x v="6"/>
  </r>
  <r>
    <x v="6"/>
  </r>
  <r>
    <x v="6"/>
  </r>
  <r>
    <x v="6"/>
  </r>
  <r>
    <x v="6"/>
  </r>
  <r>
    <x v="6"/>
  </r>
  <r>
    <x v="6"/>
  </r>
  <r>
    <x v="6"/>
  </r>
  <r>
    <x v="6"/>
  </r>
  <r>
    <x v="6"/>
  </r>
  <r>
    <x v="6"/>
  </r>
  <r>
    <x v="6"/>
  </r>
  <r>
    <x v="6"/>
  </r>
  <r>
    <x v="6"/>
  </r>
  <r>
    <x v="6"/>
  </r>
  <r>
    <x v="6"/>
  </r>
  <r>
    <x v="6"/>
  </r>
  <r>
    <x v="6"/>
  </r>
  <r>
    <x v="0"/>
  </r>
  <r>
    <x v="0"/>
  </r>
  <r>
    <x v="0"/>
  </r>
  <r>
    <x v="0"/>
  </r>
  <r>
    <x v="0"/>
  </r>
  <r>
    <x v="0"/>
  </r>
  <r>
    <x v="0"/>
  </r>
  <r>
    <x v="0"/>
  </r>
  <r>
    <x v="0"/>
  </r>
  <r>
    <x v="0"/>
  </r>
  <r>
    <x v="0"/>
  </r>
  <r>
    <x v="0"/>
  </r>
  <r>
    <x v="0"/>
  </r>
  <r>
    <x v="0"/>
  </r>
  <r>
    <x v="0"/>
  </r>
  <r>
    <x v="0"/>
  </r>
  <r>
    <x v="0"/>
  </r>
  <r>
    <x v="0"/>
  </r>
  <r>
    <x v="0"/>
  </r>
  <r>
    <x v="0"/>
  </r>
  <r>
    <x v="0"/>
  </r>
  <r>
    <x v="0"/>
  </r>
  <r>
    <x v="0"/>
  </r>
  <r>
    <x v="0"/>
  </r>
  <r>
    <x v="0"/>
  </r>
  <r>
    <x v="5"/>
  </r>
  <r>
    <x v="5"/>
  </r>
  <r>
    <x v="5"/>
  </r>
  <r>
    <x v="5"/>
  </r>
  <r>
    <x v="5"/>
  </r>
  <r>
    <x v="5"/>
  </r>
  <r>
    <x v="5"/>
  </r>
  <r>
    <x v="5"/>
  </r>
  <r>
    <x v="5"/>
  </r>
  <r>
    <x v="5"/>
  </r>
  <r>
    <x v="5"/>
  </r>
  <r>
    <x v="5"/>
  </r>
  <r>
    <x v="5"/>
  </r>
  <r>
    <x v="5"/>
  </r>
  <r>
    <x v="5"/>
  </r>
  <r>
    <x v="5"/>
  </r>
  <r>
    <x v="5"/>
  </r>
  <r>
    <x v="5"/>
  </r>
  <r>
    <x v="5"/>
  </r>
  <r>
    <x v="5"/>
  </r>
  <r>
    <x v="5"/>
  </r>
  <r>
    <x v="5"/>
  </r>
  <r>
    <x v="5"/>
  </r>
  <r>
    <x v="5"/>
  </r>
  <r>
    <x v="5"/>
  </r>
  <r>
    <x v="5"/>
  </r>
  <r>
    <x v="4"/>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4"/>
  </r>
  <r>
    <x v="4"/>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5"/>
  </r>
  <r>
    <x v="5"/>
  </r>
  <r>
    <x v="5"/>
  </r>
  <r>
    <x v="5"/>
  </r>
  <r>
    <x v="5"/>
  </r>
  <r>
    <x v="5"/>
  </r>
  <r>
    <x v="5"/>
  </r>
  <r>
    <x v="5"/>
  </r>
  <r>
    <x v="5"/>
  </r>
  <r>
    <x v="5"/>
  </r>
  <r>
    <x v="5"/>
  </r>
  <r>
    <x v="5"/>
  </r>
  <r>
    <x v="5"/>
  </r>
  <r>
    <x v="5"/>
  </r>
  <r>
    <x v="5"/>
  </r>
  <r>
    <x v="5"/>
  </r>
  <r>
    <x v="5"/>
  </r>
  <r>
    <x v="5"/>
  </r>
  <r>
    <x v="5"/>
  </r>
  <r>
    <x v="1"/>
  </r>
  <r>
    <x v="1"/>
  </r>
  <r>
    <x v="1"/>
  </r>
  <r>
    <x v="1"/>
  </r>
  <r>
    <x v="1"/>
  </r>
  <r>
    <x v="1"/>
  </r>
  <r>
    <x v="1"/>
  </r>
  <r>
    <x v="1"/>
  </r>
  <r>
    <x v="1"/>
  </r>
  <r>
    <x v="1"/>
  </r>
  <r>
    <x v="1"/>
  </r>
  <r>
    <x v="1"/>
  </r>
  <r>
    <x v="1"/>
  </r>
  <r>
    <x v="1"/>
  </r>
  <r>
    <x v="1"/>
  </r>
  <r>
    <x v="1"/>
  </r>
  <r>
    <x v="1"/>
  </r>
  <r>
    <x v="1"/>
  </r>
  <r>
    <x v="1"/>
  </r>
  <r>
    <x v="1"/>
  </r>
  <r>
    <x v="1"/>
  </r>
  <r>
    <x v="1"/>
  </r>
  <r>
    <x v="1"/>
  </r>
  <r>
    <x v="1"/>
  </r>
  <r>
    <x v="1"/>
  </r>
  <r>
    <x v="1"/>
  </r>
  <r>
    <x v="1"/>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5"/>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4"/>
  </r>
  <r>
    <x v="5"/>
  </r>
  <r>
    <x v="5"/>
  </r>
  <r>
    <x v="5"/>
  </r>
  <r>
    <x v="5"/>
  </r>
  <r>
    <x v="5"/>
  </r>
  <r>
    <x v="5"/>
  </r>
  <r>
    <x v="5"/>
  </r>
  <r>
    <x v="5"/>
  </r>
  <r>
    <x v="5"/>
  </r>
  <r>
    <x v="5"/>
  </r>
  <r>
    <x v="5"/>
  </r>
  <r>
    <x v="5"/>
  </r>
  <r>
    <x v="5"/>
  </r>
  <r>
    <x v="5"/>
  </r>
  <r>
    <x v="5"/>
  </r>
  <r>
    <x v="5"/>
  </r>
  <r>
    <x v="5"/>
  </r>
  <r>
    <x v="5"/>
  </r>
  <r>
    <x v="5"/>
  </r>
  <r>
    <x v="5"/>
  </r>
  <r>
    <x v="5"/>
  </r>
  <r>
    <x v="5"/>
  </r>
  <r>
    <x v="5"/>
  </r>
  <r>
    <x v="5"/>
  </r>
  <r>
    <x v="5"/>
  </r>
  <r>
    <x v="5"/>
  </r>
  <r>
    <x v="7"/>
  </r>
  <r>
    <x v="7"/>
  </r>
  <r>
    <x v="7"/>
  </r>
  <r>
    <x v="7"/>
  </r>
  <r>
    <x v="7"/>
  </r>
  <r>
    <x v="7"/>
  </r>
  <r>
    <x v="7"/>
  </r>
  <r>
    <x v="7"/>
  </r>
  <r>
    <x v="7"/>
  </r>
</pivotCacheRecords>
</file>

<file path=xl/pivotCache/pivotCacheRecords4.xml><?xml version="1.0" encoding="utf-8"?>
<pivotCacheRecords xmlns="http://schemas.openxmlformats.org/spreadsheetml/2006/main" xmlns:r="http://schemas.openxmlformats.org/officeDocument/2006/relationships" count="2952">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30"/>
  </r>
  <r>
    <x v="31"/>
  </r>
  <r>
    <x v="32"/>
  </r>
  <r>
    <x v="33"/>
  </r>
  <r>
    <x v="34"/>
  </r>
  <r>
    <x v="35"/>
  </r>
  <r>
    <x v="36"/>
  </r>
  <r>
    <x v="37"/>
  </r>
  <r>
    <x v="38"/>
  </r>
  <r>
    <x v="39"/>
  </r>
  <r>
    <x v="40"/>
  </r>
  <r>
    <x v="32"/>
  </r>
  <r>
    <x v="41"/>
  </r>
  <r>
    <x v="42"/>
  </r>
  <r>
    <x v="43"/>
  </r>
  <r>
    <x v="44"/>
  </r>
  <r>
    <x v="45"/>
  </r>
  <r>
    <x v="46"/>
  </r>
  <r>
    <x v="47"/>
  </r>
  <r>
    <x v="48"/>
  </r>
  <r>
    <x v="49"/>
  </r>
  <r>
    <x v="50"/>
  </r>
  <r>
    <x v="51"/>
  </r>
  <r>
    <x v="52"/>
  </r>
  <r>
    <x v="53"/>
  </r>
  <r>
    <x v="54"/>
  </r>
  <r>
    <x v="55"/>
  </r>
  <r>
    <x v="56"/>
  </r>
  <r>
    <x v="57"/>
  </r>
  <r>
    <x v="58"/>
  </r>
  <r>
    <x v="59"/>
  </r>
  <r>
    <x v="60"/>
  </r>
  <r>
    <x v="61"/>
  </r>
  <r>
    <x v="62"/>
  </r>
  <r>
    <x v="63"/>
  </r>
  <r>
    <x v="64"/>
  </r>
  <r>
    <x v="65"/>
  </r>
  <r>
    <x v="66"/>
  </r>
  <r>
    <x v="67"/>
  </r>
  <r>
    <x v="68"/>
  </r>
  <r>
    <x v="69"/>
  </r>
  <r>
    <x v="70"/>
  </r>
  <r>
    <x v="71"/>
  </r>
  <r>
    <x v="72"/>
  </r>
  <r>
    <x v="73"/>
  </r>
  <r>
    <x v="74"/>
  </r>
  <r>
    <x v="75"/>
  </r>
  <r>
    <x v="76"/>
  </r>
  <r>
    <x v="77"/>
  </r>
  <r>
    <x v="78"/>
  </r>
  <r>
    <x v="79"/>
  </r>
  <r>
    <x v="80"/>
  </r>
  <r>
    <x v="81"/>
  </r>
  <r>
    <x v="82"/>
  </r>
  <r>
    <x v="83"/>
  </r>
  <r>
    <x v="84"/>
  </r>
  <r>
    <x v="85"/>
  </r>
  <r>
    <x v="86"/>
  </r>
  <r>
    <x v="87"/>
  </r>
  <r>
    <x v="88"/>
  </r>
  <r>
    <x v="89"/>
  </r>
  <r>
    <x v="90"/>
  </r>
  <r>
    <x v="91"/>
  </r>
  <r>
    <x v="92"/>
  </r>
  <r>
    <x v="93"/>
  </r>
  <r>
    <x v="94"/>
  </r>
  <r>
    <x v="95"/>
  </r>
  <r>
    <x v="96"/>
  </r>
  <r>
    <x v="97"/>
  </r>
  <r>
    <x v="98"/>
  </r>
  <r>
    <x v="99"/>
  </r>
  <r>
    <x v="100"/>
  </r>
  <r>
    <x v="101"/>
  </r>
  <r>
    <x v="102"/>
  </r>
  <r>
    <x v="103"/>
  </r>
  <r>
    <x v="104"/>
  </r>
  <r>
    <x v="105"/>
  </r>
  <r>
    <x v="106"/>
  </r>
  <r>
    <x v="107"/>
  </r>
  <r>
    <x v="108"/>
  </r>
  <r>
    <x v="109"/>
  </r>
  <r>
    <x v="110"/>
  </r>
  <r>
    <x v="111"/>
  </r>
  <r>
    <x v="112"/>
  </r>
  <r>
    <x v="113"/>
  </r>
  <r>
    <x v="114"/>
  </r>
  <r>
    <x v="115"/>
  </r>
  <r>
    <x v="116"/>
  </r>
  <r>
    <x v="117"/>
  </r>
  <r>
    <x v="118"/>
  </r>
  <r>
    <x v="119"/>
  </r>
  <r>
    <x v="120"/>
  </r>
  <r>
    <x v="121"/>
  </r>
  <r>
    <x v="122"/>
  </r>
  <r>
    <x v="123"/>
  </r>
  <r>
    <x v="124"/>
  </r>
  <r>
    <x v="125"/>
  </r>
  <r>
    <x v="126"/>
  </r>
  <r>
    <x v="127"/>
  </r>
  <r>
    <x v="128"/>
  </r>
  <r>
    <x v="129"/>
  </r>
  <r>
    <x v="130"/>
  </r>
  <r>
    <x v="131"/>
  </r>
  <r>
    <x v="132"/>
  </r>
  <r>
    <x v="133"/>
  </r>
  <r>
    <x v="134"/>
  </r>
  <r>
    <x v="135"/>
  </r>
  <r>
    <x v="136"/>
  </r>
  <r>
    <x v="137"/>
  </r>
  <r>
    <x v="138"/>
  </r>
  <r>
    <x v="139"/>
  </r>
  <r>
    <x v="140"/>
  </r>
  <r>
    <x v="141"/>
  </r>
  <r>
    <x v="142"/>
  </r>
  <r>
    <x v="143"/>
  </r>
  <r>
    <x v="144"/>
  </r>
  <r>
    <x v="145"/>
  </r>
  <r>
    <x v="146"/>
  </r>
  <r>
    <x v="147"/>
  </r>
  <r>
    <x v="148"/>
  </r>
  <r>
    <x v="149"/>
  </r>
  <r>
    <x v="150"/>
  </r>
  <r>
    <x v="151"/>
  </r>
  <r>
    <x v="135"/>
  </r>
  <r>
    <x v="152"/>
  </r>
  <r>
    <x v="153"/>
  </r>
  <r>
    <x v="154"/>
  </r>
  <r>
    <x v="155"/>
  </r>
  <r>
    <x v="156"/>
  </r>
  <r>
    <x v="157"/>
  </r>
  <r>
    <x v="158"/>
  </r>
  <r>
    <x v="159"/>
  </r>
  <r>
    <x v="160"/>
  </r>
  <r>
    <x v="161"/>
  </r>
  <r>
    <x v="162"/>
  </r>
  <r>
    <x v="163"/>
  </r>
  <r>
    <x v="164"/>
  </r>
  <r>
    <x v="165"/>
  </r>
  <r>
    <x v="166"/>
  </r>
  <r>
    <x v="167"/>
  </r>
  <r>
    <x v="168"/>
  </r>
  <r>
    <x v="169"/>
  </r>
  <r>
    <x v="170"/>
  </r>
  <r>
    <x v="171"/>
  </r>
  <r>
    <x v="172"/>
  </r>
  <r>
    <x v="173"/>
  </r>
  <r>
    <x v="174"/>
  </r>
  <r>
    <x v="175"/>
  </r>
  <r>
    <x v="176"/>
  </r>
  <r>
    <x v="177"/>
  </r>
  <r>
    <x v="178"/>
  </r>
  <r>
    <x v="179"/>
  </r>
  <r>
    <x v="180"/>
  </r>
  <r>
    <x v="181"/>
  </r>
  <r>
    <x v="182"/>
  </r>
  <r>
    <x v="183"/>
  </r>
  <r>
    <x v="184"/>
  </r>
  <r>
    <x v="185"/>
  </r>
  <r>
    <x v="186"/>
  </r>
  <r>
    <x v="187"/>
  </r>
  <r>
    <x v="188"/>
  </r>
  <r>
    <x v="189"/>
  </r>
  <r>
    <x v="190"/>
  </r>
  <r>
    <x v="191"/>
  </r>
  <r>
    <x v="192"/>
  </r>
  <r>
    <x v="193"/>
  </r>
  <r>
    <x v="194"/>
  </r>
  <r>
    <x v="195"/>
  </r>
  <r>
    <x v="196"/>
  </r>
  <r>
    <x v="197"/>
  </r>
  <r>
    <x v="198"/>
  </r>
  <r>
    <x v="199"/>
  </r>
  <r>
    <x v="200"/>
  </r>
  <r>
    <x v="201"/>
  </r>
  <r>
    <x v="202"/>
  </r>
  <r>
    <x v="203"/>
  </r>
  <r>
    <x v="204"/>
  </r>
  <r>
    <x v="205"/>
  </r>
  <r>
    <x v="206"/>
  </r>
  <r>
    <x v="207"/>
  </r>
  <r>
    <x v="208"/>
  </r>
  <r>
    <x v="209"/>
  </r>
  <r>
    <x v="210"/>
  </r>
  <r>
    <x v="211"/>
  </r>
  <r>
    <x v="212"/>
  </r>
  <r>
    <x v="213"/>
  </r>
  <r>
    <x v="214"/>
  </r>
  <r>
    <x v="215"/>
  </r>
  <r>
    <x v="216"/>
  </r>
  <r>
    <x v="217"/>
  </r>
  <r>
    <x v="218"/>
  </r>
  <r>
    <x v="219"/>
  </r>
  <r>
    <x v="220"/>
  </r>
  <r>
    <x v="221"/>
  </r>
  <r>
    <x v="222"/>
  </r>
  <r>
    <x v="223"/>
  </r>
  <r>
    <x v="224"/>
  </r>
  <r>
    <x v="225"/>
  </r>
  <r>
    <x v="226"/>
  </r>
  <r>
    <x v="227"/>
  </r>
  <r>
    <x v="228"/>
  </r>
  <r>
    <x v="229"/>
  </r>
  <r>
    <x v="230"/>
  </r>
  <r>
    <x v="231"/>
  </r>
  <r>
    <x v="232"/>
  </r>
  <r>
    <x v="233"/>
  </r>
  <r>
    <x v="234"/>
  </r>
  <r>
    <x v="235"/>
  </r>
  <r>
    <x v="236"/>
  </r>
  <r>
    <x v="237"/>
  </r>
  <r>
    <x v="238"/>
  </r>
  <r>
    <x v="239"/>
  </r>
  <r>
    <x v="240"/>
  </r>
  <r>
    <x v="241"/>
  </r>
  <r>
    <x v="242"/>
  </r>
  <r>
    <x v="243"/>
  </r>
  <r>
    <x v="244"/>
  </r>
  <r>
    <x v="245"/>
  </r>
  <r>
    <x v="246"/>
  </r>
  <r>
    <x v="247"/>
  </r>
  <r>
    <x v="248"/>
  </r>
  <r>
    <x v="249"/>
  </r>
  <r>
    <x v="250"/>
  </r>
  <r>
    <x v="251"/>
  </r>
  <r>
    <x v="252"/>
  </r>
  <r>
    <x v="253"/>
  </r>
  <r>
    <x v="254"/>
  </r>
  <r>
    <x v="255"/>
  </r>
  <r>
    <x v="256"/>
  </r>
  <r>
    <x v="257"/>
  </r>
  <r>
    <x v="258"/>
  </r>
  <r>
    <x v="259"/>
  </r>
  <r>
    <x v="260"/>
  </r>
  <r>
    <x v="261"/>
  </r>
  <r>
    <x v="262"/>
  </r>
  <r>
    <x v="263"/>
  </r>
  <r>
    <x v="264"/>
  </r>
  <r>
    <x v="265"/>
  </r>
  <r>
    <x v="266"/>
  </r>
  <r>
    <x v="267"/>
  </r>
  <r>
    <x v="268"/>
  </r>
  <r>
    <x v="269"/>
  </r>
  <r>
    <x v="270"/>
  </r>
  <r>
    <x v="271"/>
  </r>
  <r>
    <x v="272"/>
  </r>
  <r>
    <x v="273"/>
  </r>
  <r>
    <x v="274"/>
  </r>
  <r>
    <x v="275"/>
  </r>
  <r>
    <x v="276"/>
  </r>
  <r>
    <x v="277"/>
  </r>
  <r>
    <x v="278"/>
  </r>
  <r>
    <x v="279"/>
  </r>
  <r>
    <x v="280"/>
  </r>
  <r>
    <x v="281"/>
  </r>
  <r>
    <x v="282"/>
  </r>
  <r>
    <x v="283"/>
  </r>
  <r>
    <x v="284"/>
  </r>
  <r>
    <x v="285"/>
  </r>
  <r>
    <x v="286"/>
  </r>
  <r>
    <x v="287"/>
  </r>
  <r>
    <x v="288"/>
  </r>
  <r>
    <x v="289"/>
  </r>
  <r>
    <x v="290"/>
  </r>
  <r>
    <x v="291"/>
  </r>
  <r>
    <x v="292"/>
  </r>
  <r>
    <x v="293"/>
  </r>
  <r>
    <x v="294"/>
  </r>
  <r>
    <x v="295"/>
  </r>
  <r>
    <x v="296"/>
  </r>
  <r>
    <x v="297"/>
  </r>
  <r>
    <x v="298"/>
  </r>
  <r>
    <x v="299"/>
  </r>
  <r>
    <x v="300"/>
  </r>
  <r>
    <x v="301"/>
  </r>
  <r>
    <x v="302"/>
  </r>
  <r>
    <x v="294"/>
  </r>
  <r>
    <x v="303"/>
  </r>
  <r>
    <x v="304"/>
  </r>
  <r>
    <x v="305"/>
  </r>
  <r>
    <x v="306"/>
  </r>
  <r>
    <x v="307"/>
  </r>
  <r>
    <x v="308"/>
  </r>
  <r>
    <x v="309"/>
  </r>
  <r>
    <x v="310"/>
  </r>
  <r>
    <x v="311"/>
  </r>
  <r>
    <x v="312"/>
  </r>
  <r>
    <x v="313"/>
  </r>
  <r>
    <x v="314"/>
  </r>
  <r>
    <x v="315"/>
  </r>
  <r>
    <x v="316"/>
  </r>
  <r>
    <x v="317"/>
  </r>
  <r>
    <x v="318"/>
  </r>
  <r>
    <x v="319"/>
  </r>
  <r>
    <x v="320"/>
  </r>
  <r>
    <x v="321"/>
  </r>
  <r>
    <x v="322"/>
  </r>
  <r>
    <x v="323"/>
  </r>
  <r>
    <x v="324"/>
  </r>
  <r>
    <x v="325"/>
  </r>
  <r>
    <x v="326"/>
  </r>
  <r>
    <x v="327"/>
  </r>
  <r>
    <x v="328"/>
  </r>
  <r>
    <x v="329"/>
  </r>
  <r>
    <x v="330"/>
  </r>
  <r>
    <x v="331"/>
  </r>
  <r>
    <x v="332"/>
  </r>
  <r>
    <x v="333"/>
  </r>
  <r>
    <x v="334"/>
  </r>
  <r>
    <x v="335"/>
  </r>
  <r>
    <x v="336"/>
  </r>
  <r>
    <x v="337"/>
  </r>
  <r>
    <x v="338"/>
  </r>
  <r>
    <x v="339"/>
  </r>
  <r>
    <x v="340"/>
  </r>
  <r>
    <x v="341"/>
  </r>
  <r>
    <x v="342"/>
  </r>
  <r>
    <x v="343"/>
  </r>
  <r>
    <x v="344"/>
  </r>
  <r>
    <x v="345"/>
  </r>
  <r>
    <x v="346"/>
  </r>
  <r>
    <x v="347"/>
  </r>
  <r>
    <x v="348"/>
  </r>
  <r>
    <x v="349"/>
  </r>
  <r>
    <x v="350"/>
  </r>
  <r>
    <x v="351"/>
  </r>
  <r>
    <x v="352"/>
  </r>
  <r>
    <x v="353"/>
  </r>
  <r>
    <x v="354"/>
  </r>
  <r>
    <x v="355"/>
  </r>
  <r>
    <x v="356"/>
  </r>
  <r>
    <x v="357"/>
  </r>
  <r>
    <x v="358"/>
  </r>
  <r>
    <x v="359"/>
  </r>
  <r>
    <x v="360"/>
  </r>
  <r>
    <x v="361"/>
  </r>
  <r>
    <x v="362"/>
  </r>
  <r>
    <x v="363"/>
  </r>
  <r>
    <x v="364"/>
  </r>
  <r>
    <x v="365"/>
  </r>
  <r>
    <x v="366"/>
  </r>
  <r>
    <x v="367"/>
  </r>
  <r>
    <x v="368"/>
  </r>
  <r>
    <x v="369"/>
  </r>
  <r>
    <x v="370"/>
  </r>
  <r>
    <x v="371"/>
  </r>
  <r>
    <x v="372"/>
  </r>
  <r>
    <x v="373"/>
  </r>
  <r>
    <x v="374"/>
  </r>
  <r>
    <x v="375"/>
  </r>
  <r>
    <x v="376"/>
  </r>
  <r>
    <x v="377"/>
  </r>
  <r>
    <x v="378"/>
  </r>
  <r>
    <x v="379"/>
  </r>
  <r>
    <x v="380"/>
  </r>
  <r>
    <x v="381"/>
  </r>
  <r>
    <x v="382"/>
  </r>
  <r>
    <x v="383"/>
  </r>
  <r>
    <x v="384"/>
  </r>
  <r>
    <x v="385"/>
  </r>
  <r>
    <x v="386"/>
  </r>
  <r>
    <x v="387"/>
  </r>
  <r>
    <x v="388"/>
  </r>
  <r>
    <x v="389"/>
  </r>
  <r>
    <x v="390"/>
  </r>
  <r>
    <x v="391"/>
  </r>
  <r>
    <x v="392"/>
  </r>
  <r>
    <x v="393"/>
  </r>
  <r>
    <x v="394"/>
  </r>
  <r>
    <x v="395"/>
  </r>
  <r>
    <x v="396"/>
  </r>
  <r>
    <x v="397"/>
  </r>
  <r>
    <x v="398"/>
  </r>
  <r>
    <x v="399"/>
  </r>
  <r>
    <x v="400"/>
  </r>
  <r>
    <x v="401"/>
  </r>
  <r>
    <x v="402"/>
  </r>
  <r>
    <x v="403"/>
  </r>
  <r>
    <x v="404"/>
  </r>
  <r>
    <x v="405"/>
  </r>
  <r>
    <x v="406"/>
  </r>
  <r>
    <x v="407"/>
  </r>
  <r>
    <x v="408"/>
  </r>
  <r>
    <x v="409"/>
  </r>
  <r>
    <x v="410"/>
  </r>
  <r>
    <x v="411"/>
  </r>
  <r>
    <x v="412"/>
  </r>
  <r>
    <x v="395"/>
  </r>
  <r>
    <x v="413"/>
  </r>
  <r>
    <x v="414"/>
  </r>
  <r>
    <x v="415"/>
  </r>
  <r>
    <x v="416"/>
  </r>
  <r>
    <x v="417"/>
  </r>
  <r>
    <x v="418"/>
  </r>
  <r>
    <x v="419"/>
  </r>
  <r>
    <x v="420"/>
  </r>
  <r>
    <x v="421"/>
  </r>
  <r>
    <x v="422"/>
  </r>
  <r>
    <x v="423"/>
  </r>
  <r>
    <x v="424"/>
  </r>
  <r>
    <x v="425"/>
  </r>
  <r>
    <x v="426"/>
  </r>
  <r>
    <x v="427"/>
  </r>
  <r>
    <x v="221"/>
  </r>
  <r>
    <x v="428"/>
  </r>
  <r>
    <x v="429"/>
  </r>
  <r>
    <x v="430"/>
  </r>
  <r>
    <x v="431"/>
  </r>
  <r>
    <x v="432"/>
  </r>
  <r>
    <x v="419"/>
  </r>
  <r>
    <x v="433"/>
  </r>
  <r>
    <x v="434"/>
  </r>
  <r>
    <x v="435"/>
  </r>
  <r>
    <x v="436"/>
  </r>
  <r>
    <x v="437"/>
  </r>
  <r>
    <x v="438"/>
  </r>
  <r>
    <x v="439"/>
  </r>
  <r>
    <x v="440"/>
  </r>
  <r>
    <x v="441"/>
  </r>
  <r>
    <x v="442"/>
  </r>
  <r>
    <x v="106"/>
  </r>
  <r>
    <x v="443"/>
  </r>
  <r>
    <x v="444"/>
  </r>
  <r>
    <x v="445"/>
  </r>
  <r>
    <x v="432"/>
  </r>
  <r>
    <x v="446"/>
  </r>
  <r>
    <x v="447"/>
  </r>
  <r>
    <x v="448"/>
  </r>
  <r>
    <x v="449"/>
  </r>
  <r>
    <x v="450"/>
  </r>
  <r>
    <x v="451"/>
  </r>
  <r>
    <x v="452"/>
  </r>
  <r>
    <x v="453"/>
  </r>
  <r>
    <x v="454"/>
  </r>
  <r>
    <x v="455"/>
  </r>
  <r>
    <x v="456"/>
  </r>
  <r>
    <x v="457"/>
  </r>
  <r>
    <x v="458"/>
  </r>
  <r>
    <x v="459"/>
  </r>
  <r>
    <x v="460"/>
  </r>
  <r>
    <x v="461"/>
  </r>
  <r>
    <x v="462"/>
  </r>
  <r>
    <x v="463"/>
  </r>
  <r>
    <x v="464"/>
  </r>
  <r>
    <x v="465"/>
  </r>
  <r>
    <x v="466"/>
  </r>
  <r>
    <x v="467"/>
  </r>
  <r>
    <x v="468"/>
  </r>
  <r>
    <x v="469"/>
  </r>
  <r>
    <x v="470"/>
  </r>
  <r>
    <x v="471"/>
  </r>
  <r>
    <x v="472"/>
  </r>
  <r>
    <x v="473"/>
  </r>
  <r>
    <x v="474"/>
  </r>
  <r>
    <x v="475"/>
  </r>
  <r>
    <x v="476"/>
  </r>
  <r>
    <x v="477"/>
  </r>
  <r>
    <x v="478"/>
  </r>
  <r>
    <x v="479"/>
  </r>
  <r>
    <x v="480"/>
  </r>
  <r>
    <x v="481"/>
  </r>
  <r>
    <x v="482"/>
  </r>
  <r>
    <x v="483"/>
  </r>
  <r>
    <x v="484"/>
  </r>
  <r>
    <x v="485"/>
  </r>
  <r>
    <x v="486"/>
  </r>
  <r>
    <x v="487"/>
  </r>
  <r>
    <x v="488"/>
  </r>
  <r>
    <x v="489"/>
  </r>
  <r>
    <x v="490"/>
  </r>
  <r>
    <x v="491"/>
  </r>
  <r>
    <x v="492"/>
  </r>
  <r>
    <x v="493"/>
  </r>
  <r>
    <x v="494"/>
  </r>
  <r>
    <x v="495"/>
  </r>
  <r>
    <x v="496"/>
  </r>
  <r>
    <x v="497"/>
  </r>
  <r>
    <x v="498"/>
  </r>
  <r>
    <x v="499"/>
  </r>
  <r>
    <x v="500"/>
  </r>
  <r>
    <x v="501"/>
  </r>
  <r>
    <x v="502"/>
  </r>
  <r>
    <x v="503"/>
  </r>
  <r>
    <x v="504"/>
  </r>
  <r>
    <x v="505"/>
  </r>
  <r>
    <x v="506"/>
  </r>
  <r>
    <x v="507"/>
  </r>
  <r>
    <x v="508"/>
  </r>
  <r>
    <x v="509"/>
  </r>
  <r>
    <x v="510"/>
  </r>
  <r>
    <x v="511"/>
  </r>
  <r>
    <x v="512"/>
  </r>
  <r>
    <x v="513"/>
  </r>
  <r>
    <x v="514"/>
  </r>
  <r>
    <x v="515"/>
  </r>
  <r>
    <x v="516"/>
  </r>
  <r>
    <x v="517"/>
  </r>
  <r>
    <x v="518"/>
  </r>
  <r>
    <x v="519"/>
  </r>
  <r>
    <x v="520"/>
  </r>
  <r>
    <x v="521"/>
  </r>
  <r>
    <x v="522"/>
  </r>
  <r>
    <x v="523"/>
  </r>
  <r>
    <x v="524"/>
  </r>
  <r>
    <x v="525"/>
  </r>
  <r>
    <x v="526"/>
  </r>
  <r>
    <x v="527"/>
  </r>
  <r>
    <x v="528"/>
  </r>
  <r>
    <x v="529"/>
  </r>
  <r>
    <x v="530"/>
  </r>
  <r>
    <x v="531"/>
  </r>
  <r>
    <x v="532"/>
  </r>
  <r>
    <x v="533"/>
  </r>
  <r>
    <x v="534"/>
  </r>
  <r>
    <x v="535"/>
  </r>
  <r>
    <x v="536"/>
  </r>
  <r>
    <x v="537"/>
  </r>
  <r>
    <x v="538"/>
  </r>
  <r>
    <x v="539"/>
  </r>
  <r>
    <x v="540"/>
  </r>
  <r>
    <x v="541"/>
  </r>
  <r>
    <x v="542"/>
  </r>
  <r>
    <x v="543"/>
  </r>
  <r>
    <x v="544"/>
  </r>
  <r>
    <x v="545"/>
  </r>
  <r>
    <x v="546"/>
  </r>
  <r>
    <x v="547"/>
  </r>
  <r>
    <x v="548"/>
  </r>
  <r>
    <x v="549"/>
  </r>
  <r>
    <x v="550"/>
  </r>
  <r>
    <x v="551"/>
  </r>
  <r>
    <x v="552"/>
  </r>
  <r>
    <x v="553"/>
  </r>
  <r>
    <x v="554"/>
  </r>
  <r>
    <x v="555"/>
  </r>
  <r>
    <x v="556"/>
  </r>
  <r>
    <x v="557"/>
  </r>
  <r>
    <x v="558"/>
  </r>
  <r>
    <x v="559"/>
  </r>
  <r>
    <x v="560"/>
  </r>
  <r>
    <x v="561"/>
  </r>
  <r>
    <x v="562"/>
  </r>
  <r>
    <x v="563"/>
  </r>
  <r>
    <x v="564"/>
  </r>
  <r>
    <x v="565"/>
  </r>
  <r>
    <x v="566"/>
  </r>
  <r>
    <x v="567"/>
  </r>
  <r>
    <x v="568"/>
  </r>
  <r>
    <x v="569"/>
  </r>
  <r>
    <x v="570"/>
  </r>
  <r>
    <x v="571"/>
  </r>
  <r>
    <x v="572"/>
  </r>
  <r>
    <x v="573"/>
  </r>
  <r>
    <x v="574"/>
  </r>
  <r>
    <x v="118"/>
  </r>
  <r>
    <x v="575"/>
  </r>
  <r>
    <x v="576"/>
  </r>
  <r>
    <x v="577"/>
  </r>
  <r>
    <x v="578"/>
  </r>
  <r>
    <x v="579"/>
  </r>
  <r>
    <x v="580"/>
  </r>
  <r>
    <x v="581"/>
  </r>
  <r>
    <x v="582"/>
  </r>
  <r>
    <x v="583"/>
  </r>
  <r>
    <x v="584"/>
  </r>
  <r>
    <x v="585"/>
  </r>
  <r>
    <x v="586"/>
  </r>
  <r>
    <x v="587"/>
  </r>
  <r>
    <x v="588"/>
  </r>
  <r>
    <x v="589"/>
  </r>
  <r>
    <x v="590"/>
  </r>
  <r>
    <x v="591"/>
  </r>
  <r>
    <x v="592"/>
  </r>
  <r>
    <x v="593"/>
  </r>
  <r>
    <x v="594"/>
  </r>
  <r>
    <x v="595"/>
  </r>
  <r>
    <x v="596"/>
  </r>
  <r>
    <x v="597"/>
  </r>
  <r>
    <x v="598"/>
  </r>
  <r>
    <x v="599"/>
  </r>
  <r>
    <x v="600"/>
  </r>
  <r>
    <x v="601"/>
  </r>
  <r>
    <x v="602"/>
  </r>
  <r>
    <x v="603"/>
  </r>
  <r>
    <x v="604"/>
  </r>
  <r>
    <x v="605"/>
  </r>
  <r>
    <x v="606"/>
  </r>
  <r>
    <x v="607"/>
  </r>
  <r>
    <x v="608"/>
  </r>
  <r>
    <x v="609"/>
  </r>
  <r>
    <x v="610"/>
  </r>
  <r>
    <x v="611"/>
  </r>
  <r>
    <x v="612"/>
  </r>
  <r>
    <x v="613"/>
  </r>
  <r>
    <x v="614"/>
  </r>
  <r>
    <x v="615"/>
  </r>
  <r>
    <x v="616"/>
  </r>
  <r>
    <x v="617"/>
  </r>
  <r>
    <x v="618"/>
  </r>
  <r>
    <x v="619"/>
  </r>
  <r>
    <x v="620"/>
  </r>
  <r>
    <x v="621"/>
  </r>
  <r>
    <x v="622"/>
  </r>
  <r>
    <x v="623"/>
  </r>
  <r>
    <x v="624"/>
  </r>
  <r>
    <x v="625"/>
  </r>
  <r>
    <x v="626"/>
  </r>
  <r>
    <x v="627"/>
  </r>
  <r>
    <x v="628"/>
  </r>
  <r>
    <x v="629"/>
  </r>
  <r>
    <x v="630"/>
  </r>
  <r>
    <x v="631"/>
  </r>
  <r>
    <x v="632"/>
  </r>
  <r>
    <x v="633"/>
  </r>
  <r>
    <x v="634"/>
  </r>
  <r>
    <x v="635"/>
  </r>
  <r>
    <x v="636"/>
  </r>
  <r>
    <x v="637"/>
  </r>
  <r>
    <x v="638"/>
  </r>
  <r>
    <x v="639"/>
  </r>
  <r>
    <x v="640"/>
  </r>
  <r>
    <x v="641"/>
  </r>
  <r>
    <x v="642"/>
  </r>
  <r>
    <x v="643"/>
  </r>
  <r>
    <x v="644"/>
  </r>
  <r>
    <x v="645"/>
  </r>
  <r>
    <x v="646"/>
  </r>
  <r>
    <x v="647"/>
  </r>
  <r>
    <x v="648"/>
  </r>
  <r>
    <x v="649"/>
  </r>
  <r>
    <x v="650"/>
  </r>
  <r>
    <x v="645"/>
  </r>
  <r>
    <x v="651"/>
  </r>
  <r>
    <x v="652"/>
  </r>
  <r>
    <x v="653"/>
  </r>
  <r>
    <x v="654"/>
  </r>
  <r>
    <x v="655"/>
  </r>
  <r>
    <x v="656"/>
  </r>
  <r>
    <x v="657"/>
  </r>
  <r>
    <x v="658"/>
  </r>
  <r>
    <x v="659"/>
  </r>
  <r>
    <x v="660"/>
  </r>
  <r>
    <x v="661"/>
  </r>
  <r>
    <x v="662"/>
  </r>
  <r>
    <x v="663"/>
  </r>
  <r>
    <x v="664"/>
  </r>
  <r>
    <x v="665"/>
  </r>
  <r>
    <x v="666"/>
  </r>
  <r>
    <x v="667"/>
  </r>
  <r>
    <x v="668"/>
  </r>
  <r>
    <x v="669"/>
  </r>
  <r>
    <x v="670"/>
  </r>
  <r>
    <x v="671"/>
  </r>
  <r>
    <x v="672"/>
  </r>
  <r>
    <x v="673"/>
  </r>
  <r>
    <x v="674"/>
  </r>
  <r>
    <x v="675"/>
  </r>
  <r>
    <x v="676"/>
  </r>
  <r>
    <x v="677"/>
  </r>
  <r>
    <x v="678"/>
  </r>
  <r>
    <x v="679"/>
  </r>
  <r>
    <x v="680"/>
  </r>
  <r>
    <x v="681"/>
  </r>
  <r>
    <x v="682"/>
  </r>
  <r>
    <x v="683"/>
  </r>
  <r>
    <x v="684"/>
  </r>
  <r>
    <x v="685"/>
  </r>
  <r>
    <x v="686"/>
  </r>
  <r>
    <x v="687"/>
  </r>
  <r>
    <x v="688"/>
  </r>
  <r>
    <x v="689"/>
  </r>
  <r>
    <x v="690"/>
  </r>
  <r>
    <x v="691"/>
  </r>
  <r>
    <x v="692"/>
  </r>
  <r>
    <x v="693"/>
  </r>
  <r>
    <x v="694"/>
  </r>
  <r>
    <x v="695"/>
  </r>
  <r>
    <x v="696"/>
  </r>
  <r>
    <x v="697"/>
  </r>
  <r>
    <x v="698"/>
  </r>
  <r>
    <x v="697"/>
  </r>
  <r>
    <x v="699"/>
  </r>
  <r>
    <x v="700"/>
  </r>
  <r>
    <x v="701"/>
  </r>
  <r>
    <x v="702"/>
  </r>
  <r>
    <x v="703"/>
  </r>
  <r>
    <x v="704"/>
  </r>
  <r>
    <x v="705"/>
  </r>
  <r>
    <x v="706"/>
  </r>
  <r>
    <x v="707"/>
  </r>
  <r>
    <x v="708"/>
  </r>
  <r>
    <x v="709"/>
  </r>
  <r>
    <x v="710"/>
  </r>
  <r>
    <x v="711"/>
  </r>
  <r>
    <x v="712"/>
  </r>
  <r>
    <x v="713"/>
  </r>
  <r>
    <x v="714"/>
  </r>
  <r>
    <x v="715"/>
  </r>
  <r>
    <x v="716"/>
  </r>
  <r>
    <x v="717"/>
  </r>
  <r>
    <x v="718"/>
  </r>
  <r>
    <x v="719"/>
  </r>
  <r>
    <x v="720"/>
  </r>
  <r>
    <x v="721"/>
  </r>
  <r>
    <x v="722"/>
  </r>
  <r>
    <x v="723"/>
  </r>
  <r>
    <x v="724"/>
  </r>
  <r>
    <x v="725"/>
  </r>
  <r>
    <x v="726"/>
  </r>
  <r>
    <x v="727"/>
  </r>
  <r>
    <x v="728"/>
  </r>
  <r>
    <x v="729"/>
  </r>
  <r>
    <x v="730"/>
  </r>
  <r>
    <x v="731"/>
  </r>
  <r>
    <x v="732"/>
  </r>
  <r>
    <x v="733"/>
  </r>
  <r>
    <x v="734"/>
  </r>
  <r>
    <x v="735"/>
  </r>
  <r>
    <x v="736"/>
  </r>
  <r>
    <x v="737"/>
  </r>
  <r>
    <x v="738"/>
  </r>
  <r>
    <x v="739"/>
  </r>
  <r>
    <x v="740"/>
  </r>
  <r>
    <x v="741"/>
  </r>
  <r>
    <x v="742"/>
  </r>
  <r>
    <x v="743"/>
  </r>
  <r>
    <x v="744"/>
  </r>
  <r>
    <x v="151"/>
  </r>
  <r>
    <x v="745"/>
  </r>
  <r>
    <x v="746"/>
  </r>
  <r>
    <x v="747"/>
  </r>
  <r>
    <x v="748"/>
  </r>
  <r>
    <x v="749"/>
  </r>
  <r>
    <x v="750"/>
  </r>
  <r>
    <x v="751"/>
  </r>
  <r>
    <x v="752"/>
  </r>
  <r>
    <x v="753"/>
  </r>
  <r>
    <x v="754"/>
  </r>
  <r>
    <x v="755"/>
  </r>
  <r>
    <x v="756"/>
  </r>
  <r>
    <x v="757"/>
  </r>
  <r>
    <x v="758"/>
  </r>
  <r>
    <x v="759"/>
  </r>
  <r>
    <x v="760"/>
  </r>
  <r>
    <x v="761"/>
  </r>
  <r>
    <x v="762"/>
  </r>
  <r>
    <x v="763"/>
  </r>
  <r>
    <x v="764"/>
  </r>
  <r>
    <x v="765"/>
  </r>
  <r>
    <x v="766"/>
  </r>
  <r>
    <x v="767"/>
  </r>
  <r>
    <x v="768"/>
  </r>
  <r>
    <x v="769"/>
  </r>
  <r>
    <x v="770"/>
  </r>
  <r>
    <x v="771"/>
  </r>
  <r>
    <x v="366"/>
  </r>
  <r>
    <x v="772"/>
  </r>
  <r>
    <x v="773"/>
  </r>
  <r>
    <x v="774"/>
  </r>
  <r>
    <x v="775"/>
  </r>
  <r>
    <x v="776"/>
  </r>
  <r>
    <x v="777"/>
  </r>
  <r>
    <x v="778"/>
  </r>
  <r>
    <x v="779"/>
  </r>
  <r>
    <x v="780"/>
  </r>
  <r>
    <x v="781"/>
  </r>
  <r>
    <x v="782"/>
  </r>
  <r>
    <x v="783"/>
  </r>
  <r>
    <x v="784"/>
  </r>
  <r>
    <x v="785"/>
  </r>
  <r>
    <x v="786"/>
  </r>
  <r>
    <x v="787"/>
  </r>
  <r>
    <x v="788"/>
  </r>
  <r>
    <x v="789"/>
  </r>
  <r>
    <x v="790"/>
  </r>
  <r>
    <x v="791"/>
  </r>
  <r>
    <x v="792"/>
  </r>
  <r>
    <x v="793"/>
  </r>
  <r>
    <x v="794"/>
  </r>
  <r>
    <x v="795"/>
  </r>
  <r>
    <x v="796"/>
  </r>
  <r>
    <x v="797"/>
  </r>
  <r>
    <x v="798"/>
  </r>
  <r>
    <x v="799"/>
  </r>
  <r>
    <x v="800"/>
  </r>
  <r>
    <x v="801"/>
  </r>
  <r>
    <x v="802"/>
  </r>
  <r>
    <x v="803"/>
  </r>
  <r>
    <x v="804"/>
  </r>
  <r>
    <x v="805"/>
  </r>
  <r>
    <x v="806"/>
  </r>
  <r>
    <x v="807"/>
  </r>
  <r>
    <x v="808"/>
  </r>
  <r>
    <x v="809"/>
  </r>
  <r>
    <x v="810"/>
  </r>
  <r>
    <x v="811"/>
  </r>
  <r>
    <x v="812"/>
  </r>
  <r>
    <x v="813"/>
  </r>
  <r>
    <x v="814"/>
  </r>
  <r>
    <x v="815"/>
  </r>
  <r>
    <x v="816"/>
  </r>
  <r>
    <x v="817"/>
  </r>
  <r>
    <x v="818"/>
  </r>
  <r>
    <x v="819"/>
  </r>
  <r>
    <x v="820"/>
  </r>
  <r>
    <x v="821"/>
  </r>
  <r>
    <x v="822"/>
  </r>
  <r>
    <x v="823"/>
  </r>
  <r>
    <x v="824"/>
  </r>
  <r>
    <x v="825"/>
  </r>
  <r>
    <x v="826"/>
  </r>
  <r>
    <x v="827"/>
  </r>
  <r>
    <x v="828"/>
  </r>
  <r>
    <x v="829"/>
  </r>
  <r>
    <x v="830"/>
  </r>
  <r>
    <x v="831"/>
  </r>
  <r>
    <x v="832"/>
  </r>
  <r>
    <x v="833"/>
  </r>
  <r>
    <x v="834"/>
  </r>
  <r>
    <x v="835"/>
  </r>
  <r>
    <x v="836"/>
  </r>
  <r>
    <x v="837"/>
  </r>
  <r>
    <x v="838"/>
  </r>
  <r>
    <x v="839"/>
  </r>
  <r>
    <x v="840"/>
  </r>
  <r>
    <x v="841"/>
  </r>
  <r>
    <x v="842"/>
  </r>
  <r>
    <x v="843"/>
  </r>
  <r>
    <x v="844"/>
  </r>
  <r>
    <x v="845"/>
  </r>
  <r>
    <x v="846"/>
  </r>
  <r>
    <x v="847"/>
  </r>
  <r>
    <x v="848"/>
  </r>
  <r>
    <x v="849"/>
  </r>
  <r>
    <x v="850"/>
  </r>
  <r>
    <x v="851"/>
  </r>
  <r>
    <x v="852"/>
  </r>
  <r>
    <x v="853"/>
  </r>
  <r>
    <x v="854"/>
  </r>
  <r>
    <x v="855"/>
  </r>
  <r>
    <x v="856"/>
  </r>
  <r>
    <x v="857"/>
  </r>
  <r>
    <x v="858"/>
  </r>
  <r>
    <x v="859"/>
  </r>
  <r>
    <x v="860"/>
  </r>
  <r>
    <x v="861"/>
  </r>
  <r>
    <x v="862"/>
  </r>
  <r>
    <x v="863"/>
  </r>
  <r>
    <x v="864"/>
  </r>
  <r>
    <x v="865"/>
  </r>
  <r>
    <x v="866"/>
  </r>
  <r>
    <x v="867"/>
  </r>
  <r>
    <x v="868"/>
  </r>
  <r>
    <x v="869"/>
  </r>
  <r>
    <x v="870"/>
  </r>
  <r>
    <x v="871"/>
  </r>
  <r>
    <x v="872"/>
  </r>
  <r>
    <x v="873"/>
  </r>
  <r>
    <x v="874"/>
  </r>
  <r>
    <x v="875"/>
  </r>
  <r>
    <x v="876"/>
  </r>
  <r>
    <x v="877"/>
  </r>
  <r>
    <x v="878"/>
  </r>
  <r>
    <x v="879"/>
  </r>
  <r>
    <x v="880"/>
  </r>
  <r>
    <x v="881"/>
  </r>
  <r>
    <x v="882"/>
  </r>
  <r>
    <x v="883"/>
  </r>
  <r>
    <x v="884"/>
  </r>
  <r>
    <x v="885"/>
  </r>
  <r>
    <x v="886"/>
  </r>
  <r>
    <x v="887"/>
  </r>
  <r>
    <x v="870"/>
  </r>
  <r>
    <x v="888"/>
  </r>
  <r>
    <x v="889"/>
  </r>
  <r>
    <x v="890"/>
  </r>
  <r>
    <x v="891"/>
  </r>
  <r>
    <x v="892"/>
  </r>
  <r>
    <x v="893"/>
  </r>
  <r>
    <x v="894"/>
  </r>
  <r>
    <x v="895"/>
  </r>
  <r>
    <x v="896"/>
  </r>
  <r>
    <x v="897"/>
  </r>
  <r>
    <x v="898"/>
  </r>
  <r>
    <x v="899"/>
  </r>
  <r>
    <x v="900"/>
  </r>
  <r>
    <x v="901"/>
  </r>
  <r>
    <x v="902"/>
  </r>
  <r>
    <x v="903"/>
  </r>
  <r>
    <x v="904"/>
  </r>
  <r>
    <x v="905"/>
  </r>
  <r>
    <x v="906"/>
  </r>
  <r>
    <x v="907"/>
  </r>
  <r>
    <x v="908"/>
  </r>
  <r>
    <x v="909"/>
  </r>
  <r>
    <x v="910"/>
  </r>
  <r>
    <x v="911"/>
  </r>
  <r>
    <x v="912"/>
  </r>
  <r>
    <x v="913"/>
  </r>
  <r>
    <x v="914"/>
  </r>
  <r>
    <x v="915"/>
  </r>
  <r>
    <x v="916"/>
  </r>
  <r>
    <x v="917"/>
  </r>
  <r>
    <x v="918"/>
  </r>
  <r>
    <x v="919"/>
  </r>
  <r>
    <x v="920"/>
  </r>
  <r>
    <x v="921"/>
  </r>
  <r>
    <x v="922"/>
  </r>
  <r>
    <x v="923"/>
  </r>
  <r>
    <x v="924"/>
  </r>
  <r>
    <x v="925"/>
  </r>
  <r>
    <x v="926"/>
  </r>
  <r>
    <x v="927"/>
  </r>
  <r>
    <x v="928"/>
  </r>
  <r>
    <x v="929"/>
  </r>
  <r>
    <x v="930"/>
  </r>
  <r>
    <x v="931"/>
  </r>
  <r>
    <x v="932"/>
  </r>
  <r>
    <x v="933"/>
  </r>
  <r>
    <x v="934"/>
  </r>
  <r>
    <x v="935"/>
  </r>
  <r>
    <x v="936"/>
  </r>
  <r>
    <x v="937"/>
  </r>
  <r>
    <x v="938"/>
  </r>
  <r>
    <x v="939"/>
  </r>
  <r>
    <x v="940"/>
  </r>
  <r>
    <x v="941"/>
  </r>
  <r>
    <x v="942"/>
  </r>
  <r>
    <x v="943"/>
  </r>
  <r>
    <x v="944"/>
  </r>
  <r>
    <x v="945"/>
  </r>
  <r>
    <x v="946"/>
  </r>
  <r>
    <x v="947"/>
  </r>
  <r>
    <x v="948"/>
  </r>
  <r>
    <x v="949"/>
  </r>
  <r>
    <x v="950"/>
  </r>
  <r>
    <x v="951"/>
  </r>
  <r>
    <x v="952"/>
  </r>
  <r>
    <x v="953"/>
  </r>
  <r>
    <x v="954"/>
  </r>
  <r>
    <x v="955"/>
  </r>
  <r>
    <x v="956"/>
  </r>
  <r>
    <x v="957"/>
  </r>
  <r>
    <x v="958"/>
  </r>
  <r>
    <x v="959"/>
  </r>
  <r>
    <x v="960"/>
  </r>
  <r>
    <x v="961"/>
  </r>
  <r>
    <x v="962"/>
  </r>
  <r>
    <x v="963"/>
  </r>
  <r>
    <x v="964"/>
  </r>
  <r>
    <x v="965"/>
  </r>
  <r>
    <x v="966"/>
  </r>
  <r>
    <x v="967"/>
  </r>
  <r>
    <x v="968"/>
  </r>
  <r>
    <x v="969"/>
  </r>
  <r>
    <x v="970"/>
  </r>
  <r>
    <x v="971"/>
  </r>
  <r>
    <x v="972"/>
  </r>
  <r>
    <x v="973"/>
  </r>
  <r>
    <x v="974"/>
  </r>
  <r>
    <x v="975"/>
  </r>
  <r>
    <x v="976"/>
  </r>
  <r>
    <x v="977"/>
  </r>
  <r>
    <x v="978"/>
  </r>
  <r>
    <x v="979"/>
  </r>
  <r>
    <x v="980"/>
  </r>
  <r>
    <x v="981"/>
  </r>
  <r>
    <x v="982"/>
  </r>
  <r>
    <x v="983"/>
  </r>
  <r>
    <x v="984"/>
  </r>
  <r>
    <x v="985"/>
  </r>
  <r>
    <x v="986"/>
  </r>
  <r>
    <x v="987"/>
  </r>
  <r>
    <x v="988"/>
  </r>
  <r>
    <x v="989"/>
  </r>
  <r>
    <x v="990"/>
  </r>
  <r>
    <x v="991"/>
  </r>
  <r>
    <x v="992"/>
  </r>
  <r>
    <x v="993"/>
  </r>
  <r>
    <x v="994"/>
  </r>
  <r>
    <x v="995"/>
  </r>
  <r>
    <x v="996"/>
  </r>
  <r>
    <x v="997"/>
  </r>
  <r>
    <x v="998"/>
  </r>
  <r>
    <x v="999"/>
  </r>
  <r>
    <x v="1000"/>
  </r>
  <r>
    <x v="1001"/>
  </r>
  <r>
    <x v="1002"/>
  </r>
  <r>
    <x v="1003"/>
  </r>
  <r>
    <x v="1004"/>
  </r>
  <r>
    <x v="1005"/>
  </r>
  <r>
    <x v="1006"/>
  </r>
  <r>
    <x v="1007"/>
  </r>
  <r>
    <x v="1008"/>
  </r>
  <r>
    <x v="1009"/>
  </r>
  <r>
    <x v="1010"/>
  </r>
  <r>
    <x v="1011"/>
  </r>
  <r>
    <x v="1012"/>
  </r>
  <r>
    <x v="1013"/>
  </r>
  <r>
    <x v="1014"/>
  </r>
  <r>
    <x v="1015"/>
  </r>
  <r>
    <x v="1016"/>
  </r>
  <r>
    <x v="1017"/>
  </r>
  <r>
    <x v="1018"/>
  </r>
  <r>
    <x v="1019"/>
  </r>
  <r>
    <x v="1020"/>
  </r>
  <r>
    <x v="1021"/>
  </r>
  <r>
    <x v="1022"/>
  </r>
  <r>
    <x v="1023"/>
  </r>
  <r>
    <x v="1024"/>
  </r>
  <r>
    <x v="1025"/>
  </r>
  <r>
    <x v="1026"/>
  </r>
  <r>
    <x v="1027"/>
  </r>
  <r>
    <x v="1028"/>
  </r>
  <r>
    <x v="1029"/>
  </r>
  <r>
    <x v="1030"/>
  </r>
  <r>
    <x v="1031"/>
  </r>
  <r>
    <x v="1032"/>
  </r>
  <r>
    <x v="1033"/>
  </r>
  <r>
    <x v="1034"/>
  </r>
  <r>
    <x v="1035"/>
  </r>
  <r>
    <x v="1036"/>
  </r>
  <r>
    <x v="1037"/>
  </r>
  <r>
    <x v="1038"/>
  </r>
  <r>
    <x v="1039"/>
  </r>
  <r>
    <x v="1040"/>
  </r>
  <r>
    <x v="1041"/>
  </r>
  <r>
    <x v="1042"/>
  </r>
  <r>
    <x v="1043"/>
  </r>
  <r>
    <x v="1044"/>
  </r>
  <r>
    <x v="1045"/>
  </r>
  <r>
    <x v="1046"/>
  </r>
  <r>
    <x v="1047"/>
  </r>
  <r>
    <x v="1048"/>
  </r>
  <r>
    <x v="1049"/>
  </r>
  <r>
    <x v="1050"/>
  </r>
  <r>
    <x v="1051"/>
  </r>
  <r>
    <x v="1052"/>
  </r>
  <r>
    <x v="1053"/>
  </r>
  <r>
    <x v="1054"/>
  </r>
  <r>
    <x v="1055"/>
  </r>
  <r>
    <x v="1056"/>
  </r>
  <r>
    <x v="1057"/>
  </r>
  <r>
    <x v="1058"/>
  </r>
  <r>
    <x v="1059"/>
  </r>
  <r>
    <x v="1060"/>
  </r>
  <r>
    <x v="1061"/>
  </r>
  <r>
    <x v="1062"/>
  </r>
  <r>
    <x v="1063"/>
  </r>
  <r>
    <x v="1064"/>
  </r>
  <r>
    <x v="1065"/>
  </r>
  <r>
    <x v="1066"/>
  </r>
  <r>
    <x v="1067"/>
  </r>
  <r>
    <x v="1068"/>
  </r>
  <r>
    <x v="1069"/>
  </r>
  <r>
    <x v="1070"/>
  </r>
  <r>
    <x v="1071"/>
  </r>
  <r>
    <x v="1072"/>
  </r>
  <r>
    <x v="1073"/>
  </r>
  <r>
    <x v="1074"/>
  </r>
  <r>
    <x v="1075"/>
  </r>
  <r>
    <x v="1076"/>
  </r>
  <r>
    <x v="1077"/>
  </r>
  <r>
    <x v="1078"/>
  </r>
  <r>
    <x v="1079"/>
  </r>
  <r>
    <x v="1080"/>
  </r>
  <r>
    <x v="1081"/>
  </r>
  <r>
    <x v="1082"/>
  </r>
  <r>
    <x v="1083"/>
  </r>
  <r>
    <x v="1084"/>
  </r>
  <r>
    <x v="1085"/>
  </r>
  <r>
    <x v="1086"/>
  </r>
  <r>
    <x v="1087"/>
  </r>
  <r>
    <x v="1088"/>
  </r>
  <r>
    <x v="1089"/>
  </r>
  <r>
    <x v="1090"/>
  </r>
  <r>
    <x v="1091"/>
  </r>
  <r>
    <x v="1092"/>
  </r>
  <r>
    <x v="1093"/>
  </r>
  <r>
    <x v="1094"/>
  </r>
  <r>
    <x v="1095"/>
  </r>
  <r>
    <x v="1096"/>
  </r>
  <r>
    <x v="1097"/>
  </r>
  <r>
    <x v="1098"/>
  </r>
  <r>
    <x v="1099"/>
  </r>
  <r>
    <x v="1100"/>
  </r>
  <r>
    <x v="1101"/>
  </r>
  <r>
    <x v="1102"/>
  </r>
  <r>
    <x v="1103"/>
  </r>
  <r>
    <x v="1104"/>
  </r>
  <r>
    <x v="1105"/>
  </r>
  <r>
    <x v="1106"/>
  </r>
  <r>
    <x v="1107"/>
  </r>
  <r>
    <x v="1108"/>
  </r>
  <r>
    <x v="1109"/>
  </r>
  <r>
    <x v="1110"/>
  </r>
  <r>
    <x v="1111"/>
  </r>
  <r>
    <x v="1112"/>
  </r>
  <r>
    <x v="1113"/>
  </r>
  <r>
    <x v="1114"/>
  </r>
  <r>
    <x v="1115"/>
  </r>
  <r>
    <x v="1116"/>
  </r>
  <r>
    <x v="1117"/>
  </r>
  <r>
    <x v="1118"/>
  </r>
  <r>
    <x v="1119"/>
  </r>
  <r>
    <x v="1120"/>
  </r>
  <r>
    <x v="1121"/>
  </r>
  <r>
    <x v="1122"/>
  </r>
  <r>
    <x v="1123"/>
  </r>
  <r>
    <x v="1124"/>
  </r>
  <r>
    <x v="1125"/>
  </r>
  <r>
    <x v="1126"/>
  </r>
  <r>
    <x v="1127"/>
  </r>
  <r>
    <x v="1128"/>
  </r>
  <r>
    <x v="1129"/>
  </r>
  <r>
    <x v="1130"/>
  </r>
  <r>
    <x v="1131"/>
  </r>
  <r>
    <x v="1132"/>
  </r>
  <r>
    <x v="1133"/>
  </r>
  <r>
    <x v="1134"/>
  </r>
  <r>
    <x v="1135"/>
  </r>
  <r>
    <x v="1136"/>
  </r>
  <r>
    <x v="1137"/>
  </r>
  <r>
    <x v="1138"/>
  </r>
  <r>
    <x v="1139"/>
  </r>
  <r>
    <x v="1140"/>
  </r>
  <r>
    <x v="1141"/>
  </r>
  <r>
    <x v="1142"/>
  </r>
  <r>
    <x v="1143"/>
  </r>
  <r>
    <x v="1144"/>
  </r>
  <r>
    <x v="1129"/>
  </r>
  <r>
    <x v="1145"/>
  </r>
  <r>
    <x v="1146"/>
  </r>
  <r>
    <x v="1147"/>
  </r>
  <r>
    <x v="1148"/>
  </r>
  <r>
    <x v="1149"/>
  </r>
  <r>
    <x v="1150"/>
  </r>
  <r>
    <x v="1151"/>
  </r>
  <r>
    <x v="1152"/>
  </r>
  <r>
    <x v="1153"/>
  </r>
  <r>
    <x v="1154"/>
  </r>
  <r>
    <x v="1155"/>
  </r>
  <r>
    <x v="1156"/>
  </r>
  <r>
    <x v="1157"/>
  </r>
  <r>
    <x v="1158"/>
  </r>
  <r>
    <x v="1159"/>
  </r>
  <r>
    <x v="1160"/>
  </r>
  <r>
    <x v="1161"/>
  </r>
  <r>
    <x v="1162"/>
  </r>
  <r>
    <x v="1163"/>
  </r>
  <r>
    <x v="1164"/>
  </r>
  <r>
    <x v="1165"/>
  </r>
  <r>
    <x v="1166"/>
  </r>
  <r>
    <x v="1167"/>
  </r>
  <r>
    <x v="1168"/>
  </r>
  <r>
    <x v="1169"/>
  </r>
  <r>
    <x v="1170"/>
  </r>
  <r>
    <x v="1171"/>
  </r>
  <r>
    <x v="1172"/>
  </r>
  <r>
    <x v="1173"/>
  </r>
  <r>
    <x v="1174"/>
  </r>
  <r>
    <x v="1175"/>
  </r>
  <r>
    <x v="1176"/>
  </r>
  <r>
    <x v="1177"/>
  </r>
  <r>
    <x v="1178"/>
  </r>
  <r>
    <x v="1179"/>
  </r>
  <r>
    <x v="1180"/>
  </r>
  <r>
    <x v="1181"/>
  </r>
  <r>
    <x v="1182"/>
  </r>
  <r>
    <x v="1183"/>
  </r>
  <r>
    <x v="1184"/>
  </r>
  <r>
    <x v="1185"/>
  </r>
  <r>
    <x v="1186"/>
  </r>
  <r>
    <x v="1187"/>
  </r>
  <r>
    <x v="1188"/>
  </r>
  <r>
    <x v="1189"/>
  </r>
  <r>
    <x v="1190"/>
  </r>
  <r>
    <x v="1191"/>
  </r>
  <r>
    <x v="1192"/>
  </r>
  <r>
    <x v="1193"/>
  </r>
  <r>
    <x v="1194"/>
  </r>
  <r>
    <x v="1195"/>
  </r>
  <r>
    <x v="1196"/>
  </r>
  <r>
    <x v="1197"/>
  </r>
  <r>
    <x v="1198"/>
  </r>
  <r>
    <x v="1199"/>
  </r>
  <r>
    <x v="1200"/>
  </r>
  <r>
    <x v="1201"/>
  </r>
  <r>
    <x v="1202"/>
  </r>
  <r>
    <x v="1203"/>
  </r>
  <r>
    <x v="1204"/>
  </r>
  <r>
    <x v="1205"/>
  </r>
  <r>
    <x v="1206"/>
  </r>
  <r>
    <x v="1207"/>
  </r>
  <r>
    <x v="1208"/>
  </r>
  <r>
    <x v="1209"/>
  </r>
  <r>
    <x v="1210"/>
  </r>
  <r>
    <x v="1211"/>
  </r>
  <r>
    <x v="1212"/>
  </r>
  <r>
    <x v="1213"/>
  </r>
  <r>
    <x v="1214"/>
  </r>
  <r>
    <x v="1215"/>
  </r>
  <r>
    <x v="1216"/>
  </r>
  <r>
    <x v="1217"/>
  </r>
  <r>
    <x v="1218"/>
  </r>
  <r>
    <x v="1219"/>
  </r>
  <r>
    <x v="1220"/>
  </r>
  <r>
    <x v="1221"/>
  </r>
  <r>
    <x v="1222"/>
  </r>
  <r>
    <x v="1223"/>
  </r>
  <r>
    <x v="1224"/>
  </r>
  <r>
    <x v="1225"/>
  </r>
  <r>
    <x v="1226"/>
  </r>
  <r>
    <x v="1227"/>
  </r>
  <r>
    <x v="1228"/>
  </r>
  <r>
    <x v="1229"/>
  </r>
  <r>
    <x v="1230"/>
  </r>
  <r>
    <x v="1231"/>
  </r>
  <r>
    <x v="1232"/>
  </r>
  <r>
    <x v="1233"/>
  </r>
  <r>
    <x v="1234"/>
  </r>
  <r>
    <x v="1235"/>
  </r>
  <r>
    <x v="1236"/>
  </r>
  <r>
    <x v="1237"/>
  </r>
  <r>
    <x v="1238"/>
  </r>
  <r>
    <x v="635"/>
  </r>
  <r>
    <x v="1239"/>
  </r>
  <r>
    <x v="1240"/>
  </r>
  <r>
    <x v="1241"/>
  </r>
  <r>
    <x v="1242"/>
  </r>
  <r>
    <x v="1243"/>
  </r>
  <r>
    <x v="1244"/>
  </r>
  <r>
    <x v="1245"/>
  </r>
  <r>
    <x v="1246"/>
  </r>
  <r>
    <x v="1247"/>
  </r>
  <r>
    <x v="1248"/>
  </r>
  <r>
    <x v="1249"/>
  </r>
  <r>
    <x v="1250"/>
  </r>
  <r>
    <x v="1251"/>
  </r>
  <r>
    <x v="1252"/>
  </r>
  <r>
    <x v="1253"/>
  </r>
  <r>
    <x v="1254"/>
  </r>
  <r>
    <x v="1255"/>
  </r>
  <r>
    <x v="1256"/>
  </r>
  <r>
    <x v="1257"/>
  </r>
  <r>
    <x v="1258"/>
  </r>
  <r>
    <x v="1259"/>
  </r>
  <r>
    <x v="1260"/>
  </r>
  <r>
    <x v="1261"/>
  </r>
  <r>
    <x v="1262"/>
  </r>
  <r>
    <x v="1263"/>
  </r>
  <r>
    <x v="1264"/>
  </r>
  <r>
    <x v="1265"/>
  </r>
  <r>
    <x v="1266"/>
  </r>
  <r>
    <x v="583"/>
  </r>
  <r>
    <x v="1267"/>
  </r>
  <r>
    <x v="1268"/>
  </r>
  <r>
    <x v="1269"/>
  </r>
  <r>
    <x v="1270"/>
  </r>
  <r>
    <x v="1271"/>
  </r>
  <r>
    <x v="1272"/>
  </r>
  <r>
    <x v="1273"/>
  </r>
  <r>
    <x v="1274"/>
  </r>
  <r>
    <x v="1275"/>
  </r>
  <r>
    <x v="1276"/>
  </r>
  <r>
    <x v="1277"/>
  </r>
  <r>
    <x v="1278"/>
  </r>
  <r>
    <x v="1279"/>
  </r>
  <r>
    <x v="1280"/>
  </r>
  <r>
    <x v="1281"/>
  </r>
  <r>
    <x v="1282"/>
  </r>
  <r>
    <x v="1283"/>
  </r>
  <r>
    <x v="1284"/>
  </r>
  <r>
    <x v="1285"/>
  </r>
  <r>
    <x v="1286"/>
  </r>
  <r>
    <x v="1287"/>
  </r>
  <r>
    <x v="1288"/>
  </r>
  <r>
    <x v="880"/>
  </r>
  <r>
    <x v="1289"/>
  </r>
  <r>
    <x v="1290"/>
  </r>
  <r>
    <x v="1291"/>
  </r>
  <r>
    <x v="1292"/>
  </r>
  <r>
    <x v="1293"/>
  </r>
  <r>
    <x v="1294"/>
  </r>
  <r>
    <x v="1295"/>
  </r>
  <r>
    <x v="1296"/>
  </r>
  <r>
    <x v="1297"/>
  </r>
  <r>
    <x v="1298"/>
  </r>
  <r>
    <x v="1299"/>
  </r>
  <r>
    <x v="1300"/>
  </r>
  <r>
    <x v="1301"/>
  </r>
  <r>
    <x v="1302"/>
  </r>
  <r>
    <x v="1303"/>
  </r>
  <r>
    <x v="1304"/>
  </r>
  <r>
    <x v="1305"/>
  </r>
  <r>
    <x v="1306"/>
  </r>
  <r>
    <x v="1307"/>
  </r>
  <r>
    <x v="1308"/>
  </r>
  <r>
    <x v="1309"/>
  </r>
  <r>
    <x v="1310"/>
  </r>
  <r>
    <x v="1311"/>
  </r>
  <r>
    <x v="1312"/>
  </r>
  <r>
    <x v="1313"/>
  </r>
  <r>
    <x v="1314"/>
  </r>
  <r>
    <x v="1315"/>
  </r>
  <r>
    <x v="1316"/>
  </r>
  <r>
    <x v="1317"/>
  </r>
  <r>
    <x v="1318"/>
  </r>
  <r>
    <x v="1319"/>
  </r>
  <r>
    <x v="1320"/>
  </r>
  <r>
    <x v="1321"/>
  </r>
  <r>
    <x v="1322"/>
  </r>
  <r>
    <x v="1323"/>
  </r>
  <r>
    <x v="1324"/>
  </r>
  <r>
    <x v="1325"/>
  </r>
  <r>
    <x v="1326"/>
  </r>
  <r>
    <x v="1327"/>
  </r>
  <r>
    <x v="1328"/>
  </r>
  <r>
    <x v="1329"/>
  </r>
  <r>
    <x v="1330"/>
  </r>
  <r>
    <x v="1331"/>
  </r>
  <r>
    <x v="1332"/>
  </r>
  <r>
    <x v="1333"/>
  </r>
  <r>
    <x v="1334"/>
  </r>
  <r>
    <x v="1335"/>
  </r>
  <r>
    <x v="1336"/>
  </r>
  <r>
    <x v="1337"/>
  </r>
  <r>
    <x v="1338"/>
  </r>
  <r>
    <x v="1339"/>
  </r>
  <r>
    <x v="1340"/>
  </r>
  <r>
    <x v="1341"/>
  </r>
  <r>
    <x v="1342"/>
  </r>
  <r>
    <x v="1343"/>
  </r>
  <r>
    <x v="1344"/>
  </r>
  <r>
    <x v="1345"/>
  </r>
  <r>
    <x v="1346"/>
  </r>
  <r>
    <x v="1085"/>
  </r>
  <r>
    <x v="1347"/>
  </r>
  <r>
    <x v="1348"/>
  </r>
  <r>
    <x v="1349"/>
  </r>
  <r>
    <x v="1350"/>
  </r>
  <r>
    <x v="1351"/>
  </r>
  <r>
    <x v="1352"/>
  </r>
  <r>
    <x v="1353"/>
  </r>
  <r>
    <x v="1354"/>
  </r>
  <r>
    <x v="852"/>
  </r>
  <r>
    <x v="1350"/>
  </r>
  <r>
    <x v="1355"/>
  </r>
  <r>
    <x v="1356"/>
  </r>
  <r>
    <x v="1357"/>
  </r>
  <r>
    <x v="1358"/>
  </r>
  <r>
    <x v="1359"/>
  </r>
  <r>
    <x v="1360"/>
  </r>
  <r>
    <x v="1361"/>
  </r>
  <r>
    <x v="1362"/>
  </r>
  <r>
    <x v="1363"/>
  </r>
  <r>
    <x v="1364"/>
  </r>
  <r>
    <x v="1365"/>
  </r>
  <r>
    <x v="1366"/>
  </r>
  <r>
    <x v="1367"/>
  </r>
  <r>
    <x v="1368"/>
  </r>
  <r>
    <x v="1369"/>
  </r>
  <r>
    <x v="1370"/>
  </r>
  <r>
    <x v="1371"/>
  </r>
  <r>
    <x v="1372"/>
  </r>
  <r>
    <x v="1373"/>
  </r>
  <r>
    <x v="1374"/>
  </r>
  <r>
    <x v="1375"/>
  </r>
  <r>
    <x v="1376"/>
  </r>
  <r>
    <x v="1377"/>
  </r>
  <r>
    <x v="1378"/>
  </r>
  <r>
    <x v="1379"/>
  </r>
  <r>
    <x v="1380"/>
  </r>
  <r>
    <x v="1381"/>
  </r>
  <r>
    <x v="1382"/>
  </r>
  <r>
    <x v="1383"/>
  </r>
  <r>
    <x v="1384"/>
  </r>
  <r>
    <x v="1385"/>
  </r>
  <r>
    <x v="1386"/>
  </r>
  <r>
    <x v="1387"/>
  </r>
  <r>
    <x v="1388"/>
  </r>
  <r>
    <x v="1389"/>
  </r>
  <r>
    <x v="1390"/>
  </r>
  <r>
    <x v="1391"/>
  </r>
  <r>
    <x v="1392"/>
  </r>
  <r>
    <x v="1393"/>
  </r>
  <r>
    <x v="1394"/>
  </r>
  <r>
    <x v="1395"/>
  </r>
  <r>
    <x v="1396"/>
  </r>
  <r>
    <x v="1397"/>
  </r>
  <r>
    <x v="1398"/>
  </r>
  <r>
    <x v="1399"/>
  </r>
  <r>
    <x v="1400"/>
  </r>
  <r>
    <x v="1401"/>
  </r>
  <r>
    <x v="1402"/>
  </r>
  <r>
    <x v="1403"/>
  </r>
  <r>
    <x v="1404"/>
  </r>
  <r>
    <x v="1405"/>
  </r>
  <r>
    <x v="1406"/>
  </r>
  <r>
    <x v="1407"/>
  </r>
  <r>
    <x v="1408"/>
  </r>
  <r>
    <x v="1409"/>
  </r>
  <r>
    <x v="1410"/>
  </r>
  <r>
    <x v="1411"/>
  </r>
  <r>
    <x v="1412"/>
  </r>
  <r>
    <x v="1413"/>
  </r>
  <r>
    <x v="1414"/>
  </r>
  <r>
    <x v="1415"/>
  </r>
  <r>
    <x v="1416"/>
  </r>
  <r>
    <x v="1417"/>
  </r>
  <r>
    <x v="1418"/>
  </r>
  <r>
    <x v="1419"/>
  </r>
  <r>
    <x v="1420"/>
  </r>
  <r>
    <x v="1421"/>
  </r>
  <r>
    <x v="1422"/>
  </r>
  <r>
    <x v="1423"/>
  </r>
  <r>
    <x v="1424"/>
  </r>
  <r>
    <x v="1425"/>
  </r>
  <r>
    <x v="1426"/>
  </r>
  <r>
    <x v="1427"/>
  </r>
  <r>
    <x v="1428"/>
  </r>
  <r>
    <x v="1429"/>
  </r>
  <r>
    <x v="1430"/>
  </r>
  <r>
    <x v="1431"/>
  </r>
  <r>
    <x v="1432"/>
  </r>
  <r>
    <x v="1433"/>
  </r>
  <r>
    <x v="1434"/>
  </r>
  <r>
    <x v="1435"/>
  </r>
  <r>
    <x v="683"/>
  </r>
  <r>
    <x v="1436"/>
  </r>
  <r>
    <x v="1437"/>
  </r>
  <r>
    <x v="1438"/>
  </r>
  <r>
    <x v="1439"/>
  </r>
  <r>
    <x v="1440"/>
  </r>
  <r>
    <x v="1441"/>
  </r>
  <r>
    <x v="1442"/>
  </r>
  <r>
    <x v="1443"/>
  </r>
  <r>
    <x v="1444"/>
  </r>
  <r>
    <x v="1445"/>
  </r>
  <r>
    <x v="1446"/>
  </r>
  <r>
    <x v="1447"/>
  </r>
  <r>
    <x v="1448"/>
  </r>
  <r>
    <x v="1449"/>
  </r>
  <r>
    <x v="1450"/>
  </r>
  <r>
    <x v="1451"/>
  </r>
  <r>
    <x v="1452"/>
  </r>
  <r>
    <x v="1453"/>
  </r>
  <r>
    <x v="1454"/>
  </r>
  <r>
    <x v="1455"/>
  </r>
  <r>
    <x v="1456"/>
  </r>
  <r>
    <x v="1457"/>
  </r>
  <r>
    <x v="1458"/>
  </r>
  <r>
    <x v="1459"/>
  </r>
  <r>
    <x v="1460"/>
  </r>
  <r>
    <x v="1461"/>
  </r>
  <r>
    <x v="1462"/>
  </r>
  <r>
    <x v="1463"/>
  </r>
  <r>
    <x v="1464"/>
  </r>
  <r>
    <x v="1465"/>
  </r>
  <r>
    <x v="1466"/>
  </r>
  <r>
    <x v="1467"/>
  </r>
  <r>
    <x v="1468"/>
  </r>
  <r>
    <x v="1469"/>
  </r>
  <r>
    <x v="1470"/>
  </r>
  <r>
    <x v="1471"/>
  </r>
  <r>
    <x v="1472"/>
  </r>
  <r>
    <x v="1473"/>
  </r>
  <r>
    <x v="1474"/>
  </r>
  <r>
    <x v="1475"/>
  </r>
  <r>
    <x v="1476"/>
  </r>
  <r>
    <x v="1477"/>
  </r>
  <r>
    <x v="1478"/>
  </r>
  <r>
    <x v="1479"/>
  </r>
  <r>
    <x v="1480"/>
  </r>
  <r>
    <x v="1481"/>
  </r>
  <r>
    <x v="1482"/>
  </r>
  <r>
    <x v="1483"/>
  </r>
  <r>
    <x v="1484"/>
  </r>
  <r>
    <x v="1485"/>
  </r>
  <r>
    <x v="1486"/>
  </r>
  <r>
    <x v="1487"/>
  </r>
  <r>
    <x v="1488"/>
  </r>
  <r>
    <x v="1489"/>
  </r>
  <r>
    <x v="1490"/>
  </r>
  <r>
    <x v="1491"/>
  </r>
  <r>
    <x v="1492"/>
  </r>
  <r>
    <x v="1493"/>
  </r>
  <r>
    <x v="1494"/>
  </r>
  <r>
    <x v="1495"/>
  </r>
  <r>
    <x v="1496"/>
  </r>
  <r>
    <x v="1497"/>
  </r>
  <r>
    <x v="1498"/>
  </r>
  <r>
    <x v="1499"/>
  </r>
  <r>
    <x v="1500"/>
  </r>
  <r>
    <x v="1501"/>
  </r>
  <r>
    <x v="1502"/>
  </r>
  <r>
    <x v="1503"/>
  </r>
  <r>
    <x v="1504"/>
  </r>
  <r>
    <x v="1505"/>
  </r>
  <r>
    <x v="1506"/>
  </r>
  <r>
    <x v="1507"/>
  </r>
  <r>
    <x v="1508"/>
  </r>
  <r>
    <x v="1509"/>
  </r>
  <r>
    <x v="1510"/>
  </r>
  <r>
    <x v="1511"/>
  </r>
  <r>
    <x v="1512"/>
  </r>
  <r>
    <x v="1513"/>
  </r>
  <r>
    <x v="1514"/>
  </r>
  <r>
    <x v="1515"/>
  </r>
  <r>
    <x v="1516"/>
  </r>
  <r>
    <x v="1517"/>
  </r>
  <r>
    <x v="1518"/>
  </r>
  <r>
    <x v="1519"/>
  </r>
  <r>
    <x v="1520"/>
  </r>
  <r>
    <x v="1521"/>
  </r>
  <r>
    <x v="1522"/>
  </r>
  <r>
    <x v="1523"/>
  </r>
  <r>
    <x v="1524"/>
  </r>
  <r>
    <x v="1525"/>
  </r>
  <r>
    <x v="1526"/>
  </r>
  <r>
    <x v="1527"/>
  </r>
  <r>
    <x v="1528"/>
  </r>
  <r>
    <x v="1529"/>
  </r>
  <r>
    <x v="1530"/>
  </r>
  <r>
    <x v="1531"/>
  </r>
  <r>
    <x v="1532"/>
  </r>
  <r>
    <x v="1533"/>
  </r>
  <r>
    <x v="1534"/>
  </r>
  <r>
    <x v="1535"/>
  </r>
  <r>
    <x v="1536"/>
  </r>
  <r>
    <x v="1537"/>
  </r>
  <r>
    <x v="966"/>
  </r>
  <r>
    <x v="1538"/>
  </r>
  <r>
    <x v="1539"/>
  </r>
  <r>
    <x v="1540"/>
  </r>
  <r>
    <x v="1541"/>
  </r>
  <r>
    <x v="1542"/>
  </r>
  <r>
    <x v="1543"/>
  </r>
  <r>
    <x v="1544"/>
  </r>
  <r>
    <x v="1545"/>
  </r>
  <r>
    <x v="1546"/>
  </r>
  <r>
    <x v="1547"/>
  </r>
  <r>
    <x v="1548"/>
  </r>
  <r>
    <x v="1549"/>
  </r>
  <r>
    <x v="1550"/>
  </r>
  <r>
    <x v="1551"/>
  </r>
  <r>
    <x v="1552"/>
  </r>
  <r>
    <x v="1553"/>
  </r>
  <r>
    <x v="1554"/>
  </r>
  <r>
    <x v="1555"/>
  </r>
  <r>
    <x v="1556"/>
  </r>
  <r>
    <x v="1557"/>
  </r>
  <r>
    <x v="1558"/>
  </r>
  <r>
    <x v="1559"/>
  </r>
  <r>
    <x v="1560"/>
  </r>
  <r>
    <x v="1561"/>
  </r>
  <r>
    <x v="1562"/>
  </r>
  <r>
    <x v="1563"/>
  </r>
  <r>
    <x v="356"/>
  </r>
  <r>
    <x v="1564"/>
  </r>
  <r>
    <x v="1553"/>
  </r>
  <r>
    <x v="1565"/>
  </r>
  <r>
    <x v="1566"/>
  </r>
  <r>
    <x v="1567"/>
  </r>
  <r>
    <x v="1568"/>
  </r>
  <r>
    <x v="1569"/>
  </r>
  <r>
    <x v="1570"/>
  </r>
  <r>
    <x v="1571"/>
  </r>
  <r>
    <x v="1572"/>
  </r>
  <r>
    <x v="1573"/>
  </r>
  <r>
    <x v="1574"/>
  </r>
  <r>
    <x v="1575"/>
  </r>
  <r>
    <x v="1576"/>
  </r>
  <r>
    <x v="1577"/>
  </r>
  <r>
    <x v="1578"/>
  </r>
  <r>
    <x v="1579"/>
  </r>
  <r>
    <x v="1580"/>
  </r>
  <r>
    <x v="1581"/>
  </r>
  <r>
    <x v="1582"/>
  </r>
  <r>
    <x v="1583"/>
  </r>
  <r>
    <x v="1584"/>
  </r>
  <r>
    <x v="1585"/>
  </r>
  <r>
    <x v="1586"/>
  </r>
  <r>
    <x v="1587"/>
  </r>
  <r>
    <x v="1588"/>
  </r>
  <r>
    <x v="1589"/>
  </r>
  <r>
    <x v="1590"/>
  </r>
  <r>
    <x v="1591"/>
  </r>
  <r>
    <x v="1592"/>
  </r>
  <r>
    <x v="1593"/>
  </r>
  <r>
    <x v="1594"/>
  </r>
  <r>
    <x v="1595"/>
  </r>
  <r>
    <x v="1596"/>
  </r>
  <r>
    <x v="1597"/>
  </r>
  <r>
    <x v="1598"/>
  </r>
  <r>
    <x v="1599"/>
  </r>
  <r>
    <x v="1600"/>
  </r>
  <r>
    <x v="1601"/>
  </r>
  <r>
    <x v="1602"/>
  </r>
  <r>
    <x v="1603"/>
  </r>
  <r>
    <x v="1604"/>
  </r>
  <r>
    <x v="1605"/>
  </r>
  <r>
    <x v="1606"/>
  </r>
  <r>
    <x v="1607"/>
  </r>
  <r>
    <x v="1608"/>
  </r>
  <r>
    <x v="1609"/>
  </r>
  <r>
    <x v="1610"/>
  </r>
  <r>
    <x v="1611"/>
  </r>
  <r>
    <x v="1612"/>
  </r>
  <r>
    <x v="1613"/>
  </r>
  <r>
    <x v="1614"/>
  </r>
  <r>
    <x v="1615"/>
  </r>
  <r>
    <x v="1616"/>
  </r>
  <r>
    <x v="1617"/>
  </r>
  <r>
    <x v="1618"/>
  </r>
  <r>
    <x v="1619"/>
  </r>
  <r>
    <x v="1620"/>
  </r>
  <r>
    <x v="1621"/>
  </r>
  <r>
    <x v="1622"/>
  </r>
  <r>
    <x v="1623"/>
  </r>
  <r>
    <x v="1624"/>
  </r>
  <r>
    <x v="1625"/>
  </r>
  <r>
    <x v="1626"/>
  </r>
  <r>
    <x v="1627"/>
  </r>
  <r>
    <x v="1628"/>
  </r>
  <r>
    <x v="1629"/>
  </r>
  <r>
    <x v="1630"/>
  </r>
  <r>
    <x v="1631"/>
  </r>
  <r>
    <x v="1632"/>
  </r>
  <r>
    <x v="1633"/>
  </r>
  <r>
    <x v="1634"/>
  </r>
  <r>
    <x v="1635"/>
  </r>
  <r>
    <x v="1636"/>
  </r>
  <r>
    <x v="1637"/>
  </r>
  <r>
    <x v="1638"/>
  </r>
  <r>
    <x v="1639"/>
  </r>
  <r>
    <x v="1640"/>
  </r>
  <r>
    <x v="1641"/>
  </r>
  <r>
    <x v="1642"/>
  </r>
  <r>
    <x v="1643"/>
  </r>
  <r>
    <x v="1644"/>
  </r>
  <r>
    <x v="1645"/>
  </r>
  <r>
    <x v="1646"/>
  </r>
  <r>
    <x v="1647"/>
  </r>
  <r>
    <x v="1648"/>
  </r>
  <r>
    <x v="1649"/>
  </r>
  <r>
    <x v="1650"/>
  </r>
  <r>
    <x v="1651"/>
  </r>
  <r>
    <x v="1652"/>
  </r>
  <r>
    <x v="1653"/>
  </r>
  <r>
    <x v="1654"/>
  </r>
  <r>
    <x v="1655"/>
  </r>
  <r>
    <x v="1656"/>
  </r>
  <r>
    <x v="1657"/>
  </r>
  <r>
    <x v="1658"/>
  </r>
  <r>
    <x v="1659"/>
  </r>
  <r>
    <x v="1660"/>
  </r>
  <r>
    <x v="1661"/>
  </r>
  <r>
    <x v="1662"/>
  </r>
  <r>
    <x v="1663"/>
  </r>
  <r>
    <x v="1664"/>
  </r>
  <r>
    <x v="1665"/>
  </r>
  <r>
    <x v="1666"/>
  </r>
  <r>
    <x v="1667"/>
  </r>
  <r>
    <x v="1668"/>
  </r>
  <r>
    <x v="1669"/>
  </r>
  <r>
    <x v="1670"/>
  </r>
  <r>
    <x v="1671"/>
  </r>
  <r>
    <x v="1672"/>
  </r>
  <r>
    <x v="1673"/>
  </r>
  <r>
    <x v="1674"/>
  </r>
  <r>
    <x v="1675"/>
  </r>
  <r>
    <x v="1676"/>
  </r>
  <r>
    <x v="1677"/>
  </r>
  <r>
    <x v="1678"/>
  </r>
  <r>
    <x v="1679"/>
  </r>
  <r>
    <x v="1680"/>
  </r>
  <r>
    <x v="1681"/>
  </r>
  <r>
    <x v="1682"/>
  </r>
  <r>
    <x v="1683"/>
  </r>
  <r>
    <x v="1684"/>
  </r>
  <r>
    <x v="1685"/>
  </r>
  <r>
    <x v="1686"/>
  </r>
  <r>
    <x v="1687"/>
  </r>
  <r>
    <x v="1688"/>
  </r>
  <r>
    <x v="441"/>
  </r>
  <r>
    <x v="1689"/>
  </r>
  <r>
    <x v="500"/>
  </r>
  <r>
    <x v="1690"/>
  </r>
  <r>
    <x v="1691"/>
  </r>
  <r>
    <x v="1692"/>
  </r>
  <r>
    <x v="1693"/>
  </r>
  <r>
    <x v="1694"/>
  </r>
  <r>
    <x v="1695"/>
  </r>
  <r>
    <x v="1696"/>
  </r>
  <r>
    <x v="1697"/>
  </r>
  <r>
    <x v="1698"/>
  </r>
  <r>
    <x v="1699"/>
  </r>
  <r>
    <x v="1700"/>
  </r>
  <r>
    <x v="1701"/>
  </r>
  <r>
    <x v="1702"/>
  </r>
  <r>
    <x v="1703"/>
  </r>
  <r>
    <x v="1704"/>
  </r>
  <r>
    <x v="1705"/>
  </r>
  <r>
    <x v="1706"/>
  </r>
  <r>
    <x v="1707"/>
  </r>
  <r>
    <x v="1708"/>
  </r>
  <r>
    <x v="1709"/>
  </r>
  <r>
    <x v="1710"/>
  </r>
  <r>
    <x v="1711"/>
  </r>
  <r>
    <x v="1712"/>
  </r>
  <r>
    <x v="1713"/>
  </r>
  <r>
    <x v="1714"/>
  </r>
  <r>
    <x v="1715"/>
  </r>
  <r>
    <x v="1702"/>
  </r>
  <r>
    <x v="1716"/>
  </r>
  <r>
    <x v="1717"/>
  </r>
  <r>
    <x v="1718"/>
  </r>
  <r>
    <x v="1719"/>
  </r>
  <r>
    <x v="1720"/>
  </r>
  <r>
    <x v="1721"/>
  </r>
  <r>
    <x v="1722"/>
  </r>
  <r>
    <x v="1723"/>
  </r>
  <r>
    <x v="1724"/>
  </r>
  <r>
    <x v="1725"/>
  </r>
  <r>
    <x v="1726"/>
  </r>
  <r>
    <x v="1727"/>
  </r>
  <r>
    <x v="1728"/>
  </r>
  <r>
    <x v="1729"/>
  </r>
  <r>
    <x v="1730"/>
  </r>
  <r>
    <x v="1731"/>
  </r>
  <r>
    <x v="1732"/>
  </r>
  <r>
    <x v="1733"/>
  </r>
  <r>
    <x v="1734"/>
  </r>
  <r>
    <x v="1735"/>
  </r>
  <r>
    <x v="1736"/>
  </r>
  <r>
    <x v="1737"/>
  </r>
  <r>
    <x v="1738"/>
  </r>
  <r>
    <x v="565"/>
  </r>
  <r>
    <x v="1739"/>
  </r>
  <r>
    <x v="1740"/>
  </r>
  <r>
    <x v="1741"/>
  </r>
  <r>
    <x v="1742"/>
  </r>
  <r>
    <x v="1743"/>
  </r>
  <r>
    <x v="1744"/>
  </r>
  <r>
    <x v="1745"/>
  </r>
  <r>
    <x v="1746"/>
  </r>
  <r>
    <x v="1747"/>
  </r>
  <r>
    <x v="1748"/>
  </r>
  <r>
    <x v="1749"/>
  </r>
  <r>
    <x v="1750"/>
  </r>
  <r>
    <x v="1751"/>
  </r>
  <r>
    <x v="1752"/>
  </r>
  <r>
    <x v="1753"/>
  </r>
  <r>
    <x v="1754"/>
  </r>
  <r>
    <x v="1755"/>
  </r>
  <r>
    <x v="1756"/>
  </r>
  <r>
    <x v="1757"/>
  </r>
  <r>
    <x v="1758"/>
  </r>
  <r>
    <x v="1759"/>
  </r>
  <r>
    <x v="1760"/>
  </r>
  <r>
    <x v="1761"/>
  </r>
  <r>
    <x v="1762"/>
  </r>
  <r>
    <x v="1763"/>
  </r>
  <r>
    <x v="1764"/>
  </r>
  <r>
    <x v="1765"/>
  </r>
  <r>
    <x v="1766"/>
  </r>
  <r>
    <x v="1767"/>
  </r>
  <r>
    <x v="1768"/>
  </r>
  <r>
    <x v="1769"/>
  </r>
  <r>
    <x v="1770"/>
  </r>
  <r>
    <x v="1771"/>
  </r>
  <r>
    <x v="1772"/>
  </r>
  <r>
    <x v="1773"/>
  </r>
  <r>
    <x v="1774"/>
  </r>
  <r>
    <x v="1775"/>
  </r>
  <r>
    <x v="1776"/>
  </r>
  <r>
    <x v="1777"/>
  </r>
  <r>
    <x v="1778"/>
  </r>
  <r>
    <x v="1779"/>
  </r>
  <r>
    <x v="1780"/>
  </r>
  <r>
    <x v="1781"/>
  </r>
  <r>
    <x v="1782"/>
  </r>
  <r>
    <x v="1783"/>
  </r>
  <r>
    <x v="1784"/>
  </r>
  <r>
    <x v="1785"/>
  </r>
  <r>
    <x v="1786"/>
  </r>
  <r>
    <x v="1787"/>
  </r>
  <r>
    <x v="1788"/>
  </r>
  <r>
    <x v="1789"/>
  </r>
  <r>
    <x v="1790"/>
  </r>
  <r>
    <x v="1791"/>
  </r>
  <r>
    <x v="1792"/>
  </r>
  <r>
    <x v="1793"/>
  </r>
  <r>
    <x v="1794"/>
  </r>
  <r>
    <x v="1795"/>
  </r>
  <r>
    <x v="1796"/>
  </r>
  <r>
    <x v="1797"/>
  </r>
  <r>
    <x v="1798"/>
  </r>
  <r>
    <x v="1799"/>
  </r>
  <r>
    <x v="1800"/>
  </r>
  <r>
    <x v="607"/>
  </r>
  <r>
    <x v="1801"/>
  </r>
  <r>
    <x v="1802"/>
  </r>
  <r>
    <x v="1803"/>
  </r>
  <r>
    <x v="1804"/>
  </r>
  <r>
    <x v="1805"/>
  </r>
  <r>
    <x v="1806"/>
  </r>
  <r>
    <x v="1807"/>
  </r>
  <r>
    <x v="1808"/>
  </r>
  <r>
    <x v="1809"/>
  </r>
  <r>
    <x v="1810"/>
  </r>
  <r>
    <x v="1811"/>
  </r>
  <r>
    <x v="1812"/>
  </r>
  <r>
    <x v="1813"/>
  </r>
  <r>
    <x v="1814"/>
  </r>
  <r>
    <x v="1815"/>
  </r>
  <r>
    <x v="1816"/>
  </r>
  <r>
    <x v="1817"/>
  </r>
  <r>
    <x v="1818"/>
  </r>
  <r>
    <x v="1819"/>
  </r>
  <r>
    <x v="1820"/>
  </r>
  <r>
    <x v="1821"/>
  </r>
  <r>
    <x v="1822"/>
  </r>
  <r>
    <x v="1823"/>
  </r>
  <r>
    <x v="1822"/>
  </r>
  <r>
    <x v="1824"/>
  </r>
  <r>
    <x v="1825"/>
  </r>
  <r>
    <x v="1826"/>
  </r>
  <r>
    <x v="1827"/>
  </r>
  <r>
    <x v="1828"/>
  </r>
  <r>
    <x v="1829"/>
  </r>
  <r>
    <x v="1830"/>
  </r>
  <r>
    <x v="1831"/>
  </r>
  <r>
    <x v="1832"/>
  </r>
  <r>
    <x v="1833"/>
  </r>
  <r>
    <x v="1834"/>
  </r>
  <r>
    <x v="1835"/>
  </r>
  <r>
    <x v="1836"/>
  </r>
  <r>
    <x v="1837"/>
  </r>
  <r>
    <x v="1838"/>
  </r>
  <r>
    <x v="1839"/>
  </r>
  <r>
    <x v="1840"/>
  </r>
  <r>
    <x v="1841"/>
  </r>
  <r>
    <x v="1838"/>
  </r>
  <r>
    <x v="1842"/>
  </r>
  <r>
    <x v="1843"/>
  </r>
  <r>
    <x v="1844"/>
  </r>
  <r>
    <x v="1845"/>
  </r>
  <r>
    <x v="1846"/>
  </r>
  <r>
    <x v="1847"/>
  </r>
  <r>
    <x v="1848"/>
  </r>
  <r>
    <x v="1847"/>
  </r>
  <r>
    <x v="1849"/>
  </r>
  <r>
    <x v="1850"/>
  </r>
  <r>
    <x v="1851"/>
  </r>
  <r>
    <x v="1852"/>
  </r>
  <r>
    <x v="1853"/>
  </r>
  <r>
    <x v="1854"/>
  </r>
  <r>
    <x v="1855"/>
  </r>
  <r>
    <x v="1856"/>
  </r>
  <r>
    <x v="1857"/>
  </r>
  <r>
    <x v="1858"/>
  </r>
  <r>
    <x v="1859"/>
  </r>
  <r>
    <x v="1860"/>
  </r>
  <r>
    <x v="1861"/>
  </r>
  <r>
    <x v="1862"/>
  </r>
  <r>
    <x v="1863"/>
  </r>
  <r>
    <x v="1864"/>
  </r>
  <r>
    <x v="1865"/>
  </r>
  <r>
    <x v="1866"/>
  </r>
  <r>
    <x v="1867"/>
  </r>
  <r>
    <x v="1868"/>
  </r>
  <r>
    <x v="1869"/>
  </r>
  <r>
    <x v="1870"/>
  </r>
  <r>
    <x v="1871"/>
  </r>
  <r>
    <x v="1872"/>
  </r>
  <r>
    <x v="1873"/>
  </r>
  <r>
    <x v="1874"/>
  </r>
  <r>
    <x v="1875"/>
  </r>
  <r>
    <x v="1876"/>
  </r>
  <r>
    <x v="1877"/>
  </r>
  <r>
    <x v="1878"/>
  </r>
  <r>
    <x v="1862"/>
  </r>
  <r>
    <x v="1879"/>
  </r>
  <r>
    <x v="1880"/>
  </r>
  <r>
    <x v="1881"/>
  </r>
  <r>
    <x v="1882"/>
  </r>
  <r>
    <x v="1883"/>
  </r>
  <r>
    <x v="1884"/>
  </r>
  <r>
    <x v="1189"/>
  </r>
  <r>
    <x v="1885"/>
  </r>
  <r>
    <x v="1886"/>
  </r>
  <r>
    <x v="1887"/>
  </r>
  <r>
    <x v="1888"/>
  </r>
  <r>
    <x v="1889"/>
  </r>
  <r>
    <x v="1890"/>
  </r>
  <r>
    <x v="1891"/>
  </r>
  <r>
    <x v="1892"/>
  </r>
  <r>
    <x v="1893"/>
  </r>
  <r>
    <x v="1894"/>
  </r>
  <r>
    <x v="1895"/>
  </r>
  <r>
    <x v="1896"/>
  </r>
  <r>
    <x v="1897"/>
  </r>
  <r>
    <x v="1898"/>
  </r>
  <r>
    <x v="1899"/>
  </r>
  <r>
    <x v="1900"/>
  </r>
  <r>
    <x v="1901"/>
  </r>
  <r>
    <x v="1902"/>
  </r>
  <r>
    <x v="1903"/>
  </r>
  <r>
    <x v="1904"/>
  </r>
  <r>
    <x v="1905"/>
  </r>
  <r>
    <x v="1906"/>
  </r>
  <r>
    <x v="1907"/>
  </r>
  <r>
    <x v="1908"/>
  </r>
  <r>
    <x v="1909"/>
  </r>
  <r>
    <x v="1910"/>
  </r>
  <r>
    <x v="1911"/>
  </r>
  <r>
    <x v="1912"/>
  </r>
  <r>
    <x v="1913"/>
  </r>
  <r>
    <x v="1914"/>
  </r>
  <r>
    <x v="1915"/>
  </r>
  <r>
    <x v="1916"/>
  </r>
  <r>
    <x v="1917"/>
  </r>
  <r>
    <x v="1918"/>
  </r>
  <r>
    <x v="1919"/>
  </r>
  <r>
    <x v="1920"/>
  </r>
  <r>
    <x v="1921"/>
  </r>
  <r>
    <x v="1922"/>
  </r>
  <r>
    <x v="1923"/>
  </r>
  <r>
    <x v="1924"/>
  </r>
  <r>
    <x v="1925"/>
  </r>
  <r>
    <x v="1926"/>
  </r>
  <r>
    <x v="1927"/>
  </r>
  <r>
    <x v="1928"/>
  </r>
  <r>
    <x v="1929"/>
  </r>
  <r>
    <x v="1930"/>
  </r>
  <r>
    <x v="1931"/>
  </r>
  <r>
    <x v="1932"/>
  </r>
  <r>
    <x v="1933"/>
  </r>
  <r>
    <x v="1934"/>
  </r>
  <r>
    <x v="1935"/>
  </r>
  <r>
    <x v="1936"/>
  </r>
  <r>
    <x v="1937"/>
  </r>
  <r>
    <x v="1938"/>
  </r>
  <r>
    <x v="1939"/>
  </r>
  <r>
    <x v="1940"/>
  </r>
  <r>
    <x v="1941"/>
  </r>
  <r>
    <x v="1942"/>
  </r>
  <r>
    <x v="1943"/>
  </r>
  <r>
    <x v="1944"/>
  </r>
  <r>
    <x v="1945"/>
  </r>
  <r>
    <x v="1946"/>
  </r>
  <r>
    <x v="1947"/>
  </r>
  <r>
    <x v="1948"/>
  </r>
  <r>
    <x v="1949"/>
  </r>
  <r>
    <x v="1950"/>
  </r>
  <r>
    <x v="1951"/>
  </r>
  <r>
    <x v="1952"/>
  </r>
  <r>
    <x v="1953"/>
  </r>
  <r>
    <x v="1954"/>
  </r>
  <r>
    <x v="1955"/>
  </r>
  <r>
    <x v="1956"/>
  </r>
  <r>
    <x v="1957"/>
  </r>
  <r>
    <x v="1958"/>
  </r>
  <r>
    <x v="1959"/>
  </r>
  <r>
    <x v="1960"/>
  </r>
  <r>
    <x v="1961"/>
  </r>
  <r>
    <x v="1962"/>
  </r>
  <r>
    <x v="1963"/>
  </r>
  <r>
    <x v="1964"/>
  </r>
  <r>
    <x v="1965"/>
  </r>
  <r>
    <x v="1966"/>
  </r>
  <r>
    <x v="1967"/>
  </r>
  <r>
    <x v="1968"/>
  </r>
  <r>
    <x v="1969"/>
  </r>
  <r>
    <x v="1970"/>
  </r>
  <r>
    <x v="1971"/>
  </r>
  <r>
    <x v="1972"/>
  </r>
  <r>
    <x v="1973"/>
  </r>
  <r>
    <x v="1974"/>
  </r>
  <r>
    <x v="1975"/>
  </r>
  <r>
    <x v="1976"/>
  </r>
  <r>
    <x v="1977"/>
  </r>
  <r>
    <x v="1978"/>
  </r>
  <r>
    <x v="1979"/>
  </r>
  <r>
    <x v="1980"/>
  </r>
  <r>
    <x v="1981"/>
  </r>
  <r>
    <x v="1982"/>
  </r>
  <r>
    <x v="1983"/>
  </r>
  <r>
    <x v="1984"/>
  </r>
  <r>
    <x v="1985"/>
  </r>
  <r>
    <x v="1986"/>
  </r>
  <r>
    <x v="1987"/>
  </r>
  <r>
    <x v="1988"/>
  </r>
  <r>
    <x v="1989"/>
  </r>
  <r>
    <x v="1990"/>
  </r>
  <r>
    <x v="1991"/>
  </r>
  <r>
    <x v="1992"/>
  </r>
  <r>
    <x v="1993"/>
  </r>
  <r>
    <x v="1994"/>
  </r>
  <r>
    <x v="1995"/>
  </r>
  <r>
    <x v="1996"/>
  </r>
  <r>
    <x v="1997"/>
  </r>
  <r>
    <x v="1998"/>
  </r>
  <r>
    <x v="1999"/>
  </r>
  <r>
    <x v="2000"/>
  </r>
  <r>
    <x v="2001"/>
  </r>
  <r>
    <x v="2002"/>
  </r>
  <r>
    <x v="2003"/>
  </r>
  <r>
    <x v="2004"/>
  </r>
  <r>
    <x v="2005"/>
  </r>
  <r>
    <x v="2006"/>
  </r>
  <r>
    <x v="2007"/>
  </r>
  <r>
    <x v="2008"/>
  </r>
  <r>
    <x v="2009"/>
  </r>
  <r>
    <x v="2010"/>
  </r>
  <r>
    <x v="2011"/>
  </r>
  <r>
    <x v="2012"/>
  </r>
  <r>
    <x v="2013"/>
  </r>
  <r>
    <x v="2014"/>
  </r>
  <r>
    <x v="2015"/>
  </r>
  <r>
    <x v="2016"/>
  </r>
  <r>
    <x v="2017"/>
  </r>
  <r>
    <x v="2018"/>
  </r>
  <r>
    <x v="2019"/>
  </r>
  <r>
    <x v="2020"/>
  </r>
  <r>
    <x v="2021"/>
  </r>
  <r>
    <x v="2022"/>
  </r>
  <r>
    <x v="2023"/>
  </r>
  <r>
    <x v="2024"/>
  </r>
  <r>
    <x v="2025"/>
  </r>
  <r>
    <x v="2026"/>
  </r>
  <r>
    <x v="2027"/>
  </r>
  <r>
    <x v="2028"/>
  </r>
  <r>
    <x v="2029"/>
  </r>
  <r>
    <x v="2030"/>
  </r>
  <r>
    <x v="2031"/>
  </r>
  <r>
    <x v="2032"/>
  </r>
  <r>
    <x v="2033"/>
  </r>
  <r>
    <x v="2034"/>
  </r>
  <r>
    <x v="2035"/>
  </r>
  <r>
    <x v="2036"/>
  </r>
  <r>
    <x v="2037"/>
  </r>
  <r>
    <x v="2038"/>
  </r>
  <r>
    <x v="2039"/>
  </r>
  <r>
    <x v="2040"/>
  </r>
  <r>
    <x v="2041"/>
  </r>
  <r>
    <x v="2042"/>
  </r>
  <r>
    <x v="2043"/>
  </r>
  <r>
    <x v="2044"/>
  </r>
  <r>
    <x v="2045"/>
  </r>
  <r>
    <x v="2046"/>
  </r>
  <r>
    <x v="2047"/>
  </r>
  <r>
    <x v="2048"/>
  </r>
  <r>
    <x v="2049"/>
  </r>
  <r>
    <x v="2050"/>
  </r>
  <r>
    <x v="2051"/>
  </r>
  <r>
    <x v="2052"/>
  </r>
  <r>
    <x v="2053"/>
  </r>
  <r>
    <x v="2054"/>
  </r>
  <r>
    <x v="2055"/>
  </r>
  <r>
    <x v="2056"/>
  </r>
  <r>
    <x v="2057"/>
  </r>
  <r>
    <x v="2058"/>
  </r>
  <r>
    <x v="2059"/>
  </r>
  <r>
    <x v="2060"/>
  </r>
  <r>
    <x v="2061"/>
  </r>
  <r>
    <x v="2062"/>
  </r>
  <r>
    <x v="2063"/>
  </r>
  <r>
    <x v="2064"/>
  </r>
  <r>
    <x v="2065"/>
  </r>
  <r>
    <x v="2066"/>
  </r>
  <r>
    <x v="2067"/>
  </r>
  <r>
    <x v="2068"/>
  </r>
  <r>
    <x v="2069"/>
  </r>
  <r>
    <x v="2070"/>
  </r>
  <r>
    <x v="2071"/>
  </r>
  <r>
    <x v="2072"/>
  </r>
  <r>
    <x v="2073"/>
  </r>
  <r>
    <x v="2074"/>
  </r>
  <r>
    <x v="2075"/>
  </r>
  <r>
    <x v="2076"/>
  </r>
  <r>
    <x v="2077"/>
  </r>
  <r>
    <x v="2078"/>
  </r>
  <r>
    <x v="2079"/>
  </r>
  <r>
    <x v="2080"/>
  </r>
  <r>
    <x v="2081"/>
  </r>
  <r>
    <x v="2082"/>
  </r>
  <r>
    <x v="2083"/>
  </r>
  <r>
    <x v="2084"/>
  </r>
  <r>
    <x v="2085"/>
  </r>
  <r>
    <x v="2086"/>
  </r>
  <r>
    <x v="2087"/>
  </r>
  <r>
    <x v="2088"/>
  </r>
  <r>
    <x v="2089"/>
  </r>
  <r>
    <x v="2090"/>
  </r>
  <r>
    <x v="2091"/>
  </r>
  <r>
    <x v="2092"/>
  </r>
  <r>
    <x v="2093"/>
  </r>
  <r>
    <x v="2094"/>
  </r>
  <r>
    <x v="2095"/>
  </r>
  <r>
    <x v="2096"/>
  </r>
  <r>
    <x v="2097"/>
  </r>
  <r>
    <x v="2098"/>
  </r>
  <r>
    <x v="2099"/>
  </r>
  <r>
    <x v="2100"/>
  </r>
  <r>
    <x v="2101"/>
  </r>
  <r>
    <x v="2102"/>
  </r>
  <r>
    <x v="2103"/>
  </r>
  <r>
    <x v="2104"/>
  </r>
  <r>
    <x v="2105"/>
  </r>
  <r>
    <x v="2106"/>
  </r>
  <r>
    <x v="2107"/>
  </r>
  <r>
    <x v="2108"/>
  </r>
  <r>
    <x v="2109"/>
  </r>
  <r>
    <x v="2110"/>
  </r>
  <r>
    <x v="2111"/>
  </r>
  <r>
    <x v="2112"/>
  </r>
  <r>
    <x v="2113"/>
  </r>
  <r>
    <x v="2114"/>
  </r>
  <r>
    <x v="2115"/>
  </r>
  <r>
    <x v="2116"/>
  </r>
  <r>
    <x v="2117"/>
  </r>
  <r>
    <x v="2118"/>
  </r>
  <r>
    <x v="2119"/>
  </r>
  <r>
    <x v="2120"/>
  </r>
  <r>
    <x v="2121"/>
  </r>
  <r>
    <x v="2122"/>
  </r>
  <r>
    <x v="2123"/>
  </r>
  <r>
    <x v="2124"/>
  </r>
  <r>
    <x v="2125"/>
  </r>
  <r>
    <x v="2126"/>
  </r>
  <r>
    <x v="2127"/>
  </r>
  <r>
    <x v="2128"/>
  </r>
  <r>
    <x v="2129"/>
  </r>
  <r>
    <x v="2130"/>
  </r>
  <r>
    <x v="2131"/>
  </r>
  <r>
    <x v="2132"/>
  </r>
  <r>
    <x v="152"/>
  </r>
  <r>
    <x v="2133"/>
  </r>
  <r>
    <x v="2134"/>
  </r>
  <r>
    <x v="2135"/>
  </r>
  <r>
    <x v="2136"/>
  </r>
  <r>
    <x v="2137"/>
  </r>
  <r>
    <x v="2138"/>
  </r>
  <r>
    <x v="2139"/>
  </r>
  <r>
    <x v="2106"/>
  </r>
  <r>
    <x v="2140"/>
  </r>
  <r>
    <x v="2141"/>
  </r>
  <r>
    <x v="2142"/>
  </r>
  <r>
    <x v="2143"/>
  </r>
  <r>
    <x v="2144"/>
  </r>
  <r>
    <x v="2145"/>
  </r>
  <r>
    <x v="2146"/>
  </r>
  <r>
    <x v="2147"/>
  </r>
  <r>
    <x v="2148"/>
  </r>
  <r>
    <x v="2149"/>
  </r>
  <r>
    <x v="2150"/>
  </r>
  <r>
    <x v="2151"/>
  </r>
  <r>
    <x v="2152"/>
  </r>
  <r>
    <x v="2153"/>
  </r>
  <r>
    <x v="2154"/>
  </r>
  <r>
    <x v="2155"/>
  </r>
  <r>
    <x v="2156"/>
  </r>
  <r>
    <x v="2157"/>
  </r>
  <r>
    <x v="2158"/>
  </r>
  <r>
    <x v="2159"/>
  </r>
  <r>
    <x v="2160"/>
  </r>
  <r>
    <x v="2161"/>
  </r>
  <r>
    <x v="2162"/>
  </r>
  <r>
    <x v="2163"/>
  </r>
  <r>
    <x v="2164"/>
  </r>
  <r>
    <x v="2165"/>
  </r>
  <r>
    <x v="2166"/>
  </r>
  <r>
    <x v="2167"/>
  </r>
  <r>
    <x v="2168"/>
  </r>
  <r>
    <x v="2169"/>
  </r>
  <r>
    <x v="2170"/>
  </r>
  <r>
    <x v="2171"/>
  </r>
  <r>
    <x v="2172"/>
  </r>
  <r>
    <x v="2173"/>
  </r>
  <r>
    <x v="2174"/>
  </r>
  <r>
    <x v="2175"/>
  </r>
  <r>
    <x v="2176"/>
  </r>
  <r>
    <x v="2177"/>
  </r>
  <r>
    <x v="2178"/>
  </r>
  <r>
    <x v="2179"/>
  </r>
  <r>
    <x v="2180"/>
  </r>
  <r>
    <x v="2181"/>
  </r>
  <r>
    <x v="2182"/>
  </r>
  <r>
    <x v="2183"/>
  </r>
  <r>
    <x v="2184"/>
  </r>
  <r>
    <x v="2185"/>
  </r>
  <r>
    <x v="2186"/>
  </r>
  <r>
    <x v="2187"/>
  </r>
  <r>
    <x v="2188"/>
  </r>
  <r>
    <x v="2189"/>
  </r>
  <r>
    <x v="2190"/>
  </r>
  <r>
    <x v="2191"/>
  </r>
  <r>
    <x v="2192"/>
  </r>
  <r>
    <x v="2193"/>
  </r>
  <r>
    <x v="2194"/>
  </r>
  <r>
    <x v="2195"/>
  </r>
  <r>
    <x v="2196"/>
  </r>
  <r>
    <x v="2197"/>
  </r>
  <r>
    <x v="2198"/>
  </r>
  <r>
    <x v="2185"/>
  </r>
  <r>
    <x v="2199"/>
  </r>
  <r>
    <x v="2200"/>
  </r>
  <r>
    <x v="2201"/>
  </r>
  <r>
    <x v="2202"/>
  </r>
  <r>
    <x v="2203"/>
  </r>
  <r>
    <x v="2204"/>
  </r>
  <r>
    <x v="2205"/>
  </r>
  <r>
    <x v="2206"/>
  </r>
  <r>
    <x v="2207"/>
  </r>
  <r>
    <x v="2208"/>
  </r>
  <r>
    <x v="2209"/>
  </r>
  <r>
    <x v="2210"/>
  </r>
  <r>
    <x v="2211"/>
  </r>
  <r>
    <x v="2212"/>
  </r>
  <r>
    <x v="2213"/>
  </r>
  <r>
    <x v="2214"/>
  </r>
  <r>
    <x v="2215"/>
  </r>
  <r>
    <x v="2216"/>
  </r>
  <r>
    <x v="2217"/>
  </r>
  <r>
    <x v="2218"/>
  </r>
  <r>
    <x v="2219"/>
  </r>
  <r>
    <x v="2220"/>
  </r>
  <r>
    <x v="2221"/>
  </r>
  <r>
    <x v="2222"/>
  </r>
  <r>
    <x v="2223"/>
  </r>
  <r>
    <x v="2224"/>
  </r>
  <r>
    <x v="2225"/>
  </r>
  <r>
    <x v="2226"/>
  </r>
  <r>
    <x v="2227"/>
  </r>
  <r>
    <x v="2228"/>
  </r>
  <r>
    <x v="2229"/>
  </r>
  <r>
    <x v="2230"/>
  </r>
  <r>
    <x v="2231"/>
  </r>
  <r>
    <x v="2232"/>
  </r>
  <r>
    <x v="2233"/>
  </r>
  <r>
    <x v="2234"/>
  </r>
  <r>
    <x v="2235"/>
  </r>
  <r>
    <x v="2072"/>
  </r>
  <r>
    <x v="2236"/>
  </r>
  <r>
    <x v="2237"/>
  </r>
  <r>
    <x v="2238"/>
  </r>
  <r>
    <x v="2239"/>
  </r>
  <r>
    <x v="2240"/>
  </r>
  <r>
    <x v="2241"/>
  </r>
  <r>
    <x v="2242"/>
  </r>
  <r>
    <x v="2243"/>
  </r>
  <r>
    <x v="2244"/>
  </r>
  <r>
    <x v="2245"/>
  </r>
  <r>
    <x v="2246"/>
  </r>
  <r>
    <x v="2247"/>
  </r>
  <r>
    <x v="2248"/>
  </r>
  <r>
    <x v="2249"/>
  </r>
  <r>
    <x v="2250"/>
  </r>
  <r>
    <x v="2251"/>
  </r>
  <r>
    <x v="2252"/>
  </r>
  <r>
    <x v="2253"/>
  </r>
  <r>
    <x v="2254"/>
  </r>
  <r>
    <x v="2255"/>
  </r>
  <r>
    <x v="1001"/>
  </r>
  <r>
    <x v="2256"/>
  </r>
  <r>
    <x v="2257"/>
  </r>
  <r>
    <x v="2258"/>
  </r>
  <r>
    <x v="2259"/>
  </r>
  <r>
    <x v="2260"/>
  </r>
  <r>
    <x v="2261"/>
  </r>
  <r>
    <x v="444"/>
  </r>
  <r>
    <x v="2262"/>
  </r>
  <r>
    <x v="2263"/>
  </r>
  <r>
    <x v="2264"/>
  </r>
  <r>
    <x v="2265"/>
  </r>
  <r>
    <x v="2266"/>
  </r>
  <r>
    <x v="2267"/>
  </r>
  <r>
    <x v="2268"/>
  </r>
  <r>
    <x v="2269"/>
  </r>
  <r>
    <x v="2270"/>
  </r>
  <r>
    <x v="2271"/>
  </r>
  <r>
    <x v="2272"/>
  </r>
  <r>
    <x v="2273"/>
  </r>
  <r>
    <x v="2274"/>
  </r>
  <r>
    <x v="2275"/>
  </r>
  <r>
    <x v="2276"/>
  </r>
  <r>
    <x v="2277"/>
  </r>
  <r>
    <x v="2267"/>
  </r>
  <r>
    <x v="2278"/>
  </r>
  <r>
    <x v="2279"/>
  </r>
  <r>
    <x v="2280"/>
  </r>
  <r>
    <x v="2281"/>
  </r>
  <r>
    <x v="2282"/>
  </r>
  <r>
    <x v="2283"/>
  </r>
  <r>
    <x v="2284"/>
  </r>
  <r>
    <x v="2285"/>
  </r>
  <r>
    <x v="2286"/>
  </r>
  <r>
    <x v="2287"/>
  </r>
  <r>
    <x v="2288"/>
  </r>
  <r>
    <x v="2289"/>
  </r>
  <r>
    <x v="2290"/>
  </r>
  <r>
    <x v="2291"/>
  </r>
  <r>
    <x v="2292"/>
  </r>
  <r>
    <x v="2293"/>
  </r>
  <r>
    <x v="2294"/>
  </r>
  <r>
    <x v="2295"/>
  </r>
  <r>
    <x v="2296"/>
  </r>
  <r>
    <x v="2297"/>
  </r>
  <r>
    <x v="2298"/>
  </r>
  <r>
    <x v="2299"/>
  </r>
  <r>
    <x v="2300"/>
  </r>
  <r>
    <x v="2301"/>
  </r>
  <r>
    <x v="2302"/>
  </r>
  <r>
    <x v="2303"/>
  </r>
  <r>
    <x v="2304"/>
  </r>
  <r>
    <x v="2305"/>
  </r>
  <r>
    <x v="2306"/>
  </r>
  <r>
    <x v="2307"/>
  </r>
  <r>
    <x v="746"/>
  </r>
  <r>
    <x v="2308"/>
  </r>
  <r>
    <x v="2309"/>
  </r>
  <r>
    <x v="2310"/>
  </r>
  <r>
    <x v="2311"/>
  </r>
  <r>
    <x v="2312"/>
  </r>
  <r>
    <x v="2313"/>
  </r>
  <r>
    <x v="2314"/>
  </r>
  <r>
    <x v="2315"/>
  </r>
  <r>
    <x v="2316"/>
  </r>
  <r>
    <x v="2317"/>
  </r>
  <r>
    <x v="2318"/>
  </r>
  <r>
    <x v="2319"/>
  </r>
  <r>
    <x v="2320"/>
  </r>
  <r>
    <x v="2321"/>
  </r>
  <r>
    <x v="2322"/>
  </r>
  <r>
    <x v="2323"/>
  </r>
  <r>
    <x v="2324"/>
  </r>
  <r>
    <x v="2325"/>
  </r>
  <r>
    <x v="2326"/>
  </r>
  <r>
    <x v="2327"/>
  </r>
  <r>
    <x v="2328"/>
  </r>
  <r>
    <x v="2329"/>
  </r>
  <r>
    <x v="2330"/>
  </r>
  <r>
    <x v="2331"/>
  </r>
  <r>
    <x v="2332"/>
  </r>
  <r>
    <x v="2333"/>
  </r>
  <r>
    <x v="2334"/>
  </r>
  <r>
    <x v="2335"/>
  </r>
  <r>
    <x v="2336"/>
  </r>
  <r>
    <x v="2337"/>
  </r>
  <r>
    <x v="2338"/>
  </r>
  <r>
    <x v="2339"/>
  </r>
  <r>
    <x v="2340"/>
  </r>
  <r>
    <x v="2341"/>
  </r>
  <r>
    <x v="968"/>
  </r>
  <r>
    <x v="2342"/>
  </r>
  <r>
    <x v="2343"/>
  </r>
  <r>
    <x v="2344"/>
  </r>
  <r>
    <x v="2345"/>
  </r>
  <r>
    <x v="2346"/>
  </r>
  <r>
    <x v="2347"/>
  </r>
  <r>
    <x v="2348"/>
  </r>
  <r>
    <x v="2349"/>
  </r>
  <r>
    <x v="2350"/>
  </r>
  <r>
    <x v="2351"/>
  </r>
  <r>
    <x v="2352"/>
  </r>
  <r>
    <x v="2353"/>
  </r>
  <r>
    <x v="2354"/>
  </r>
  <r>
    <x v="809"/>
  </r>
  <r>
    <x v="2355"/>
  </r>
  <r>
    <x v="2356"/>
  </r>
  <r>
    <x v="2357"/>
  </r>
  <r>
    <x v="2358"/>
  </r>
  <r>
    <x v="2359"/>
  </r>
  <r>
    <x v="2360"/>
  </r>
  <r>
    <x v="2361"/>
  </r>
  <r>
    <x v="2362"/>
  </r>
  <r>
    <x v="2363"/>
  </r>
  <r>
    <x v="2364"/>
  </r>
  <r>
    <x v="2365"/>
  </r>
  <r>
    <x v="2366"/>
  </r>
  <r>
    <x v="2367"/>
  </r>
  <r>
    <x v="2368"/>
  </r>
  <r>
    <x v="2369"/>
  </r>
  <r>
    <x v="2370"/>
  </r>
  <r>
    <x v="2371"/>
  </r>
  <r>
    <x v="2372"/>
  </r>
  <r>
    <x v="2373"/>
  </r>
  <r>
    <x v="2374"/>
  </r>
  <r>
    <x v="2375"/>
  </r>
  <r>
    <x v="2376"/>
  </r>
  <r>
    <x v="2377"/>
  </r>
  <r>
    <x v="2378"/>
  </r>
  <r>
    <x v="2379"/>
  </r>
  <r>
    <x v="2380"/>
  </r>
  <r>
    <x v="2381"/>
  </r>
  <r>
    <x v="2382"/>
  </r>
  <r>
    <x v="2383"/>
  </r>
  <r>
    <x v="2384"/>
  </r>
  <r>
    <x v="2385"/>
  </r>
  <r>
    <x v="2386"/>
  </r>
  <r>
    <x v="2387"/>
  </r>
  <r>
    <x v="2388"/>
  </r>
  <r>
    <x v="2389"/>
  </r>
  <r>
    <x v="2390"/>
  </r>
  <r>
    <x v="2391"/>
  </r>
  <r>
    <x v="2392"/>
  </r>
  <r>
    <x v="2393"/>
  </r>
  <r>
    <x v="2394"/>
  </r>
  <r>
    <x v="2395"/>
  </r>
  <r>
    <x v="2396"/>
  </r>
  <r>
    <x v="2397"/>
  </r>
  <r>
    <x v="2398"/>
  </r>
  <r>
    <x v="2399"/>
  </r>
  <r>
    <x v="2400"/>
  </r>
  <r>
    <x v="2401"/>
  </r>
  <r>
    <x v="2402"/>
  </r>
  <r>
    <x v="2403"/>
  </r>
  <r>
    <x v="2404"/>
  </r>
  <r>
    <x v="2405"/>
  </r>
  <r>
    <x v="2406"/>
  </r>
  <r>
    <x v="2407"/>
  </r>
  <r>
    <x v="2408"/>
  </r>
  <r>
    <x v="2409"/>
  </r>
  <r>
    <x v="2410"/>
  </r>
  <r>
    <x v="2411"/>
  </r>
  <r>
    <x v="2412"/>
  </r>
  <r>
    <x v="2413"/>
  </r>
  <r>
    <x v="2414"/>
  </r>
  <r>
    <x v="1533"/>
  </r>
  <r>
    <x v="2415"/>
  </r>
  <r>
    <x v="2416"/>
  </r>
  <r>
    <x v="2417"/>
  </r>
  <r>
    <x v="2418"/>
  </r>
  <r>
    <x v="2419"/>
  </r>
  <r>
    <x v="2420"/>
  </r>
  <r>
    <x v="2421"/>
  </r>
  <r>
    <x v="2422"/>
  </r>
  <r>
    <x v="2423"/>
  </r>
  <r>
    <x v="2424"/>
  </r>
  <r>
    <x v="2425"/>
  </r>
  <r>
    <x v="2426"/>
  </r>
  <r>
    <x v="2427"/>
  </r>
  <r>
    <x v="2428"/>
  </r>
  <r>
    <x v="2429"/>
  </r>
  <r>
    <x v="2430"/>
  </r>
  <r>
    <x v="2431"/>
  </r>
  <r>
    <x v="2432"/>
  </r>
  <r>
    <x v="2433"/>
  </r>
  <r>
    <x v="2434"/>
  </r>
  <r>
    <x v="2435"/>
  </r>
  <r>
    <x v="2436"/>
  </r>
  <r>
    <x v="2437"/>
  </r>
  <r>
    <x v="2438"/>
  </r>
  <r>
    <x v="2439"/>
  </r>
  <r>
    <x v="2440"/>
  </r>
  <r>
    <x v="2441"/>
  </r>
  <r>
    <x v="1751"/>
  </r>
  <r>
    <x v="2442"/>
  </r>
  <r>
    <x v="2443"/>
  </r>
  <r>
    <x v="2444"/>
  </r>
  <r>
    <x v="2445"/>
  </r>
  <r>
    <x v="2446"/>
  </r>
  <r>
    <x v="2447"/>
  </r>
  <r>
    <x v="2448"/>
  </r>
  <r>
    <x v="2449"/>
  </r>
  <r>
    <x v="2450"/>
  </r>
  <r>
    <x v="2451"/>
  </r>
  <r>
    <x v="2452"/>
  </r>
  <r>
    <x v="2453"/>
  </r>
  <r>
    <x v="2454"/>
  </r>
  <r>
    <x v="2455"/>
  </r>
  <r>
    <x v="2456"/>
  </r>
  <r>
    <x v="2457"/>
  </r>
  <r>
    <x v="2458"/>
  </r>
  <r>
    <x v="2459"/>
  </r>
  <r>
    <x v="2460"/>
  </r>
  <r>
    <x v="2461"/>
  </r>
  <r>
    <x v="2462"/>
  </r>
  <r>
    <x v="2463"/>
  </r>
  <r>
    <x v="2464"/>
  </r>
  <r>
    <x v="2465"/>
  </r>
  <r>
    <x v="2466"/>
  </r>
  <r>
    <x v="2467"/>
  </r>
  <r>
    <x v="2468"/>
  </r>
  <r>
    <x v="2296"/>
  </r>
  <r>
    <x v="2469"/>
  </r>
  <r>
    <x v="2395"/>
  </r>
  <r>
    <x v="2470"/>
  </r>
  <r>
    <x v="2471"/>
  </r>
  <r>
    <x v="2472"/>
  </r>
  <r>
    <x v="2473"/>
  </r>
  <r>
    <x v="2474"/>
  </r>
  <r>
    <x v="2475"/>
  </r>
  <r>
    <x v="2476"/>
  </r>
  <r>
    <x v="2477"/>
  </r>
  <r>
    <x v="2478"/>
  </r>
  <r>
    <x v="2479"/>
  </r>
  <r>
    <x v="2480"/>
  </r>
  <r>
    <x v="2481"/>
  </r>
  <r>
    <x v="2482"/>
  </r>
  <r>
    <x v="2483"/>
  </r>
  <r>
    <x v="2484"/>
  </r>
  <r>
    <x v="2485"/>
  </r>
  <r>
    <x v="2486"/>
  </r>
  <r>
    <x v="2487"/>
  </r>
  <r>
    <x v="2488"/>
  </r>
  <r>
    <x v="2489"/>
  </r>
  <r>
    <x v="2490"/>
  </r>
  <r>
    <x v="2491"/>
  </r>
  <r>
    <x v="2492"/>
  </r>
  <r>
    <x v="2493"/>
  </r>
  <r>
    <x v="2494"/>
  </r>
  <r>
    <x v="2495"/>
  </r>
  <r>
    <x v="2496"/>
  </r>
  <r>
    <x v="2497"/>
  </r>
  <r>
    <x v="2493"/>
  </r>
  <r>
    <x v="2498"/>
  </r>
  <r>
    <x v="2499"/>
  </r>
  <r>
    <x v="2500"/>
  </r>
  <r>
    <x v="2501"/>
  </r>
  <r>
    <x v="2502"/>
  </r>
  <r>
    <x v="2503"/>
  </r>
  <r>
    <x v="2504"/>
  </r>
  <r>
    <x v="2505"/>
  </r>
  <r>
    <x v="2506"/>
  </r>
  <r>
    <x v="2507"/>
  </r>
  <r>
    <x v="2508"/>
  </r>
  <r>
    <x v="2509"/>
  </r>
  <r>
    <x v="2510"/>
  </r>
  <r>
    <x v="2511"/>
  </r>
  <r>
    <x v="2512"/>
  </r>
  <r>
    <x v="2513"/>
  </r>
  <r>
    <x v="2514"/>
  </r>
  <r>
    <x v="2515"/>
  </r>
  <r>
    <x v="2516"/>
  </r>
  <r>
    <x v="2517"/>
  </r>
  <r>
    <x v="2518"/>
  </r>
  <r>
    <x v="2519"/>
  </r>
  <r>
    <x v="2520"/>
  </r>
  <r>
    <x v="2521"/>
  </r>
  <r>
    <x v="2522"/>
  </r>
  <r>
    <x v="2523"/>
  </r>
  <r>
    <x v="2524"/>
  </r>
  <r>
    <x v="2525"/>
  </r>
  <r>
    <x v="1304"/>
  </r>
  <r>
    <x v="2526"/>
  </r>
  <r>
    <x v="2527"/>
  </r>
  <r>
    <x v="2528"/>
  </r>
  <r>
    <x v="2529"/>
  </r>
  <r>
    <x v="2530"/>
  </r>
  <r>
    <x v="2531"/>
  </r>
  <r>
    <x v="2532"/>
  </r>
  <r>
    <x v="2533"/>
  </r>
  <r>
    <x v="2534"/>
  </r>
  <r>
    <x v="2535"/>
  </r>
  <r>
    <x v="2536"/>
  </r>
  <r>
    <x v="2537"/>
  </r>
  <r>
    <x v="2538"/>
  </r>
  <r>
    <x v="2539"/>
  </r>
  <r>
    <x v="2540"/>
  </r>
  <r>
    <x v="2541"/>
  </r>
  <r>
    <x v="2542"/>
  </r>
  <r>
    <x v="2543"/>
  </r>
  <r>
    <x v="2544"/>
  </r>
  <r>
    <x v="2545"/>
  </r>
  <r>
    <x v="2546"/>
  </r>
  <r>
    <x v="2547"/>
  </r>
  <r>
    <x v="2548"/>
  </r>
  <r>
    <x v="2549"/>
  </r>
  <r>
    <x v="2550"/>
  </r>
  <r>
    <x v="2551"/>
  </r>
  <r>
    <x v="2552"/>
  </r>
  <r>
    <x v="2553"/>
  </r>
  <r>
    <x v="2554"/>
  </r>
  <r>
    <x v="2555"/>
  </r>
  <r>
    <x v="2556"/>
  </r>
  <r>
    <x v="2557"/>
  </r>
  <r>
    <x v="2558"/>
  </r>
  <r>
    <x v="2559"/>
  </r>
  <r>
    <x v="2560"/>
  </r>
  <r>
    <x v="1490"/>
  </r>
  <r>
    <x v="2561"/>
  </r>
  <r>
    <x v="2562"/>
  </r>
  <r>
    <x v="2563"/>
  </r>
  <r>
    <x v="2564"/>
  </r>
  <r>
    <x v="2565"/>
  </r>
  <r>
    <x v="2566"/>
  </r>
  <r>
    <x v="2567"/>
  </r>
  <r>
    <x v="2568"/>
  </r>
  <r>
    <x v="2569"/>
  </r>
  <r>
    <x v="2570"/>
  </r>
  <r>
    <x v="2571"/>
  </r>
  <r>
    <x v="2572"/>
  </r>
  <r>
    <x v="2573"/>
  </r>
  <r>
    <x v="2574"/>
  </r>
  <r>
    <x v="2575"/>
  </r>
  <r>
    <x v="2576"/>
  </r>
  <r>
    <x v="2577"/>
  </r>
  <r>
    <x v="2578"/>
  </r>
  <r>
    <x v="2579"/>
  </r>
  <r>
    <x v="2580"/>
  </r>
  <r>
    <x v="2581"/>
  </r>
  <r>
    <x v="2582"/>
  </r>
  <r>
    <x v="2583"/>
  </r>
  <r>
    <x v="2584"/>
  </r>
  <r>
    <x v="2585"/>
  </r>
  <r>
    <x v="2586"/>
  </r>
  <r>
    <x v="2587"/>
  </r>
  <r>
    <x v="2588"/>
  </r>
  <r>
    <x v="2589"/>
  </r>
  <r>
    <x v="2590"/>
  </r>
  <r>
    <x v="2591"/>
  </r>
  <r>
    <x v="2592"/>
  </r>
  <r>
    <x v="2593"/>
  </r>
  <r>
    <x v="2594"/>
  </r>
  <r>
    <x v="2595"/>
  </r>
  <r>
    <x v="2596"/>
  </r>
  <r>
    <x v="2597"/>
  </r>
  <r>
    <x v="2598"/>
  </r>
  <r>
    <x v="2599"/>
  </r>
  <r>
    <x v="2600"/>
  </r>
  <r>
    <x v="2601"/>
  </r>
  <r>
    <x v="2602"/>
  </r>
  <r>
    <x v="2603"/>
  </r>
  <r>
    <x v="2604"/>
  </r>
  <r>
    <x v="2605"/>
  </r>
  <r>
    <x v="2606"/>
  </r>
  <r>
    <x v="2607"/>
  </r>
  <r>
    <x v="2608"/>
  </r>
  <r>
    <x v="2609"/>
  </r>
  <r>
    <x v="2610"/>
  </r>
  <r>
    <x v="2611"/>
  </r>
  <r>
    <x v="2612"/>
  </r>
  <r>
    <x v="2613"/>
  </r>
  <r>
    <x v="2614"/>
  </r>
  <r>
    <x v="2615"/>
  </r>
  <r>
    <x v="202"/>
  </r>
  <r>
    <x v="2616"/>
  </r>
  <r>
    <x v="2617"/>
  </r>
  <r>
    <x v="2618"/>
  </r>
  <r>
    <x v="2619"/>
  </r>
  <r>
    <x v="2620"/>
  </r>
  <r>
    <x v="2621"/>
  </r>
  <r>
    <x v="2622"/>
  </r>
  <r>
    <x v="2623"/>
  </r>
  <r>
    <x v="2624"/>
  </r>
  <r>
    <x v="2625"/>
  </r>
  <r>
    <x v="2626"/>
  </r>
  <r>
    <x v="2627"/>
  </r>
  <r>
    <x v="2628"/>
  </r>
  <r>
    <x v="2629"/>
  </r>
  <r>
    <x v="2630"/>
  </r>
  <r>
    <x v="2631"/>
  </r>
  <r>
    <x v="2632"/>
  </r>
  <r>
    <x v="2633"/>
  </r>
  <r>
    <x v="2634"/>
  </r>
  <r>
    <x v="2635"/>
  </r>
  <r>
    <x v="2636"/>
  </r>
  <r>
    <x v="1683"/>
  </r>
  <r>
    <x v="2637"/>
  </r>
  <r>
    <x v="2638"/>
  </r>
  <r>
    <x v="2639"/>
  </r>
  <r>
    <x v="2640"/>
  </r>
  <r>
    <x v="2641"/>
  </r>
  <r>
    <x v="2642"/>
  </r>
  <r>
    <x v="2643"/>
  </r>
  <r>
    <x v="2644"/>
  </r>
  <r>
    <x v="2645"/>
  </r>
  <r>
    <x v="2646"/>
  </r>
  <r>
    <x v="2647"/>
  </r>
  <r>
    <x v="2648"/>
  </r>
  <r>
    <x v="2649"/>
  </r>
  <r>
    <x v="2650"/>
  </r>
  <r>
    <x v="2651"/>
  </r>
  <r>
    <x v="2652"/>
  </r>
  <r>
    <x v="2653"/>
  </r>
  <r>
    <x v="2654"/>
  </r>
  <r>
    <x v="2655"/>
  </r>
  <r>
    <x v="2656"/>
  </r>
  <r>
    <x v="2657"/>
  </r>
  <r>
    <x v="2658"/>
  </r>
  <r>
    <x v="2659"/>
  </r>
  <r>
    <x v="2660"/>
  </r>
  <r>
    <x v="2661"/>
  </r>
  <r>
    <x v="2662"/>
  </r>
  <r>
    <x v="2663"/>
  </r>
  <r>
    <x v="2664"/>
  </r>
  <r>
    <x v="2665"/>
  </r>
  <r>
    <x v="2666"/>
  </r>
  <r>
    <x v="2667"/>
  </r>
  <r>
    <x v="45"/>
  </r>
  <r>
    <x v="2668"/>
  </r>
  <r>
    <x v="2669"/>
  </r>
  <r>
    <x v="2670"/>
  </r>
  <r>
    <x v="2671"/>
  </r>
  <r>
    <x v="2672"/>
  </r>
  <r>
    <x v="2673"/>
  </r>
  <r>
    <x v="2674"/>
  </r>
  <r>
    <x v="2675"/>
  </r>
  <r>
    <x v="2676"/>
  </r>
  <r>
    <x v="2677"/>
  </r>
  <r>
    <x v="390"/>
  </r>
  <r>
    <x v="2678"/>
  </r>
  <r>
    <x v="2679"/>
  </r>
  <r>
    <x v="2680"/>
  </r>
  <r>
    <x v="2681"/>
  </r>
  <r>
    <x v="2682"/>
  </r>
  <r>
    <x v="2683"/>
  </r>
  <r>
    <x v="2684"/>
  </r>
  <r>
    <x v="2685"/>
  </r>
  <r>
    <x v="2686"/>
  </r>
  <r>
    <x v="2687"/>
  </r>
  <r>
    <x v="2688"/>
  </r>
  <r>
    <x v="2689"/>
  </r>
  <r>
    <x v="2690"/>
  </r>
  <r>
    <x v="2691"/>
  </r>
  <r>
    <x v="2692"/>
  </r>
  <r>
    <x v="2693"/>
  </r>
  <r>
    <x v="2694"/>
  </r>
  <r>
    <x v="2695"/>
  </r>
  <r>
    <x v="2696"/>
  </r>
  <r>
    <x v="2697"/>
  </r>
  <r>
    <x v="2698"/>
  </r>
  <r>
    <x v="2699"/>
  </r>
  <r>
    <x v="2700"/>
  </r>
  <r>
    <x v="2701"/>
  </r>
  <r>
    <x v="2702"/>
  </r>
  <r>
    <x v="2703"/>
  </r>
  <r>
    <x v="2704"/>
  </r>
  <r>
    <x v="2705"/>
  </r>
  <r>
    <x v="2706"/>
  </r>
  <r>
    <x v="2707"/>
  </r>
  <r>
    <x v="2708"/>
  </r>
  <r>
    <x v="2709"/>
  </r>
  <r>
    <x v="2710"/>
  </r>
  <r>
    <x v="2711"/>
  </r>
  <r>
    <x v="2712"/>
  </r>
  <r>
    <x v="2713"/>
  </r>
  <r>
    <x v="2714"/>
  </r>
  <r>
    <x v="2715"/>
  </r>
  <r>
    <x v="2716"/>
  </r>
  <r>
    <x v="2717"/>
  </r>
  <r>
    <x v="2718"/>
  </r>
  <r>
    <x v="2719"/>
  </r>
  <r>
    <x v="2720"/>
  </r>
  <r>
    <x v="2721"/>
  </r>
  <r>
    <x v="2722"/>
  </r>
  <r>
    <x v="2723"/>
  </r>
  <r>
    <x v="2724"/>
  </r>
  <r>
    <x v="2725"/>
  </r>
  <r>
    <x v="2726"/>
  </r>
  <r>
    <x v="2727"/>
  </r>
  <r>
    <x v="2728"/>
  </r>
  <r>
    <x v="2729"/>
  </r>
  <r>
    <x v="2730"/>
  </r>
  <r>
    <x v="2731"/>
  </r>
  <r>
    <x v="2685"/>
  </r>
  <r>
    <x v="2732"/>
  </r>
  <r>
    <x v="2733"/>
  </r>
  <r>
    <x v="2734"/>
  </r>
  <r>
    <x v="2735"/>
  </r>
  <r>
    <x v="2736"/>
  </r>
  <r>
    <x v="2737"/>
  </r>
  <r>
    <x v="2738"/>
  </r>
  <r>
    <x v="2739"/>
  </r>
  <r>
    <x v="2740"/>
  </r>
  <r>
    <x v="2741"/>
  </r>
  <r>
    <x v="2742"/>
  </r>
  <r>
    <x v="2743"/>
  </r>
  <r>
    <x v="45"/>
  </r>
  <r>
    <x v="2744"/>
  </r>
  <r>
    <x v="2745"/>
  </r>
  <r>
    <x v="2746"/>
  </r>
  <r>
    <x v="2747"/>
  </r>
  <r>
    <x v="2748"/>
  </r>
  <r>
    <x v="2749"/>
  </r>
  <r>
    <x v="2750"/>
  </r>
  <r>
    <x v="1842"/>
  </r>
  <r>
    <x v="2751"/>
  </r>
  <r>
    <x v="2752"/>
  </r>
  <r>
    <x v="2753"/>
  </r>
  <r>
    <x v="2754"/>
  </r>
  <r>
    <x v="2755"/>
  </r>
  <r>
    <x v="2756"/>
  </r>
  <r>
    <x v="2757"/>
  </r>
  <r>
    <x v="2758"/>
  </r>
  <r>
    <x v="2759"/>
  </r>
  <r>
    <x v="2760"/>
  </r>
  <r>
    <x v="2761"/>
  </r>
  <r>
    <x v="2762"/>
  </r>
  <r>
    <x v="1916"/>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r>
    <x v="27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2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D1:D2" firstHeaderRow="1" firstDataRow="1" firstDataCol="0"/>
  <pivotFields count="1">
    <pivotField dataField="1" showAll="0">
      <items count="2765">
        <item h="1" x="2211"/>
        <item h="1" x="1270"/>
        <item h="1" x="2009"/>
        <item h="1" x="1529"/>
        <item h="1" x="1789"/>
        <item x="2172"/>
        <item h="1" x="2010"/>
        <item h="1" x="1526"/>
        <item h="1" x="1531"/>
        <item h="1" x="1535"/>
        <item h="1" x="1518"/>
        <item h="1" x="1765"/>
        <item h="1" x="1690"/>
        <item h="1" x="712"/>
        <item h="1" x="22"/>
        <item h="1" x="1524"/>
        <item h="1" x="1771"/>
        <item h="1" x="740"/>
        <item h="1" x="1704"/>
        <item h="1" x="2313"/>
        <item h="1" x="1611"/>
        <item h="1" x="1537"/>
        <item h="1" x="1481"/>
        <item h="1" x="1699"/>
        <item h="1" x="1612"/>
        <item h="1" x="1694"/>
        <item h="1" x="1607"/>
        <item h="1" x="2716"/>
        <item h="1" x="893"/>
        <item h="1" x="1692"/>
        <item h="1" x="1774"/>
        <item h="1" x="1996"/>
        <item h="1" x="1697"/>
        <item h="1" x="1599"/>
        <item h="1" x="1770"/>
        <item h="1" x="2210"/>
        <item h="1" x="1763"/>
        <item h="1" x="768"/>
        <item h="1" x="2729"/>
        <item h="1" x="2003"/>
        <item h="1" x="1995"/>
        <item h="1" x="2368"/>
        <item h="1" x="636"/>
        <item h="1" x="1528"/>
        <item h="1" x="1522"/>
        <item h="1" x="1489"/>
        <item h="1" x="806"/>
        <item h="1" x="2173"/>
        <item h="1" x="840"/>
        <item h="1" x="1593"/>
        <item h="1" x="1521"/>
        <item h="1" x="1598"/>
        <item h="1" x="1992"/>
        <item h="1" x="2175"/>
        <item h="1" x="1702"/>
        <item h="1" x="2362"/>
        <item h="1" x="2165"/>
        <item h="1" x="2170"/>
        <item h="1" x="2222"/>
        <item h="1" x="1835"/>
        <item h="1" x="1181"/>
        <item h="1" x="1510"/>
        <item h="1" x="1766"/>
        <item h="1" x="1715"/>
        <item h="1" x="1700"/>
        <item h="1" x="1420"/>
        <item h="1" x="2505"/>
        <item h="1" x="312"/>
        <item h="1" x="2004"/>
        <item h="1" x="2188"/>
        <item h="1" x="1442"/>
        <item h="1" x="510"/>
        <item h="1" x="1530"/>
        <item h="1" x="2177"/>
        <item h="1" x="2163"/>
        <item h="1" x="1596"/>
        <item h="1" x="2315"/>
        <item h="1" x="1333"/>
        <item h="1" x="2738"/>
        <item h="1" x="1485"/>
        <item h="1" x="2418"/>
        <item h="1" x="2460"/>
        <item h="1" x="1597"/>
        <item h="1" x="1782"/>
        <item h="1" x="812"/>
        <item h="1" x="939"/>
        <item h="1" x="1695"/>
        <item h="1" x="1532"/>
        <item h="1" x="1903"/>
        <item h="1" x="1601"/>
        <item h="1" x="1994"/>
        <item h="1" x="505"/>
        <item h="1" x="434"/>
        <item h="1" x="1705"/>
        <item h="1" x="813"/>
        <item h="1" x="2160"/>
        <item h="1" x="1976"/>
        <item h="1" x="1999"/>
        <item h="1" x="1525"/>
        <item h="1" x="742"/>
        <item h="1" x="2750"/>
        <item h="1" x="2236"/>
        <item h="1" x="1520"/>
        <item h="1" x="2726"/>
        <item h="1" x="124"/>
        <item h="1" x="1846"/>
        <item h="1" x="1777"/>
        <item h="1" x="2184"/>
        <item h="1" x="1764"/>
        <item h="1" x="1296"/>
        <item h="1" x="1693"/>
        <item h="1" x="2722"/>
        <item h="1" x="1540"/>
        <item h="1" x="2456"/>
        <item h="1" x="1419"/>
        <item h="1" x="1849"/>
        <item h="1" x="913"/>
        <item h="1" x="1709"/>
        <item h="1" x="1474"/>
        <item h="1" x="1527"/>
        <item h="1" x="2250"/>
        <item h="1" x="1781"/>
        <item h="1" x="709"/>
        <item h="1" x="917"/>
        <item h="1" x="513"/>
        <item h="1" x="2164"/>
        <item h="1" x="902"/>
        <item h="1" x="2196"/>
        <item h="1" x="2312"/>
        <item h="1" x="1698"/>
        <item h="1" x="1401"/>
        <item h="1" x="1885"/>
        <item h="1" x="1327"/>
        <item h="1" x="1337"/>
        <item h="1" x="2323"/>
        <item h="1" x="596"/>
        <item h="1" x="1848"/>
        <item h="1" x="836"/>
        <item h="1" x="1403"/>
        <item h="1" x="1222"/>
        <item h="1" x="1413"/>
        <item h="1" x="1768"/>
        <item h="1" x="802"/>
        <item h="1" x="1328"/>
        <item h="1" x="518"/>
        <item h="1" x="1472"/>
        <item h="1" x="1997"/>
        <item h="1" x="1411"/>
        <item h="1" x="863"/>
        <item h="1" x="1430"/>
        <item h="1" x="516"/>
        <item h="1" x="2268"/>
        <item h="1" x="679"/>
        <item h="1" x="2162"/>
        <item h="1" x="1373"/>
        <item h="1" x="2207"/>
        <item h="1" x="74"/>
        <item h="1" x="2251"/>
        <item h="1" x="689"/>
        <item h="1" x="1696"/>
        <item h="1" x="1710"/>
        <item h="1" x="1651"/>
        <item h="1" x="600"/>
        <item h="1" x="2002"/>
        <item h="1" x="342"/>
        <item h="1" x="508"/>
        <item h="1" x="1329"/>
        <item h="1" x="1659"/>
        <item h="1" x="2715"/>
        <item h="1" x="1688"/>
        <item h="1" x="1988"/>
        <item h="1" x="1482"/>
        <item h="1" x="2311"/>
        <item h="1" x="1727"/>
        <item h="1" x="1185"/>
        <item h="1" x="1432"/>
        <item h="1" x="1179"/>
        <item h="1" x="1850"/>
        <item h="1" x="566"/>
        <item h="1" x="2397"/>
        <item h="1" x="2737"/>
        <item h="1" x="2425"/>
        <item h="1" x="1776"/>
        <item h="1" x="1513"/>
        <item h="1" x="2001"/>
        <item h="1" x="1780"/>
        <item h="1" x="2161"/>
        <item h="1" x="2193"/>
        <item h="1" x="1784"/>
        <item h="1" x="906"/>
        <item h="1" x="1517"/>
        <item h="1" x="2383"/>
        <item h="1" x="2218"/>
        <item h="1" x="2033"/>
        <item h="1" x="2724"/>
        <item h="1" x="2740"/>
        <item h="1" x="2276"/>
        <item h="1" x="503"/>
        <item h="1" x="680"/>
        <item h="1" x="897"/>
        <item h="1" x="1740"/>
        <item h="1" x="1778"/>
        <item h="1" x="1523"/>
        <item h="1" x="1993"/>
        <item h="1" x="892"/>
        <item h="1" x="1707"/>
        <item h="1" x="2318"/>
        <item h="1" x="541"/>
        <item h="1" x="1868"/>
        <item h="1" x="21"/>
        <item h="1" x="1475"/>
        <item h="1" x="1194"/>
        <item h="1" x="1427"/>
        <item h="1" x="1862"/>
        <item h="1" x="2721"/>
        <item h="1" x="1490"/>
        <item h="1" x="641"/>
        <item h="1" x="282"/>
        <item h="1" x="1721"/>
        <item h="1" x="2751"/>
        <item h="1" x="1545"/>
        <item h="1" x="1772"/>
        <item h="1" x="996"/>
        <item h="1" x="754"/>
        <item h="1" x="1739"/>
        <item h="1" x="790"/>
        <item h="1" x="2282"/>
        <item h="1" x="350"/>
        <item h="1" x="2731"/>
        <item h="1" x="2400"/>
        <item h="1" x="2419"/>
        <item h="1" x="1691"/>
        <item h="1" x="794"/>
        <item h="1" x="772"/>
        <item h="1" x="2074"/>
        <item h="1" x="675"/>
        <item h="1" x="1731"/>
        <item h="1" x="673"/>
        <item h="1" x="898"/>
        <item h="1" x="506"/>
        <item h="1" x="757"/>
        <item h="1" x="1340"/>
        <item h="1" x="504"/>
        <item h="1" x="900"/>
        <item h="1" x="1396"/>
        <item h="1" x="1842"/>
        <item h="1" x="1929"/>
        <item h="1" x="1706"/>
        <item h="1" x="2180"/>
        <item h="1" x="1915"/>
        <item h="1" x="487"/>
        <item h="1" x="2167"/>
        <item h="1" x="383"/>
        <item h="1" x="2174"/>
        <item h="1" x="1723"/>
        <item h="1" x="1088"/>
        <item h="1" x="1991"/>
        <item h="1" x="1998"/>
        <item h="1" x="1043"/>
        <item h="1" x="2205"/>
        <item h="1" x="1077"/>
        <item h="1" x="1773"/>
        <item h="1" x="1831"/>
        <item h="1" x="2688"/>
        <item h="1" x="1818"/>
        <item h="1" x="2091"/>
        <item h="1" x="1670"/>
        <item h="1" x="2166"/>
        <item h="1" x="2176"/>
        <item h="1" x="807"/>
        <item h="1" x="932"/>
        <item h="1" x="1767"/>
        <item h="1" x="1349"/>
        <item h="1" x="507"/>
        <item h="1" x="1480"/>
        <item h="1" x="1441"/>
        <item h="1" x="911"/>
        <item h="1" x="2186"/>
        <item h="1" x="1595"/>
        <item h="1" x="2081"/>
        <item h="1" x="2309"/>
        <item h="1" x="1335"/>
        <item h="1" x="787"/>
        <item h="1" x="682"/>
        <item h="1" x="1384"/>
        <item h="1" x="1783"/>
        <item h="1" x="2238"/>
        <item h="1" x="1877"/>
        <item h="1" x="1769"/>
        <item h="1" x="1256"/>
        <item h="1" x="1483"/>
        <item h="1" x="1703"/>
        <item h="1" x="2235"/>
        <item h="1" x="2284"/>
        <item h="1" x="1853"/>
        <item h="1" x="967"/>
        <item h="1" x="514"/>
        <item h="1" x="1795"/>
        <item h="1" x="1760"/>
        <item h="1" x="797"/>
        <item h="1" x="671"/>
        <item h="1" x="1728"/>
        <item h="1" x="565"/>
        <item h="1" x="2325"/>
        <item h="1" x="2194"/>
        <item h="1" x="2382"/>
        <item h="1" x="2735"/>
        <item h="1" x="597"/>
        <item h="1" x="361"/>
        <item h="1" x="345"/>
        <item h="1" x="1369"/>
        <item h="1" x="2239"/>
        <item h="1" x="1861"/>
        <item h="1" x="1421"/>
        <item h="1" x="2265"/>
        <item h="1" x="1186"/>
        <item h="1" x="1672"/>
        <item h="1" x="1294"/>
        <item h="1" x="678"/>
        <item h="1" x="1646"/>
        <item h="1" x="1719"/>
        <item h="1" x="1389"/>
        <item h="1" x="1779"/>
        <item h="1" x="2443"/>
        <item h="1" x="1990"/>
        <item h="1" x="2052"/>
        <item h="1" x="1195"/>
        <item h="1" x="2063"/>
        <item h="1" x="992"/>
        <item h="1" x="2707"/>
        <item h="1" x="1188"/>
        <item h="1" x="920"/>
        <item h="1" x="2075"/>
        <item h="1" x="2185"/>
        <item h="1" x="752"/>
        <item h="1" x="2609"/>
        <item h="1" x="1320"/>
        <item h="1" x="2719"/>
        <item h="1" x="1096"/>
        <item h="1" x="1720"/>
        <item h="1" x="2718"/>
        <item h="1" x="1876"/>
        <item h="1" x="1386"/>
        <item h="1" x="756"/>
        <item h="1" x="1387"/>
        <item h="1" x="1341"/>
        <item h="1" x="2216"/>
        <item h="1" x="1404"/>
        <item h="1" x="2073"/>
        <item h="1" x="1275"/>
        <item h="1" x="355"/>
        <item h="1" x="862"/>
        <item h="1" x="1385"/>
        <item h="1" x="1989"/>
        <item h="1" x="1603"/>
        <item h="1" x="2753"/>
        <item h="1" x="766"/>
        <item h="1" x="2169"/>
        <item h="1" x="801"/>
        <item h="1" x="2752"/>
        <item h="1" x="1924"/>
        <item h="1" x="2000"/>
        <item h="1" x="2240"/>
        <item h="1" x="765"/>
        <item h="1" x="2208"/>
        <item h="1" x="1519"/>
        <item h="1" x="2197"/>
        <item h="1" x="1080"/>
        <item h="1" x="2361"/>
        <item h="1" x="1775"/>
        <item h="1" x="1838"/>
        <item h="1" x="2199"/>
        <item h="1" x="1586"/>
        <item h="1" x="2213"/>
        <item h="1" x="2322"/>
        <item h="1" x="1395"/>
        <item h="1" x="1863"/>
        <item h="1" x="2069"/>
        <item h="1" x="2007"/>
        <item h="1" x="1470"/>
        <item h="1" x="2321"/>
        <item h="1" x="2743"/>
        <item h="1" x="1412"/>
        <item h="1" x="2202"/>
        <item h="1" x="683"/>
        <item h="1" x="1592"/>
        <item h="1" x="2168"/>
        <item h="1" x="755"/>
        <item h="1" x="1422"/>
        <item h="1" x="1606"/>
        <item h="1" x="156"/>
        <item h="1" x="1874"/>
        <item h="1" x="2171"/>
        <item h="1" x="2625"/>
        <item h="1" x="1176"/>
        <item h="1" x="500"/>
        <item h="1" x="1872"/>
        <item h="1" x="497"/>
        <item h="1" x="638"/>
        <item h="1" x="2620"/>
        <item h="1" x="2669"/>
        <item h="1" x="387"/>
        <item h="1" x="2477"/>
        <item h="1" x="2198"/>
        <item h="1" x="1920"/>
        <item h="1" x="1958"/>
        <item h="1" x="1488"/>
        <item h="1" x="343"/>
        <item h="1" x="2316"/>
        <item h="1" x="1602"/>
        <item h="1" x="2326"/>
        <item h="1" x="1169"/>
        <item h="1" x="1701"/>
        <item h="1" x="808"/>
        <item h="1" x="803"/>
        <item h="1" x="1076"/>
        <item h="1" x="2626"/>
        <item h="1" x="2365"/>
        <item h="1" x="2278"/>
        <item h="1" x="973"/>
        <item h="1" x="1839"/>
        <item h="1" x="1645"/>
        <item h="1" x="1799"/>
        <item h="1" x="1714"/>
        <item h="1" x="1285"/>
        <item h="1" x="2272"/>
        <item h="1" x="509"/>
        <item h="1" x="2332"/>
        <item h="1" x="759"/>
        <item h="1" x="341"/>
        <item h="1" x="950"/>
        <item h="1" x="895"/>
        <item h="1" x="1539"/>
        <item h="1" x="2746"/>
        <item h="1" x="2220"/>
        <item h="1" x="2072"/>
        <item h="1" x="311"/>
        <item h="1" x="2041"/>
        <item h="1" x="904"/>
        <item h="1" x="102"/>
        <item h="1" x="1851"/>
        <item h="1" x="2730"/>
        <item h="1" x="2417"/>
        <item h="1" x="775"/>
        <item h="1" x="2183"/>
        <item h="1" x="1615"/>
        <item h="1" x="1476"/>
        <item h="1" x="2627"/>
        <item h="1" x="608"/>
        <item h="1" x="1276"/>
        <item h="1" x="685"/>
        <item h="1" x="1332"/>
        <item h="1" x="2725"/>
        <item h="1" x="1927"/>
        <item h="1" x="1613"/>
        <item h="1" x="2744"/>
        <item h="1" x="1549"/>
        <item h="1" x="1550"/>
        <item h="1" x="1912"/>
        <item h="1" x="1965"/>
        <item h="1" x="793"/>
        <item h="1" x="1061"/>
        <item h="1" x="1423"/>
        <item h="1" x="2137"/>
        <item h="1" x="1757"/>
        <item h="1" x="753"/>
        <item h="1" x="2414"/>
        <item h="1" x="2320"/>
        <item h="1" x="2439"/>
        <item h="1" x="1215"/>
        <item h="1" x="1424"/>
        <item h="1" x="2586"/>
        <item h="1" x="811"/>
        <item h="1" x="1736"/>
        <item h="1" x="2261"/>
        <item h="1" x="2319"/>
        <item h="1" x="910"/>
        <item h="1" x="2717"/>
        <item h="1" x="1125"/>
        <item h="1" x="2727"/>
        <item h="1" x="922"/>
        <item h="1" x="674"/>
        <item h="1" x="1199"/>
        <item h="1" x="912"/>
        <item h="1" x="2498"/>
        <item h="1" x="2147"/>
        <item h="1" x="1732"/>
        <item h="1" x="203"/>
        <item h="1" x="903"/>
        <item h="1" x="1902"/>
        <item h="1" x="1811"/>
        <item h="1" x="2487"/>
        <item h="1" x="1837"/>
        <item h="1" x="2360"/>
        <item h="1" x="2317"/>
        <item h="1" x="1865"/>
        <item h="1" x="1917"/>
        <item h="1" x="2635"/>
        <item h="1" x="1251"/>
        <item h="1" x="1378"/>
        <item h="1" x="942"/>
        <item h="1" x="2534"/>
        <item h="1" x="1858"/>
        <item h="1" x="2255"/>
        <item h="1" x="1344"/>
        <item h="1" x="2413"/>
        <item h="1" x="1277"/>
        <item h="1" x="2150"/>
        <item h="1" x="1547"/>
        <item h="1" x="2334"/>
        <item h="1" x="2754"/>
        <item h="1" x="2376"/>
        <item h="1" x="603"/>
        <item h="1" x="2517"/>
        <item h="1" x="2195"/>
        <item h="1" x="2434"/>
        <item h="1" x="1869"/>
        <item h="1" x="1324"/>
        <item h="1" x="346"/>
        <item h="1" x="2652"/>
        <item h="1" x="2013"/>
        <item h="1" x="1417"/>
        <item h="1" x="2421"/>
        <item h="1" x="799"/>
        <item h="1" x="1408"/>
        <item h="1" x="2277"/>
        <item h="1" x="1819"/>
        <item h="1" x="1428"/>
        <item h="1" x="2427"/>
        <item h="1" x="402"/>
        <item h="1" x="424"/>
        <item h="1" x="183"/>
        <item h="1" x="2058"/>
        <item h="1" x="125"/>
        <item h="1" x="2130"/>
        <item h="1" x="2393"/>
        <item h="1" x="1963"/>
        <item h="1" x="2370"/>
        <item h="1" x="1967"/>
        <item h="1" x="1331"/>
        <item h="1" x="2034"/>
        <item h="1" x="1918"/>
        <item h="1" x="970"/>
        <item h="1" x="2333"/>
        <item h="1" x="1972"/>
        <item h="1" x="800"/>
        <item h="1" x="938"/>
        <item h="1" x="1415"/>
        <item h="1" x="1815"/>
        <item h="1" x="1867"/>
        <item h="1" x="2224"/>
        <item h="1" x="1905"/>
        <item h="1" x="2093"/>
        <item h="1" x="2449"/>
        <item h="1" x="804"/>
        <item h="1" x="2569"/>
        <item h="1" x="2090"/>
        <item h="1" x="1802"/>
        <item h="1" x="2089"/>
        <item h="1" x="1511"/>
        <item h="1" x="2745"/>
        <item h="1" x="1382"/>
        <item h="1" x="1925"/>
        <item h="1" x="894"/>
        <item h="1" x="1052"/>
        <item h="1" x="1375"/>
        <item h="1" x="2612"/>
        <item h="1" x="1970"/>
        <item h="1" x="908"/>
        <item h="1" x="1982"/>
        <item h="1" x="1440"/>
        <item h="1" x="1193"/>
        <item h="1" x="1866"/>
        <item h="1" x="2556"/>
        <item h="1" x="936"/>
        <item h="1" x="944"/>
        <item h="1" x="2327"/>
        <item h="1" x="2095"/>
        <item h="1" x="1487"/>
        <item h="1" x="841"/>
        <item h="1" x="2712"/>
        <item h="1" x="423"/>
        <item h="1" x="2462"/>
        <item h="1" x="2537"/>
        <item h="1" x="340"/>
        <item h="1" x="1665"/>
        <item h="1" x="2324"/>
        <item h="1" x="2377"/>
        <item h="1" x="2623"/>
        <item h="1" x="2214"/>
        <item h="1" x="791"/>
        <item h="1" x="493"/>
        <item h="1" x="2371"/>
        <item h="1" x="1840"/>
        <item h="1" x="1283"/>
        <item h="1" x="935"/>
        <item h="1" x="2732"/>
        <item h="1" x="1643"/>
        <item h="1" x="2701"/>
        <item h="1" x="2097"/>
        <item h="1" x="2088"/>
        <item h="1" x="780"/>
        <item h="1" x="1653"/>
        <item h="1" x="2192"/>
        <item h="1" x="1829"/>
        <item h="1" x="1393"/>
        <item h="1" x="2742"/>
        <item h="1" x="1807"/>
        <item h="1" x="770"/>
        <item h="1" x="2755"/>
        <item h="1" x="1334"/>
        <item h="1" x="435"/>
        <item h="1" x="1380"/>
        <item h="1" x="2475"/>
        <item h="1" x="761"/>
        <item h="1" x="1585"/>
        <item h="1" x="2364"/>
        <item h="1" x="798"/>
        <item h="1" x="1758"/>
        <item h="1" x="1788"/>
        <item h="1" x="2263"/>
        <item h="1" x="1348"/>
        <item h="1" x="1557"/>
        <item h="1" x="2227"/>
        <item h="1" x="613"/>
        <item h="1" x="2461"/>
        <item h="1" x="2566"/>
        <item h="1" x="2424"/>
        <item h="1" x="2747"/>
        <item h="1" x="2629"/>
        <item h="1" x="496"/>
        <item h="1" x="1824"/>
        <item h="1" x="2762"/>
        <item h="1" x="1410"/>
        <item h="1" x="2246"/>
        <item h="1" x="1072"/>
        <item h="1" x="2411"/>
        <item h="1" x="1900"/>
        <item h="1" x="499"/>
        <item h="1" x="2087"/>
        <item h="1" x="388"/>
        <item h="1" x="764"/>
        <item h="1" x="1381"/>
        <item h="1" x="1604"/>
        <item h="1" x="367"/>
        <item h="1" x="392"/>
        <item h="1" x="594"/>
        <item h="1" x="760"/>
        <item h="1" x="2245"/>
        <item h="1" x="2006"/>
        <item h="1" x="1671"/>
        <item h="1" x="2723"/>
        <item h="1" x="2473"/>
        <item h="1" x="2226"/>
        <item h="1" x="751"/>
        <item h="1" x="1823"/>
        <item h="1" x="1433"/>
        <item h="1" x="1667"/>
        <item h="1" x="1054"/>
        <item h="1" x="2514"/>
        <item h="1" x="1458"/>
        <item h="1" x="1074"/>
        <item h="1" x="702"/>
        <item h="1" x="795"/>
        <item h="1" x="1852"/>
        <item h="1" x="1733"/>
        <item h="1" x="1890"/>
        <item h="1" x="2286"/>
        <item h="1" x="8"/>
        <item h="1" x="1647"/>
        <item h="1" x="1968"/>
        <item h="1" x="1093"/>
        <item h="1" x="2493"/>
        <item h="1" x="1189"/>
        <item h="1" x="2243"/>
        <item h="1" x="1605"/>
        <item h="1" x="2127"/>
        <item h="1" x="1684"/>
        <item h="1" x="1190"/>
        <item h="1" x="1738"/>
        <item h="1" x="474"/>
        <item h="1" x="2741"/>
        <item h="1" x="1314"/>
        <item h="1" x="2558"/>
        <item h="1" x="1546"/>
        <item h="1" x="2734"/>
        <item h="1" x="2248"/>
        <item h="1" x="758"/>
        <item h="1" x="1658"/>
        <item h="1" x="1330"/>
        <item h="1" x="667"/>
        <item h="1" x="2304"/>
        <item h="1" x="816"/>
        <item h="1" x="1267"/>
        <item h="1" x="2650"/>
        <item h="1" x="746"/>
        <item h="1" x="2667"/>
        <item h="1" x="1844"/>
        <item h="1" x="2190"/>
        <item h="1" x="915"/>
        <item h="1" x="2062"/>
        <item h="1" x="723"/>
        <item h="1" x="2689"/>
        <item h="1" x="809"/>
        <item h="1" x="1501"/>
        <item h="1" x="380"/>
        <item h="1" x="1342"/>
        <item h="1" x="1486"/>
        <item h="1" x="919"/>
        <item h="1" x="2391"/>
        <item h="1" x="1730"/>
        <item h="1" x="1184"/>
        <item h="1" x="1609"/>
        <item h="1" x="2451"/>
        <item h="1" x="76"/>
        <item h="1" x="779"/>
        <item h="1" x="2756"/>
        <item h="1" x="1070"/>
        <item h="1" x="2470"/>
        <item h="1" x="1883"/>
        <item h="1" x="964"/>
        <item h="1" x="1493"/>
        <item h="1" x="2274"/>
        <item h="1" x="781"/>
        <item h="1" x="1273"/>
        <item h="1" x="1478"/>
        <item h="1" x="2372"/>
        <item h="1" x="868"/>
        <item h="1" x="2759"/>
        <item h="1" x="2121"/>
        <item h="1" x="945"/>
        <item h="1" x="1095"/>
        <item h="1" x="1813"/>
        <item h="1" x="2700"/>
        <item h="1" x="433"/>
        <item h="1" x="2038"/>
        <item h="1" x="1453"/>
        <item h="1" x="351"/>
        <item h="1" x="297"/>
        <item h="1" x="2544"/>
        <item h="1" x="1588"/>
        <item h="1" x="684"/>
        <item h="1" x="1559"/>
        <item h="1" x="966"/>
        <item h="1" x="2209"/>
        <item h="1" x="672"/>
        <item h="1" x="1657"/>
        <item h="1" x="734"/>
        <item h="1" x="1081"/>
        <item h="1" x="1177"/>
        <item h="1" x="1172"/>
        <item h="1" x="2092"/>
        <item h="1" x="1409"/>
        <item h="1" x="1437"/>
        <item h="1" x="687"/>
        <item h="1" x="1464"/>
        <item h="1" x="2045"/>
        <item h="1" x="1666"/>
        <item h="1" x="2749"/>
        <item h="1" x="208"/>
        <item h="1" x="2266"/>
        <item h="1" x="1817"/>
        <item h="1" x="2384"/>
        <item h="1" x="691"/>
        <item h="1" x="1977"/>
        <item h="1" x="1426"/>
        <item h="1" x="2253"/>
        <item h="1" x="2380"/>
        <item h="1" x="2471"/>
        <item h="1" x="154"/>
        <item h="1" x="344"/>
        <item h="1" x="1455"/>
        <item h="1" x="2720"/>
        <item h="1" x="498"/>
        <item h="1" x="1926"/>
        <item h="1" x="2267"/>
        <item h="1" x="495"/>
        <item h="1" x="1505"/>
        <item h="1" x="1554"/>
        <item h="1" x="1610"/>
        <item h="1" x="940"/>
        <item h="1" x="2570"/>
        <item h="1" x="1429"/>
        <item h="1" x="1326"/>
        <item h="1" x="2228"/>
        <item h="1" x="2541"/>
        <item h="1" x="2201"/>
        <item h="1" x="2181"/>
        <item h="1" x="2577"/>
        <item h="1" x="1113"/>
        <item h="1" x="676"/>
        <item h="1" x="1669"/>
        <item h="1" x="2200"/>
        <item h="1" x="2229"/>
        <item h="1" x="1821"/>
        <item h="1" x="1827"/>
        <item h="1" x="11"/>
        <item h="1" x="1979"/>
        <item h="1" x="2640"/>
        <item h="1" x="2378"/>
        <item h="1" x="2187"/>
        <item h="1" x="1435"/>
        <item h="1" x="2430"/>
        <item h="1" x="1258"/>
        <item h="1" x="1896"/>
        <item h="1" x="1826"/>
        <item h="1" x="1286"/>
        <item h="1" x="2289"/>
        <item h="1" x="1742"/>
        <item h="1" x="1600"/>
        <item h="1" x="1718"/>
        <item h="1" x="1845"/>
        <item h="1" x="2217"/>
        <item h="1" x="2561"/>
        <item h="1" x="2504"/>
        <item h="1" x="805"/>
        <item h="1" x="2515"/>
        <item h="1" x="494"/>
        <item h="1" x="1374"/>
        <item h="1" x="2698"/>
        <item h="1" x="511"/>
        <item h="1" x="2129"/>
        <item h="1" x="1504"/>
        <item h="1" x="1407"/>
        <item h="1" x="2016"/>
        <item h="1" x="2548"/>
        <item h="1" x="2492"/>
        <item h="1" x="1309"/>
        <item h="1" x="1930"/>
        <item h="1" x="1746"/>
        <item h="1" x="681"/>
        <item h="1" x="2658"/>
        <item h="1" x="1406"/>
        <item h="1" x="1555"/>
        <item h="1" x="1479"/>
        <item h="1" x="2126"/>
        <item h="1" x="2597"/>
        <item h="1" x="301"/>
        <item h="1" x="2262"/>
        <item h="1" x="1923"/>
        <item h="1" x="1655"/>
        <item h="1" x="1360"/>
        <item h="1" x="477"/>
        <item h="1" x="1594"/>
        <item h="1" x="50"/>
        <item h="1" x="1066"/>
        <item h="1" x="2739"/>
        <item h="1" x="2247"/>
        <item h="1" x="1398"/>
        <item h="1" x="2204"/>
        <item h="1" x="512"/>
        <item h="1" x="665"/>
        <item h="1" x="2549"/>
        <item h="1" x="1859"/>
        <item h="1" x="1439"/>
        <item h="1" x="2256"/>
        <item h="1" x="1914"/>
        <item h="1" x="24"/>
        <item h="1" x="2117"/>
        <item h="1" x="1884"/>
        <item h="1" x="212"/>
        <item h="1" x="2686"/>
        <item h="1" x="731"/>
        <item h="1" x="1304"/>
        <item h="1" x="2374"/>
        <item h="1" x="1563"/>
        <item h="1" x="1717"/>
        <item h="1" x="1109"/>
        <item h="1" x="2219"/>
        <item h="1" x="1857"/>
        <item h="1" x="2367"/>
        <item h="1" x="2543"/>
        <item h="1" x="1797"/>
        <item h="1" x="302"/>
        <item h="1" x="501"/>
        <item h="1" x="2536"/>
        <item h="1" x="1644"/>
        <item h="1" x="2138"/>
        <item h="1" x="1098"/>
        <item h="1" x="604"/>
        <item h="1" x="235"/>
        <item h="1" x="2697"/>
        <item h="1" x="439"/>
        <item h="1" x="1127"/>
        <item h="1" x="2375"/>
        <item h="1" x="2110"/>
        <item h="1" x="1591"/>
        <item h="1" x="2143"/>
        <item h="1" x="2146"/>
        <item h="1" x="2728"/>
        <item h="1" x="2064"/>
        <item h="1" x="2310"/>
        <item h="1" x="1494"/>
        <item h="1" x="1068"/>
        <item h="1" x="1259"/>
        <item h="1" x="1312"/>
        <item h="1" x="2403"/>
        <item h="1" x="1082"/>
        <item h="1" x="2507"/>
        <item h="1" x="2699"/>
        <item h="1" x="1183"/>
        <item h="1" x="954"/>
        <item h="1" x="2645"/>
        <item h="1" x="1325"/>
        <item h="1" x="677"/>
        <item h="1" x="2314"/>
        <item h="1" x="1904"/>
        <item h="1" x="1928"/>
        <item h="1" x="299"/>
        <item h="1" x="6"/>
        <item h="1" x="1209"/>
        <item h="1" x="2538"/>
        <item h="1" x="1252"/>
        <item h="1" x="1115"/>
        <item h="1" x="2709"/>
        <item h="1" x="879"/>
        <item h="1" x="408"/>
        <item h="1" x="530"/>
        <item h="1" x="488"/>
        <item h="1" x="204"/>
        <item h="1" x="1913"/>
        <item h="1" x="2291"/>
        <item h="1" x="490"/>
        <item h="1" x="972"/>
        <item h="1" x="1649"/>
        <item h="1" x="410"/>
        <item h="1" x="2668"/>
        <item h="1" x="453"/>
        <item h="1" x="2714"/>
        <item h="1" x="1246"/>
        <item h="1" x="362"/>
        <item h="1" x="1477"/>
        <item h="1" x="2479"/>
        <item h="1" x="1660"/>
        <item h="1" x="2444"/>
        <item h="1" x="1451"/>
        <item h="1" x="2366"/>
        <item h="1" x="1208"/>
        <item h="1" x="947"/>
        <item h="1" x="1108"/>
        <item h="1" x="869"/>
        <item h="1" x="763"/>
        <item h="1" x="2429"/>
        <item h="1" x="2422"/>
        <item h="1" x="2221"/>
        <item h="1" x="2694"/>
        <item h="1" x="2663"/>
        <item h="1" x="366"/>
        <item h="1" x="1864"/>
        <item h="1" x="2665"/>
        <item h="1" x="1338"/>
        <item h="1" x="2423"/>
        <item h="1" x="2043"/>
        <item h="1" x="1055"/>
        <item h="1" x="1372"/>
        <item h="1" x="182"/>
        <item h="1" x="1443"/>
        <item h="1" x="1492"/>
        <item h="1" x="2553"/>
        <item h="1" x="2483"/>
        <item h="1" x="2733"/>
        <item h="1" x="2445"/>
        <item h="1" x="1400"/>
        <item h="1" x="331"/>
        <item h="1" x="2512"/>
        <item h="1" x="750"/>
        <item h="1" x="937"/>
        <item h="1" x="2102"/>
        <item h="1" x="2681"/>
        <item h="1" x="348"/>
        <item h="1" x="2519"/>
        <item h="1" x="16"/>
        <item h="1" x="1880"/>
        <item h="1" x="1192"/>
        <item h="1" x="1180"/>
        <item h="1" x="2435"/>
        <item h="1" x="2299"/>
        <item h="1" x="666"/>
        <item h="1" x="2032"/>
        <item h="1" x="1729"/>
        <item h="1" x="1121"/>
        <item h="1" x="533"/>
        <item h="1" x="1806"/>
        <item h="1" x="1726"/>
        <item h="1" x="876"/>
        <item h="1" x="2551"/>
        <item h="1" x="1278"/>
        <item h="1" x="462"/>
        <item h="1" x="2488"/>
        <item h="1" x="788"/>
        <item h="1" x="1484"/>
        <item h="1" x="2078"/>
        <item h="1" x="1908"/>
        <item h="1" x="2189"/>
        <item h="1" x="1683"/>
        <item h="1" x="983"/>
        <item h="1" x="1533"/>
        <item h="1" x="126"/>
        <item h="1" x="2231"/>
        <item h="1" x="1187"/>
        <item h="1" x="2302"/>
        <item h="1" x="2254"/>
        <item h="1" x="907"/>
        <item h="1" x="1664"/>
        <item h="1" x="1463"/>
        <item h="1" x="1551"/>
        <item h="1" x="1339"/>
        <item h="1" x="605"/>
        <item h="1" x="2116"/>
        <item h="1" x="1456"/>
        <item h="1" x="2436"/>
        <item h="1" x="2139"/>
        <item h="1" x="2269"/>
        <item h="1" x="2540"/>
        <item h="1" x="748"/>
        <item h="1" x="1673"/>
        <item h="1" x="2583"/>
        <item h="1" x="1461"/>
        <item h="1" x="1640"/>
        <item h="1" x="901"/>
        <item h="1" x="2703"/>
        <item h="1" x="1120"/>
        <item h="1" x="2343"/>
        <item h="1" x="2454"/>
        <item h="1" x="1090"/>
        <item h="1" x="1499"/>
        <item h="1" x="2495"/>
        <item h="1" x="776"/>
        <item h="1" x="2394"/>
        <item h="1" x="228"/>
        <item h="1" x="2655"/>
        <item h="1" x="2107"/>
        <item h="1" x="1473"/>
        <item h="1" x="1438"/>
        <item h="1" x="2713"/>
        <item h="1" x="792"/>
        <item h="1" x="1980"/>
        <item h="1" x="406"/>
        <item h="1" x="1737"/>
        <item h="1" x="2619"/>
        <item h="1" x="352"/>
        <item h="1" x="2748"/>
        <item h="1" x="401"/>
        <item h="1" x="1201"/>
        <item h="1" x="202"/>
        <item h="1" x="2591"/>
        <item h="1" x="2242"/>
        <item h="1" x="1397"/>
        <item h="1" x="121"/>
        <item h="1" x="2287"/>
        <item h="1" x="1336"/>
        <item h="1" x="386"/>
        <item h="1" x="1268"/>
        <item h="1" x="933"/>
        <item h="1" x="2428"/>
        <item h="1" x="2506"/>
        <item h="1" x="745"/>
        <item h="1" x="444"/>
        <item h="1" x="2527"/>
        <item h="1" x="2134"/>
        <item h="1" x="240"/>
        <item h="1" x="285"/>
        <item h="1" x="2466"/>
        <item h="1" x="2356"/>
        <item h="1" x="1971"/>
        <item h="1" x="1383"/>
        <item h="1" x="918"/>
        <item h="1" x="2329"/>
        <item h="1" x="2572"/>
        <item h="1" x="1745"/>
        <item h="1" x="1085"/>
        <item h="1" x="2486"/>
        <item h="1" x="991"/>
        <item h="1" x="1556"/>
        <item h="1" x="2704"/>
        <item h="1" x="2468"/>
        <item h="1" x="2125"/>
        <item h="1" x="1502"/>
        <item h="1" x="1856"/>
        <item h="1" x="1722"/>
        <item h="1" x="2592"/>
        <item h="1" x="2531"/>
        <item h="1" x="73"/>
        <item h="1" x="540"/>
        <item h="1" x="953"/>
        <item h="1" x="1744"/>
        <item h="1" x="2071"/>
        <item h="1" x="1106"/>
        <item h="1" x="2453"/>
        <item h="1" x="1751"/>
        <item h="1" x="131"/>
        <item h="1" x="1"/>
        <item h="1" x="955"/>
        <item h="1" x="2657"/>
        <item h="1" x="1097"/>
        <item h="1" x="360"/>
        <item h="1" x="1631"/>
        <item h="1" x="1227"/>
        <item h="1" x="2415"/>
        <item h="1" x="546"/>
        <item h="1" x="1434"/>
        <item h="1" x="1579"/>
        <item h="1" x="357"/>
        <item h="1" x="1749"/>
        <item h="1" x="2252"/>
        <item h="1" x="2122"/>
        <item h="1" x="1870"/>
        <item h="1" x="941"/>
        <item h="1" x="54"/>
        <item h="1" x="1875"/>
        <item h="1" x="2452"/>
        <item h="1" x="870"/>
        <item h="1" x="744"/>
        <item h="1" x="1803"/>
        <item h="1" x="2066"/>
        <item h="1" x="1986"/>
        <item h="1" x="2264"/>
        <item h="1" x="430"/>
        <item h="1" x="2223"/>
        <item h="1" x="2015"/>
        <item h="1" x="1553"/>
        <item h="1" x="951"/>
        <item h="1" x="562"/>
        <item h="1" x="1376"/>
        <item h="1" x="407"/>
        <item h="1" x="784"/>
        <item h="1" x="2611"/>
        <item h="1" x="2642"/>
        <item h="1" x="796"/>
        <item h="1" x="1648"/>
        <item h="1" x="2431"/>
        <item h="1" x="180"/>
        <item h="1" x="930"/>
        <item h="1" x="2595"/>
        <item h="1" x="2671"/>
        <item h="1" x="989"/>
        <item h="1" x="1191"/>
        <item h="1" x="2387"/>
        <item h="1" x="856"/>
        <item h="1" x="1794"/>
        <item h="1" x="1734"/>
        <item h="1" x="2114"/>
        <item h="1" x="1681"/>
        <item h="1" x="2446"/>
        <item h="1" x="2296"/>
        <item h="1" x="1264"/>
        <item h="1" x="2420"/>
        <item h="1" x="393"/>
        <item h="1" x="1084"/>
        <item h="1" x="2068"/>
        <item h="1" x="747"/>
        <item h="1" x="777"/>
        <item h="1" x="2336"/>
        <item h="1" x="1030"/>
        <item h="1" x="1444"/>
        <item h="1" x="1969"/>
        <item h="1" x="354"/>
        <item h="1" x="1984"/>
        <item h="1" x="1107"/>
        <item h="1" x="1542"/>
        <item h="1" x="2241"/>
        <item h="1" x="861"/>
        <item h="1" x="151"/>
        <item h="1" x="1196"/>
        <item h="1" x="64"/>
        <item h="1" x="2682"/>
        <item h="1" x="572"/>
        <item h="1" x="2369"/>
        <item h="1" x="2149"/>
        <item h="1" x="295"/>
        <item h="1" x="928"/>
        <item h="1" x="349"/>
        <item h="1" x="2448"/>
        <item h="1" x="2684"/>
        <item h="1" x="963"/>
        <item h="1" x="905"/>
        <item h="1" x="0"/>
        <item h="1" x="1508"/>
        <item h="1" x="2037"/>
        <item h="1" x="2152"/>
        <item h="1" x="1686"/>
        <item h="1" x="1038"/>
        <item h="1" x="1843"/>
        <item h="1" x="1315"/>
        <item h="1" x="2559"/>
        <item h="1" x="2654"/>
        <item h="1" x="2673"/>
        <item h="1" x="1879"/>
        <item h="1" x="2706"/>
        <item h="1" x="1860"/>
        <item h="1" x="1663"/>
        <item h="1" x="2412"/>
        <item h="1" x="67"/>
        <item h="1" x="2135"/>
        <item h="1" x="609"/>
        <item h="1" x="1938"/>
        <item h="1" x="2225"/>
        <item h="1" x="786"/>
        <item h="1" x="116"/>
        <item h="1" x="1431"/>
        <item h="1" x="767"/>
        <item h="1" x="1175"/>
        <item h="1" x="2547"/>
        <item h="1" x="2017"/>
        <item h="1" x="2077"/>
        <item h="1" x="2094"/>
        <item h="1" x="2690"/>
        <item h="1" x="1454"/>
        <item h="1" x="2011"/>
        <item h="1" x="949"/>
        <item h="1" x="536"/>
        <item h="1" x="2480"/>
        <item h="1" x="1425"/>
        <item h="1" x="1617"/>
        <item h="1" x="2489"/>
        <item h="1" x="2494"/>
        <item h="1" x="2346"/>
        <item h="1" x="178"/>
        <item h="1" x="1957"/>
        <item h="1" x="1948"/>
        <item h="1" x="1847"/>
        <item h="1" x="534"/>
        <item h="1" x="225"/>
        <item h="1" x="2490"/>
        <item h="1" x="1581"/>
        <item h="1" x="2621"/>
        <item h="1" x="1974"/>
        <item h="1" x="2687"/>
        <item h="1" x="234"/>
        <item h="1" x="478"/>
        <item h="1" x="2695"/>
        <item h="1" x="909"/>
        <item h="1" x="610"/>
        <item h="1" x="2672"/>
        <item h="1" x="2622"/>
        <item h="1" x="2676"/>
        <item h="1" x="1622"/>
        <item h="1" x="1558"/>
        <item h="1" x="1652"/>
        <item h="1" x="2580"/>
        <item h="1" x="914"/>
        <item h="1" x="2020"/>
        <item h="1" x="882"/>
        <item h="1" x="409"/>
        <item h="1" x="1711"/>
        <item h="1" x="2234"/>
        <item h="1" x="99"/>
        <item h="1" x="1041"/>
        <item h="1" x="119"/>
        <item h="1" x="1471"/>
        <item h="1" x="2523"/>
        <item h="1" x="1855"/>
        <item h="1" x="1087"/>
        <item h="1" x="1973"/>
        <item h="1" x="45"/>
        <item h="1" x="1985"/>
        <item h="1" x="962"/>
        <item h="1" x="62"/>
        <item h="1" x="1118"/>
        <item h="1" x="378"/>
        <item h="1" x="2467"/>
        <item h="1" x="2634"/>
        <item h="1" x="1810"/>
        <item h="1" x="2550"/>
        <item h="1" x="1292"/>
        <item h="1" x="1221"/>
        <item h="1" x="1871"/>
        <item h="1" x="61"/>
        <item h="1" x="2463"/>
        <item h="1" x="2662"/>
        <item h="1" x="2457"/>
        <item h="1" x="839"/>
        <item h="1" x="1112"/>
        <item h="1" x="1882"/>
        <item h="1" x="238"/>
        <item h="1" x="2275"/>
        <item h="1" x="601"/>
        <item h="1" x="334"/>
        <item h="1" x="1091"/>
        <item h="1" x="2249"/>
        <item h="1" x="824"/>
        <item h="1" x="690"/>
        <item h="1" x="123"/>
        <item h="1" x="1747"/>
        <item h="1" x="502"/>
        <item h="1" x="1801"/>
        <item h="1" x="452"/>
        <item h="1" x="2347"/>
        <item h="1" x="2270"/>
        <item h="1" x="1933"/>
        <item h="1" x="815"/>
        <item h="1" x="974"/>
        <item h="1" x="363"/>
        <item h="1" x="1791"/>
        <item h="1" x="2115"/>
        <item h="1" x="739"/>
        <item h="1" x="1394"/>
        <item h="1" x="2510"/>
        <item h="1" x="1057"/>
        <item h="1" x="2024"/>
        <item h="1" x="1377"/>
        <item h="1" x="769"/>
        <item h="1" x="520"/>
        <item h="1" x="2401"/>
        <item h="1" x="1854"/>
        <item h="1" x="1916"/>
        <item h="1" x="1253"/>
        <item h="1" x="2357"/>
        <item h="1" x="743"/>
        <item h="1" x="2552"/>
        <item h="1" x="2390"/>
        <item h="1" x="1654"/>
        <item h="1" x="1103"/>
        <item h="1" x="1079"/>
        <item h="1" x="2106"/>
        <item h="1" x="305"/>
        <item h="1" x="2533"/>
        <item h="1" x="2464"/>
        <item h="1" x="332"/>
        <item h="1" x="2526"/>
        <item h="1" x="475"/>
        <item h="1" x="1820"/>
        <item h="1" x="592"/>
        <item h="1" x="2295"/>
        <item h="1" x="322"/>
        <item h="1" x="2341"/>
        <item h="1" x="782"/>
        <item h="1" x="1182"/>
        <item h="1" x="405"/>
        <item h="1" x="2373"/>
        <item h="1" x="1102"/>
        <item h="1" x="591"/>
        <item h="1" x="2618"/>
        <item h="1" x="2215"/>
        <item h="1" x="1954"/>
        <item h="1" x="960"/>
        <item h="1" x="2257"/>
        <item h="1" x="2354"/>
        <item h="1" x="576"/>
        <item h="1" x="273"/>
        <item h="1" x="2711"/>
        <item h="1" x="2080"/>
        <item h="1" x="1889"/>
        <item h="1" x="1626"/>
        <item h="1" x="1552"/>
        <item h="1" x="2128"/>
        <item h="1" x="1541"/>
        <item h="1" x="1036"/>
        <item h="1" x="1178"/>
        <item h="1" x="515"/>
        <item h="1" x="843"/>
        <item h="1" x="1949"/>
        <item h="1" x="1804"/>
        <item h="1" x="2259"/>
        <item h="1" x="637"/>
        <item h="1" x="2674"/>
        <item h="1" x="778"/>
        <item h="1" x="2271"/>
        <item h="1" x="2637"/>
        <item h="1" x="2624"/>
        <item h="1" x="1931"/>
        <item h="1" x="2191"/>
        <item h="1" x="2005"/>
        <item h="1" x="2083"/>
        <item h="1" x="2244"/>
        <item h="1" x="300"/>
        <item h="1" x="1910"/>
        <item h="1" x="1284"/>
        <item h="1" x="1572"/>
        <item h="1" x="749"/>
        <item h="1" x="72"/>
        <item h="1" x="2485"/>
        <item h="1" x="1146"/>
        <item h="1" x="2363"/>
        <item h="1" x="958"/>
        <item h="1" x="2031"/>
        <item h="1" x="2696"/>
        <item h="1" x="353"/>
        <item h="1" x="1822"/>
        <item h="1" x="470"/>
        <item h="1" x="2608"/>
        <item h="1" x="847"/>
        <item h="1" x="135"/>
        <item h="1" x="12"/>
        <item h="1" x="1633"/>
        <item h="1" x="136"/>
        <item h="1" x="789"/>
        <item h="1" x="1790"/>
        <item h="1" x="2567"/>
        <item h="1" x="2596"/>
        <item h="1" x="1650"/>
        <item h="1" x="686"/>
        <item h="1" x="1405"/>
        <item h="1" x="2680"/>
        <item h="1" x="725"/>
        <item h="1" x="23"/>
        <item h="1" x="1582"/>
        <item h="1" x="2757"/>
        <item h="1" x="2331"/>
        <item h="1" x="440"/>
        <item h="1" x="2046"/>
        <item h="1" x="2339"/>
        <item h="1" x="2395"/>
        <item h="1" x="859"/>
        <item h="1" x="2330"/>
        <item h="1" x="2111"/>
        <item h="1" x="2542"/>
        <item h="1" x="2212"/>
        <item h="1" x="394"/>
        <item h="1" x="853"/>
        <item h="1" x="2554"/>
        <item h="1" x="2692"/>
        <item h="1" x="2096"/>
        <item h="1" x="1873"/>
        <item h="1" x="658"/>
        <item h="1" x="2416"/>
        <item h="1" x="1962"/>
        <item h="1" x="336"/>
        <item h="1" x="2140"/>
        <item h="1" x="2649"/>
        <item h="1" x="2666"/>
        <item h="1" x="2070"/>
        <item h="1" x="2520"/>
        <item h="1" x="480"/>
        <item h="1" x="2288"/>
        <item h="1" x="469"/>
        <item h="1" x="946"/>
        <item h="1" x="1724"/>
        <item h="1" x="2386"/>
        <item h="1" x="2578"/>
        <item h="1" x="585"/>
        <item h="1" x="1418"/>
        <item h="1" x="1796"/>
        <item h="1" x="2670"/>
        <item h="1" x="2615"/>
        <item h="1" x="616"/>
        <item h="1" x="2614"/>
        <item h="1" x="1446"/>
        <item h="1" x="230"/>
        <item h="1" x="2659"/>
        <item h="1" x="2040"/>
        <item h="1" x="2145"/>
        <item h="1" x="623"/>
        <item h="1" x="1978"/>
        <item h="1" x="2328"/>
        <item h="1" x="1122"/>
        <item h="1" x="468"/>
        <item h="1" x="309"/>
        <item h="1" x="1370"/>
        <item h="1" x="2491"/>
        <item h="1" x="2388"/>
        <item h="1" x="2182"/>
        <item h="1" x="875"/>
        <item h="1" x="447"/>
        <item h="1" x="2607"/>
        <item h="1" x="1830"/>
        <item h="1" x="1662"/>
        <item h="1" x="55"/>
        <item h="1" x="1503"/>
        <item h="1" x="2437"/>
        <item h="1" x="1679"/>
        <item h="1" x="2098"/>
        <item h="1" x="2500"/>
        <item h="1" x="1832"/>
        <item h="1" x="368"/>
        <item h="1" x="1800"/>
        <item h="1" x="873"/>
        <item h="1" x="2297"/>
        <item h="1" x="934"/>
        <item h="1" x="1590"/>
        <item h="1" x="877"/>
        <item h="1" x="2294"/>
        <item h="1" x="1231"/>
        <item h="1" x="1708"/>
        <item h="1" x="1073"/>
        <item h="1" x="959"/>
        <item h="1" x="2054"/>
        <item h="1" x="2348"/>
        <item h="1" x="134"/>
        <item h="1" x="2705"/>
        <item h="1" x="927"/>
        <item h="1" x="1932"/>
        <item h="1" x="1046"/>
        <item h="1" x="1975"/>
        <item h="1" x="899"/>
        <item h="1" x="1266"/>
        <item h="1" x="427"/>
        <item h="1" x="1668"/>
        <item h="1" x="2447"/>
        <item h="1" x="926"/>
        <item h="1" x="595"/>
        <item h="1" x="1568"/>
        <item h="1" x="359"/>
        <item h="1" x="129"/>
        <item h="1" x="2521"/>
        <item h="1" x="1220"/>
        <item h="1" x="1402"/>
        <item h="1" x="531"/>
        <item h="1" x="464"/>
        <item h="1" x="1269"/>
        <item h="1" x="117"/>
        <item h="1" x="703"/>
        <item h="1" x="2679"/>
        <item h="1" x="1685"/>
        <item h="1" x="1272"/>
        <item h="1" x="373"/>
        <item h="1" x="1836"/>
        <item h="1" x="338"/>
        <item h="1" x="670"/>
        <item h="1" x="896"/>
        <item h="1" x="2079"/>
        <item h="1" x="1265"/>
        <item h="1" x="1966"/>
        <item h="1" x="771"/>
        <item h="1" x="210"/>
        <item h="1" x="1132"/>
        <item h="1" x="2677"/>
        <item h="1" x="602"/>
        <item h="1" x="1094"/>
        <item h="1" x="2352"/>
        <item h="1" x="1661"/>
        <item h="1" x="2237"/>
        <item h="1" x="2048"/>
        <item h="1" x="1133"/>
        <item h="1" x="211"/>
        <item h="1" x="1083"/>
        <item h="1" x="1618"/>
        <item h="1" x="708"/>
        <item h="1" x="2590"/>
        <item h="1" x="181"/>
        <item h="1" x="921"/>
        <item h="1" x="1202"/>
        <item h="1" x="535"/>
        <item h="1" x="2546"/>
        <item h="1" x="2306"/>
        <item h="1" x="120"/>
        <item h="1" x="2693"/>
        <item h="1" x="2516"/>
        <item h="1" x="1379"/>
        <item h="1" x="1445"/>
        <item h="1" x="174"/>
        <item h="1" x="139"/>
        <item h="1" x="2656"/>
        <item h="1" x="943"/>
        <item h="1" x="1414"/>
        <item h="1" x="981"/>
        <item h="1" x="924"/>
        <item h="1" x="2651"/>
        <item h="1" x="1228"/>
        <item h="1" x="263"/>
        <item h="1" x="634"/>
        <item h="1" x="1639"/>
        <item h="1" x="221"/>
        <item h="1" x="823"/>
        <item h="1" x="1203"/>
        <item h="1" x="644"/>
        <item h="1" x="916"/>
        <item h="1" x="2359"/>
        <item h="1" x="2049"/>
        <item h="1" x="2478"/>
        <item h="1" x="1888"/>
        <item h="1" x="1656"/>
        <item h="1" x="1388"/>
        <item h="1" x="2653"/>
        <item h="1" x="1114"/>
        <item h="1" x="2398"/>
        <item h="1" x="2060"/>
        <item h="1" x="2499"/>
        <item h="1" x="2404"/>
        <item h="1" x="1834"/>
        <item h="1" x="5"/>
        <item h="1" x="925"/>
        <item h="1" x="339"/>
        <item h="1" x="1399"/>
        <item h="1" x="2476"/>
        <item h="1" x="1841"/>
        <item h="1" x="1144"/>
        <item h="1" x="2410"/>
        <item h="1" x="1282"/>
        <item h="1" x="111"/>
        <item h="1" x="1507"/>
        <item h="1" x="1560"/>
        <item h="1" x="292"/>
        <item h="1" x="1623"/>
        <item h="1" x="1608"/>
        <item h="1" x="1497"/>
        <item h="1" x="118"/>
        <item h="1" x="1078"/>
        <item h="1" x="785"/>
        <item h="1" x="2678"/>
        <item h="1" x="632"/>
        <item h="1" x="1808"/>
        <item h="1" x="1628"/>
        <item h="1" x="2084"/>
        <item h="1" x="2631"/>
        <item h="1" x="887"/>
        <item h="1" x="2101"/>
        <item h="1" x="880"/>
        <item h="1" x="2432"/>
        <item h="1" x="846"/>
        <item h="1" x="2047"/>
        <item h="1" x="2484"/>
        <item h="1" x="1725"/>
        <item h="1" x="483"/>
        <item h="1" x="1117"/>
        <item h="1" x="137"/>
        <item h="1" x="2426"/>
        <item h="1" x="1086"/>
        <item h="1" x="257"/>
        <item h="1" x="370"/>
        <item h="1" x="2279"/>
        <item h="1" x="2402"/>
        <item h="1" x="398"/>
        <item h="1" x="1469"/>
        <item h="1" x="975"/>
        <item h="1" x="2136"/>
        <item h="1" x="1359"/>
        <item h="1" x="1319"/>
        <item h="1" x="206"/>
        <item h="1" x="1293"/>
        <item h="1" x="1059"/>
        <item h="1" x="2065"/>
        <item h="1" x="1261"/>
        <item h="1" x="421"/>
        <item h="1" x="1543"/>
        <item h="1" x="889"/>
        <item h="1" x="2555"/>
        <item h="1" x="1828"/>
        <item h="1" x="2039"/>
        <item h="1" x="2587"/>
        <item h="1" x="833"/>
        <item h="1" x="1287"/>
        <item h="1" x="956"/>
        <item h="1" x="2086"/>
        <item h="1" x="1351"/>
        <item h="1" x="179"/>
        <item h="1" x="231"/>
        <item h="1" x="1562"/>
        <item h="1" x="1254"/>
        <item h="1" x="1002"/>
        <item h="1" x="2119"/>
        <item h="1" x="1205"/>
        <item h="1" x="611"/>
        <item h="1" x="2292"/>
        <item h="1" x="1241"/>
        <item h="1" x="1260"/>
        <item h="1" x="1289"/>
        <item h="1" x="726"/>
        <item h="1" x="985"/>
        <item h="1" x="358"/>
        <item h="1" x="699"/>
        <item h="1" x="2100"/>
        <item h="1" x="1500"/>
        <item h="1" x="2628"/>
        <item h="1" x="2568"/>
        <item h="1" x="2465"/>
        <item h="1" x="1878"/>
        <item h="1" x="1167"/>
        <item h="1" x="2280"/>
        <item h="1" x="1204"/>
        <item h="1" x="606"/>
        <item h="1" x="2050"/>
        <item h="1" x="736"/>
        <item h="1" x="1279"/>
        <item h="1" x="329"/>
        <item h="1" x="1130"/>
        <item h="1" x="1153"/>
        <item h="1" x="2575"/>
        <item h="1" x="978"/>
        <item h="1" x="2630"/>
        <item h="1" x="443"/>
        <item h="1" x="347"/>
        <item h="1" x="1548"/>
        <item h="1" x="1024"/>
        <item h="1" x="2405"/>
        <item h="1" x="2148"/>
        <item h="1" x="1515"/>
        <item h="1" x="1716"/>
        <item h="1" x="60"/>
        <item h="1" x="58"/>
        <item h="1" x="1833"/>
        <item h="1" x="100"/>
        <item h="1" x="2076"/>
        <item h="1" x="1111"/>
        <item h="1" x="2112"/>
        <item h="1" x="650"/>
        <item h="1" x="581"/>
        <item h="1" x="2285"/>
        <item h="1" x="1067"/>
        <item h="1" x="825"/>
        <item h="1" x="980"/>
        <item h="1" x="2142"/>
        <item h="1" x="13"/>
        <item h="1" x="1616"/>
        <item h="1" x="2104"/>
        <item h="1" x="1534"/>
        <item h="1" x="612"/>
        <item h="1" x="290"/>
        <item h="1" x="2019"/>
        <item h="1" x="1919"/>
        <item h="1" x="1263"/>
        <item h="1" x="561"/>
        <item h="1" x="2335"/>
        <item h="1" x="485"/>
        <item h="1" x="1983"/>
        <item h="1" x="886"/>
        <item h="1" x="579"/>
        <item h="1" x="2179"/>
        <item h="1" x="2616"/>
        <item h="1" x="1459"/>
        <item h="1" x="2557"/>
        <item h="1" x="2588"/>
        <item h="1" x="2474"/>
        <item h="1" x="1886"/>
        <item h="1" x="830"/>
        <item h="1" x="1907"/>
        <item h="1" x="391"/>
        <item h="1" x="2154"/>
        <item h="1" x="635"/>
        <item h="1" x="1007"/>
        <item h="1" x="1170"/>
        <item h="1" x="476"/>
        <item h="1" x="1135"/>
        <item h="1" x="3"/>
        <item h="1" x="1390"/>
        <item h="1" x="2664"/>
        <item h="1" x="631"/>
        <item h="1" x="2067"/>
        <item h="1" x="69"/>
        <item h="1" x="990"/>
        <item h="1" x="2584"/>
        <item h="1" x="2511"/>
        <item h="1" x="445"/>
        <item h="1" x="701"/>
        <item h="1" x="692"/>
        <item h="1" x="817"/>
        <item h="1" x="716"/>
        <item h="1" x="2691"/>
        <item h="1" x="327"/>
        <item h="1" x="717"/>
        <item h="1" x="2014"/>
        <item h="1" x="1142"/>
        <item h="1" x="1262"/>
        <item h="1" x="607"/>
        <item h="1" x="2685"/>
        <item h="1" x="1229"/>
        <item h="1" x="1050"/>
        <item h="1" x="2710"/>
        <item h="1" x="986"/>
        <item h="1" x="593"/>
        <item h="1" x="272"/>
        <item h="1" x="1069"/>
        <item h="1" x="1570"/>
        <item h="1" x="1071"/>
        <item h="1" x="1218"/>
        <item h="1" x="1940"/>
        <item h="1" x="1635"/>
        <item h="1" x="436"/>
        <item h="1" x="730"/>
        <item h="1" x="207"/>
        <item h="1" x="2639"/>
        <item h="1" x="2026"/>
        <item h="1" x="415"/>
        <item h="1" x="101"/>
        <item h="1" x="1003"/>
        <item h="1" x="2496"/>
        <item h="1" x="2539"/>
        <item h="1" x="166"/>
        <item h="1" x="1987"/>
        <item h="1" x="484"/>
        <item h="1" x="714"/>
        <item h="1" x="773"/>
        <item h="1" x="2042"/>
        <item h="1" x="1674"/>
        <item h="1" x="599"/>
        <item h="1" x="307"/>
        <item h="1" x="923"/>
        <item h="1" x="112"/>
        <item h="1" x="148"/>
        <item h="1" x="2532"/>
        <item h="1" x="418"/>
        <item h="1" x="1496"/>
        <item h="1" x="1210"/>
        <item h="1" x="718"/>
        <item h="1" x="1092"/>
        <item h="1" x="1941"/>
        <item h="1" x="995"/>
        <item h="1" x="2438"/>
        <item h="1" x="2396"/>
        <item h="1" x="2392"/>
        <item h="1" x="260"/>
        <item h="1" x="2571"/>
        <item h="1" x="1881"/>
        <item h="1" x="259"/>
        <item h="1" x="1416"/>
        <item h="1" x="834"/>
        <item h="1" x="564"/>
        <item h="1" x="614"/>
        <item h="1" x="1792"/>
        <item h="1" x="191"/>
        <item h="1" x="2"/>
        <item h="1" x="849"/>
        <item h="1" x="2644"/>
        <item h="1" x="1934"/>
        <item h="1" x="627"/>
        <item h="1" x="53"/>
        <item h="1" x="1911"/>
        <item h="1" x="2124"/>
        <item h="1" x="1544"/>
        <item h="1" x="1089"/>
        <item h="1" x="1805"/>
        <item h="1" x="2522"/>
        <item h="1" x="2508"/>
        <item h="1" x="1798"/>
        <item h="1" x="1587"/>
        <item h="1" x="437"/>
        <item h="1" x="1255"/>
        <item h="1" x="2099"/>
        <item h="1" x="1014"/>
        <item h="1" x="1680"/>
        <item h="1" x="2503"/>
        <item h="1" x="2281"/>
        <item h="1" x="416"/>
        <item h="1" x="2290"/>
        <item h="1" x="171"/>
        <item h="1" x="1140"/>
        <item h="1" x="735"/>
        <item h="1" x="1026"/>
        <item h="1" x="167"/>
        <item h="1" x="1689"/>
        <item h="1" x="660"/>
        <item h="1" x="1017"/>
        <item h="1" x="2407"/>
        <item h="1" x="2545"/>
        <item h="1" x="1257"/>
        <item h="1" x="46"/>
        <item h="1" x="2440"/>
        <item h="1" x="713"/>
        <item h="1" x="1281"/>
        <item h="1" x="1058"/>
        <item h="1" x="1906"/>
        <item h="1" x="2594"/>
        <item h="1" x="1116"/>
        <item h="1" x="1104"/>
        <item h="1" x="1274"/>
        <item h="1" x="2120"/>
        <item h="1" x="10"/>
        <item h="1" x="1676"/>
        <item h="1" x="425"/>
        <item h="1" x="1491"/>
        <item h="1" x="2345"/>
        <item h="1" x="2760"/>
        <item h="1" x="2344"/>
        <item h="1" x="1909"/>
        <item h="1" x="304"/>
        <item h="1" x="1922"/>
        <item h="1" x="2602"/>
        <item h="1" x="2589"/>
        <item h="1" x="310"/>
        <item h="1" x="356"/>
        <item h="1" x="2442"/>
        <item h="1" x="1008"/>
        <item h="1" x="2028"/>
        <item h="1" x="2603"/>
        <item h="1" x="1031"/>
        <item h="1" x="2528"/>
        <item h="1" x="2683"/>
        <item h="1" x="246"/>
        <item h="1" x="1162"/>
        <item h="1" x="527"/>
        <item h="1" x="145"/>
        <item h="1" x="1124"/>
        <item h="1" x="929"/>
        <item h="1" x="271"/>
        <item h="1" x="2509"/>
        <item h="1" x="1894"/>
        <item h="1" x="2293"/>
        <item h="1" x="1614"/>
        <item h="1" x="70"/>
        <item h="1" x="2133"/>
        <item h="1" x="127"/>
        <item h="1" x="2576"/>
        <item h="1" x="1126"/>
        <item h="1" x="1953"/>
        <item h="1" x="2643"/>
        <item h="1" x="219"/>
        <item h="1" x="283"/>
        <item h="1" x="1506"/>
        <item h="1" x="412"/>
        <item h="1" x="1816"/>
        <item h="1" x="2702"/>
        <item h="1" x="2675"/>
        <item h="1" x="287"/>
        <item h="1" x="2605"/>
        <item h="1" x="141"/>
        <item h="1" x="1217"/>
        <item h="1" x="2758"/>
        <item h="1" x="2008"/>
        <item h="1" x="598"/>
        <item h="1" x="2273"/>
        <item h="1" x="1964"/>
        <item h="1" x="2606"/>
        <item h="1" x="224"/>
        <item h="1" x="15"/>
        <item h="1" x="214"/>
        <item h="1" x="618"/>
        <item h="1" x="2178"/>
        <item h="1" x="1212"/>
        <item h="1" x="1687"/>
        <item h="1" x="256"/>
        <item h="1" x="1509"/>
        <item h="1" x="2565"/>
        <item h="1" x="1164"/>
        <item h="1" x="1447"/>
        <item h="1" x="2459"/>
        <item h="1" x="122"/>
        <item h="1" x="83"/>
        <item h="1" x="2123"/>
        <item h="1" x="411"/>
        <item h="1" x="51"/>
        <item h="1" x="2113"/>
        <item h="1" x="2497"/>
        <item h="1" x="1677"/>
        <item h="1" x="1147"/>
        <item h="1" x="2660"/>
        <item h="1" x="1148"/>
        <item h="1" x="2502"/>
        <item h="1" x="254"/>
        <item h="1" x="2472"/>
        <item h="1" x="325"/>
        <item h="1" x="529"/>
        <item h="1" x="429"/>
        <item h="1" x="693"/>
        <item h="1" x="1516"/>
        <item h="1" x="1216"/>
        <item h="1" x="851"/>
        <item h="1" x="1037"/>
        <item h="1" x="1020"/>
        <item h="1" x="1065"/>
        <item h="1" x="2157"/>
        <item h="1" x="14"/>
        <item h="1" x="2144"/>
        <item h="1" x="1101"/>
        <item h="1" x="400"/>
        <item h="1" x="419"/>
        <item h="1" x="84"/>
        <item h="1" x="449"/>
        <item h="1" x="2647"/>
        <item h="1" x="1028"/>
        <item h="1" x="249"/>
        <item h="1" x="2501"/>
        <item h="1" x="737"/>
        <item h="1" x="461"/>
        <item h="1" x="1466"/>
        <item h="1" x="1368"/>
        <item h="1" x="2399"/>
        <item h="1" x="1242"/>
        <item h="1" x="639"/>
        <item h="1" x="2579"/>
        <item h="1" x="1812"/>
        <item h="1" x="1583"/>
        <item h="1" x="567"/>
        <item h="1" x="2638"/>
        <item h="1" x="2085"/>
        <item h="1" x="308"/>
        <item h="1" x="1759"/>
        <item h="1" x="2389"/>
        <item h="1" x="1297"/>
        <item h="1" x="821"/>
        <item h="1" x="620"/>
        <item h="1" x="1168"/>
        <item h="1" x="2301"/>
        <item h="1" x="1901"/>
        <item h="1" x="1355"/>
        <item h="1" x="1748"/>
        <item h="1" x="279"/>
        <item h="1" x="2581"/>
        <item h="1" x="2036"/>
        <item h="1" x="1825"/>
        <item h="1" x="526"/>
        <item h="1" x="1305"/>
        <item h="1" x="140"/>
        <item h="1" x="1921"/>
        <item h="1" x="2708"/>
        <item h="1" x="277"/>
        <item h="1" x="872"/>
        <item h="1" x="1213"/>
        <item h="1" x="971"/>
        <item h="1" x="2450"/>
        <item h="1" x="1950"/>
        <item h="1" x="721"/>
        <item h="1" x="1362"/>
        <item h="1" x="1290"/>
        <item h="1" x="1574"/>
        <item h="1" x="2233"/>
        <item h="1" x="2585"/>
        <item h="1" x="146"/>
        <item h="1" x="2298"/>
        <item h="1" x="133"/>
        <item h="1" x="1457"/>
        <item h="1" x="1165"/>
        <item h="1" x="2349"/>
        <item h="1" x="891"/>
        <item h="1" x="857"/>
        <item h="1" x="1323"/>
        <item h="1" x="2305"/>
        <item h="1" x="1512"/>
        <item h="1" x="1051"/>
        <item h="1" x="1584"/>
        <item h="1" x="1750"/>
        <item h="1" x="845"/>
        <item h="1" x="2141"/>
        <item h="1" x="1452"/>
        <item h="1" x="569"/>
        <item h="1" x="640"/>
        <item h="1" x="2736"/>
        <item h="1" x="18"/>
        <item h="1" x="1981"/>
        <item h="1" x="278"/>
        <item h="1" x="1893"/>
        <item h="1" x="486"/>
        <item h="1" x="442"/>
        <item h="1" x="521"/>
        <item h="1" x="276"/>
        <item h="1" x="2300"/>
        <item h="1" x="472"/>
        <item h="1" x="396"/>
        <item h="1" x="1743"/>
        <item h="1" x="17"/>
        <item h="1" x="1245"/>
        <item h="1" x="19"/>
        <item h="1" x="107"/>
        <item h="1" x="1561"/>
        <item h="1" x="1129"/>
        <item h="1" x="2232"/>
        <item h="1" x="881"/>
        <item h="1" x="2641"/>
        <item h="1" x="333"/>
        <item h="1" x="1013"/>
        <item h="1" x="984"/>
        <item h="1" x="1011"/>
        <item h="1" x="1895"/>
        <item h="1" x="1392"/>
        <item h="1" x="2057"/>
        <item h="1" x="2513"/>
        <item h="1" x="157"/>
        <item h="1" x="152"/>
        <item h="1" x="719"/>
        <item h="1" x="617"/>
        <item h="1" x="1678"/>
        <item h="1" x="1353"/>
        <item h="1" x="1131"/>
        <item h="1" x="2646"/>
        <item h="1" x="831"/>
        <item h="1" x="965"/>
        <item h="1" x="629"/>
        <item h="1" x="2562"/>
        <item h="1" x="838"/>
        <item h="1" x="466"/>
        <item h="1" x="404"/>
        <item h="1" x="66"/>
        <item h="1" x="2524"/>
        <item h="1" x="397"/>
        <item h="1" x="1946"/>
        <item h="1" x="422"/>
        <item h="1" x="537"/>
        <item h="1" x="528"/>
        <item h="1" x="722"/>
        <item h="1" x="2481"/>
        <item h="1" x="1291"/>
        <item h="1" x="432"/>
        <item h="1" x="1307"/>
        <item h="1" x="615"/>
        <item h="1" x="245"/>
        <item h="1" x="1578"/>
        <item h="1" x="48"/>
        <item h="1" x="371"/>
        <item h="1" x="169"/>
        <item h="1" x="375"/>
        <item h="1" x="1230"/>
        <item h="1" x="109"/>
        <item h="1" x="1675"/>
        <item h="1" x="2593"/>
        <item h="1" x="706"/>
        <item h="1" x="450"/>
        <item h="1" x="1573"/>
        <item h="1" x="1391"/>
        <item h="1" x="1234"/>
        <item h="1" x="1945"/>
        <item h="1" x="659"/>
        <item h="1" x="1110"/>
        <item h="1" x="2340"/>
        <item h="1" x="999"/>
        <item h="1" x="1136"/>
        <item h="1" x="313"/>
        <item h="1" x="482"/>
        <item h="1" x="96"/>
        <item h="1" x="1034"/>
        <item h="1" x="2525"/>
        <item h="1" x="890"/>
        <item h="1" x="144"/>
        <item h="1" x="2061"/>
        <item h="1" x="643"/>
        <item h="1" x="1756"/>
        <item h="1" x="2564"/>
        <item h="1" x="1467"/>
        <item h="1" x="1062"/>
        <item h="1" x="1300"/>
        <item h="1" x="2118"/>
        <item h="1" x="2617"/>
        <item h="1" x="1197"/>
        <item h="1" x="885"/>
        <item h="1" x="2648"/>
        <item h="1" x="364"/>
        <item h="1" x="2351"/>
        <item h="1" x="2030"/>
        <item h="1" x="1354"/>
        <item h="1" x="2433"/>
        <item h="1" x="2574"/>
        <item h="1" x="931"/>
        <item h="1" x="243"/>
        <item h="1" x="420"/>
        <item h="1" x="2027"/>
        <item h="1" x="724"/>
        <item h="1" x="1752"/>
        <item h="1" x="1495"/>
        <item h="1" x="255"/>
        <item h="1" x="1621"/>
        <item h="1" x="1310"/>
        <item h="1" x="454"/>
        <item h="1" x="2051"/>
        <item h="1" x="1239"/>
        <item h="1" x="622"/>
        <item h="1" x="2406"/>
        <item h="1" x="479"/>
        <item h="1" x="431"/>
        <item h="1" x="390"/>
        <item h="1" x="59"/>
        <item h="1" x="2307"/>
        <item h="1" x="587"/>
        <item h="1" x="438"/>
        <item h="1" x="1352"/>
        <item h="1" x="9"/>
        <item h="1" x="274"/>
        <item h="1" x="1308"/>
        <item h="1" x="2469"/>
        <item h="1" x="774"/>
        <item h="1" x="732"/>
        <item h="1" x="2022"/>
        <item h="1" x="1295"/>
        <item h="1" x="2131"/>
        <item h="1" x="729"/>
        <item h="1" x="2103"/>
        <item h="1" x="303"/>
        <item h="1" x="2563"/>
        <item h="1" x="205"/>
        <item h="1" x="2159"/>
        <item h="1" x="1939"/>
        <item h="1" x="247"/>
        <item h="1" x="381"/>
        <item h="1" x="2518"/>
        <item h="1" x="1200"/>
        <item h="1" x="961"/>
        <item h="1" x="783"/>
        <item h="1" x="229"/>
        <item h="1" x="1100"/>
        <item h="1" x="2025"/>
        <item h="1" x="284"/>
        <item h="1" x="467"/>
        <item h="1" x="1171"/>
        <item h="1" x="1223"/>
        <item h="1" x="1025"/>
        <item h="1" x="1793"/>
        <item h="1" x="888"/>
        <item h="1" x="837"/>
        <item h="1" x="1298"/>
        <item h="1" x="707"/>
        <item h="1" x="948"/>
        <item h="1" x="2283"/>
        <item h="1" x="2529"/>
        <item h="1" x="213"/>
        <item h="1" x="1005"/>
        <item h="1" x="1053"/>
        <item h="1" x="626"/>
        <item h="1" x="1465"/>
        <item h="1" x="128"/>
        <item h="1" x="538"/>
        <item h="1" x="306"/>
        <item h="1" x="31"/>
        <item h="1" x="998"/>
        <item h="1" x="492"/>
        <item h="1" x="1899"/>
        <item h="1" x="269"/>
        <item h="1" x="2055"/>
        <item h="1" x="1321"/>
        <item h="1" x="374"/>
        <item h="1" x="2109"/>
        <item h="1" x="1787"/>
        <item h="1" x="2355"/>
        <item h="1" x="952"/>
        <item h="1" x="188"/>
        <item h="1" x="40"/>
        <item h="1" x="852"/>
        <item h="1" x="403"/>
        <item h="1" x="417"/>
        <item h="1" x="1207"/>
        <item h="1" x="738"/>
        <item h="1" x="218"/>
        <item h="1" x="2530"/>
        <item h="1" x="1288"/>
        <item h="1" x="298"/>
        <item h="1" x="968"/>
        <item h="1" x="720"/>
        <item h="1" x="2441"/>
        <item h="1" x="524"/>
        <item h="1" x="850"/>
        <item h="1" x="741"/>
        <item h="1" x="280"/>
        <item h="1" x="2350"/>
        <item h="1" x="2408"/>
        <item h="1" x="267"/>
        <item h="1" x="1105"/>
        <item h="1" x="2158"/>
        <item h="1" x="517"/>
        <item h="1" x="2632"/>
        <item h="1" x="106"/>
        <item h="1" x="1302"/>
        <item h="1" x="1955"/>
        <item h="1" x="57"/>
        <item h="1" x="2560"/>
        <item h="1" x="1785"/>
        <item h="1" x="164"/>
        <item h="1" x="987"/>
        <item h="1" x="2303"/>
        <item h="1" x="1039"/>
        <item h="1" x="2021"/>
        <item h="1" x="649"/>
        <item h="1" x="2044"/>
        <item h="1" x="1163"/>
        <item h="1" x="473"/>
        <item h="1" x="2455"/>
        <item h="1" x="323"/>
        <item h="1" x="858"/>
        <item h="1" x="376"/>
        <item h="1" x="818"/>
        <item h="1" x="1198"/>
        <item h="1" x="1063"/>
        <item h="1" x="1280"/>
        <item h="1" x="704"/>
        <item h="1" x="1233"/>
        <item h="1" x="1620"/>
        <item h="1" x="1619"/>
        <item h="1" x="1897"/>
        <item h="1" x="1303"/>
        <item h="1" x="1152"/>
        <item h="1" x="883"/>
        <item h="1" x="1134"/>
        <item h="1" x="865"/>
        <item h="1" x="651"/>
        <item h="1" x="1947"/>
        <item h="1" x="570"/>
        <item h="1" x="426"/>
        <item h="1" x="2108"/>
        <item h="1" x="969"/>
        <item h="1" x="2342"/>
        <item h="1" x="844"/>
        <item h="1" x="1564"/>
        <item h="1" x="2053"/>
        <item h="1" x="82"/>
        <item h="1" x="574"/>
        <item h="1" x="855"/>
        <item h="1" x="252"/>
        <item h="1" x="395"/>
        <item h="1" x="2308"/>
        <item h="1" x="1566"/>
        <item h="1" x="2353"/>
        <item h="1" x="994"/>
        <item h="1" x="2661"/>
        <item h="1" x="56"/>
        <item h="1" x="399"/>
        <item h="1" x="532"/>
        <item h="1" x="114"/>
        <item h="1" x="543"/>
        <item h="1" x="1887"/>
        <item h="1" x="4"/>
        <item h="1" x="2035"/>
        <item h="1" x="2633"/>
        <item h="1" x="711"/>
        <item h="1" x="385"/>
        <item h="1" x="1322"/>
        <item h="1" x="481"/>
        <item h="1" x="413"/>
        <item h="1" x="379"/>
        <item h="1" x="547"/>
        <item h="1" x="1357"/>
        <item h="1" x="159"/>
        <item h="1" x="810"/>
        <item h="1" x="997"/>
        <item h="1" x="619"/>
        <item h="1" x="860"/>
        <item h="1" x="544"/>
        <item h="1" x="590"/>
        <item h="1" x="957"/>
        <item h="1" x="1629"/>
        <item h="1" x="1468"/>
        <item h="1" x="75"/>
        <item h="1" x="1313"/>
        <item h="1" x="293"/>
        <item h="1" x="1762"/>
        <item h="1" x="1682"/>
        <item h="1" x="1956"/>
        <item h="1" x="1346"/>
        <item h="1" x="2151"/>
        <item h="1" x="1580"/>
        <item h="1" x="669"/>
        <item h="1" x="113"/>
        <item h="1" x="2029"/>
        <item h="1" x="1151"/>
        <item h="1" x="1157"/>
        <item h="1" x="1248"/>
        <item h="1" x="1056"/>
        <item h="1" x="1226"/>
        <item h="1" x="1450"/>
        <item h="1" x="1448"/>
        <item h="1" x="1364"/>
        <item h="1" x="138"/>
        <item h="1" x="33"/>
        <item h="1" x="573"/>
        <item h="1" x="2230"/>
        <item h="1" x="1243"/>
        <item h="1" x="1311"/>
        <item h="1" x="1206"/>
        <item h="1" x="2601"/>
        <item h="1" x="268"/>
        <item h="1" x="1632"/>
        <item h="1" x="132"/>
        <item h="1" x="588"/>
        <item h="1" x="26"/>
        <item h="1" x="2409"/>
        <item h="1" x="165"/>
        <item h="1" x="696"/>
        <item h="1" x="2761"/>
        <item h="1" x="446"/>
        <item h="1" x="1006"/>
        <item h="1" x="63"/>
        <item h="1" x="1128"/>
        <item h="1" x="519"/>
        <item h="1" x="842"/>
        <item h="1" x="525"/>
        <item h="1" x="94"/>
        <item h="1" x="1935"/>
        <item h="1" x="1064"/>
        <item h="1" x="428"/>
        <item h="1" x="1460"/>
        <item h="1" x="1569"/>
        <item h="1" x="294"/>
        <item h="1" x="2599"/>
        <item h="1" x="1010"/>
        <item h="1" x="1099"/>
        <item h="1" x="1155"/>
        <item h="1" x="1936"/>
        <item h="1" x="1952"/>
        <item h="1" x="715"/>
        <item h="1" x="2338"/>
        <item h="1" x="878"/>
        <item h="1" x="1642"/>
        <item h="1" x="7"/>
        <item h="1" x="175"/>
        <item h="1" x="628"/>
        <item h="1" x="1219"/>
        <item h="1" x="1636"/>
        <item h="1" x="1232"/>
        <item h="1" x="1154"/>
        <item h="1" x="976"/>
        <item h="1" x="871"/>
        <item h="1" x="1712"/>
        <item h="1" x="491"/>
        <item h="1" x="1755"/>
        <item h="1" x="1514"/>
        <item h="1" x="1018"/>
        <item h="1" x="318"/>
        <item h="1" x="1350"/>
        <item h="1" x="1892"/>
        <item h="1" x="71"/>
        <item h="1" x="2012"/>
        <item h="1" x="828"/>
        <item h="1" x="1753"/>
        <item h="1" x="1634"/>
        <item h="1" x="1174"/>
        <item h="1" x="296"/>
        <item h="1" x="874"/>
        <item h="1" x="108"/>
        <item h="1" x="1211"/>
        <item h="1" x="1630"/>
        <item h="1" x="2573"/>
        <item h="1" x="1060"/>
        <item h="1" x="563"/>
        <item h="1" x="451"/>
        <item h="1" x="2613"/>
        <item h="1" x="1576"/>
        <item h="1" x="2258"/>
        <item h="1" x="1356"/>
        <item h="1" x="559"/>
        <item h="1" x="1244"/>
        <item h="1" x="1638"/>
        <item h="1" x="47"/>
        <item h="1" x="2358"/>
        <item h="1" x="656"/>
        <item h="1" x="1035"/>
        <item h="1" x="1627"/>
        <item h="1" x="884"/>
        <item h="1" x="1361"/>
        <item h="1" x="2105"/>
        <item h="1" x="553"/>
        <item h="1" x="1589"/>
        <item h="1" x="365"/>
        <item h="1" x="1158"/>
        <item h="1" x="1449"/>
        <item h="1" x="558"/>
        <item h="1" x="700"/>
        <item h="1" x="65"/>
        <item h="1" x="220"/>
        <item h="1" x="1624"/>
        <item h="1" x="549"/>
        <item h="1" x="705"/>
        <item h="1" x="170"/>
        <item h="1" x="661"/>
        <item h="1" x="993"/>
        <item h="1" x="153"/>
        <item h="1" x="1156"/>
        <item h="1" x="1214"/>
        <item h="1" x="2018"/>
        <item h="1" x="835"/>
        <item h="1" x="458"/>
        <item h="1" x="1075"/>
        <item h="1" x="710"/>
        <item h="1" x="197"/>
        <item h="1" x="1761"/>
        <item h="1" x="77"/>
        <item h="1" x="522"/>
        <item h="1" x="539"/>
        <item h="1" x="1029"/>
        <item h="1" x="1786"/>
        <item h="1" x="286"/>
        <item h="1" x="98"/>
        <item h="1" x="582"/>
        <item h="1" x="1318"/>
        <item h="1" x="78"/>
        <item h="1" x="577"/>
        <item h="1" x="698"/>
        <item h="1" x="158"/>
        <item h="1" x="463"/>
        <item h="1" x="471"/>
        <item h="1" x="265"/>
        <item h="1" x="456"/>
        <item h="1" x="222"/>
        <item h="1" x="110"/>
        <item h="1" x="1049"/>
        <item h="1" x="2379"/>
        <item h="1" x="314"/>
        <item h="1" x="647"/>
        <item h="1" x="335"/>
        <item h="1" x="1741"/>
        <item h="1" x="829"/>
        <item h="1" x="389"/>
        <item h="1" x="261"/>
        <item h="1" x="264"/>
        <item h="1" x="1161"/>
        <item h="1" x="232"/>
        <item h="1" x="578"/>
        <item h="1" x="1436"/>
        <item h="1" x="1637"/>
        <item h="1" x="697"/>
        <item h="1" x="115"/>
        <item h="1" x="44"/>
        <item h="1" x="551"/>
        <item h="1" x="848"/>
        <item h="1" x="1567"/>
        <item h="1" x="291"/>
        <item h="1" x="977"/>
        <item h="1" x="185"/>
        <item h="1" x="2598"/>
        <item h="1" x="79"/>
        <item h="1" x="571"/>
        <item h="1" x="36"/>
        <item h="1" x="1571"/>
        <item h="1" x="248"/>
        <item h="1" x="1713"/>
        <item h="1" x="1366"/>
        <item h="1" x="1814"/>
        <item h="1" x="337"/>
        <item h="1" x="38"/>
        <item h="1" x="88"/>
        <item h="1" x="289"/>
        <item h="1" x="1271"/>
        <item h="1" x="864"/>
        <item h="1" x="621"/>
        <item h="1" x="1235"/>
        <item h="1" x="523"/>
        <item h="1" x="728"/>
        <item h="1" x="217"/>
        <item h="1" x="1898"/>
        <item h="1" x="2337"/>
        <item h="1" x="448"/>
        <item h="1" x="382"/>
        <item h="1" x="1316"/>
        <item h="1" x="630"/>
        <item h="1" x="1225"/>
        <item h="1" x="1735"/>
        <item h="1" x="155"/>
        <item h="1" x="457"/>
        <item h="1" x="236"/>
        <item h="1" x="242"/>
        <item h="1" x="1150"/>
        <item h="1" x="1891"/>
        <item h="1" x="1143"/>
        <item h="1" x="2056"/>
        <item h="1" x="1042"/>
        <item h="1" x="1367"/>
        <item h="1" x="695"/>
        <item h="1" x="694"/>
        <item h="1" x="2023"/>
        <item h="1" x="1942"/>
        <item h="1" x="1012"/>
        <item h="1" x="1937"/>
        <item h="1" x="1565"/>
        <item h="1" x="1358"/>
        <item h="1" x="2156"/>
        <item h="1" x="1159"/>
        <item h="1" x="2206"/>
        <item h="1" x="384"/>
        <item h="1" x="1249"/>
        <item h="1" x="2600"/>
        <item h="1" x="866"/>
        <item h="1" x="2132"/>
        <item h="1" x="226"/>
        <item h="1" x="281"/>
        <item h="1" x="227"/>
        <item h="1" x="2482"/>
        <item h="1" x="1027"/>
        <item h="1" x="1019"/>
        <item h="1" x="143"/>
        <item h="1" x="625"/>
        <item h="1" x="1498"/>
        <item h="1" x="568"/>
        <item h="1" x="459"/>
        <item h="1" x="251"/>
        <item h="1" x="1462"/>
        <item h="1" x="372"/>
        <item h="1" x="1166"/>
        <item h="1" x="460"/>
        <item h="1" x="37"/>
        <item h="1" x="1301"/>
        <item h="1" x="2153"/>
        <item h="1" x="819"/>
        <item h="1" x="68"/>
        <item h="1" x="550"/>
        <item h="1" x="2381"/>
        <item h="1" x="455"/>
        <item h="1" x="548"/>
        <item h="1" x="1754"/>
        <item h="1" x="377"/>
        <item h="1" x="1145"/>
        <item h="1" x="655"/>
        <item h="1" x="1137"/>
        <item h="1" x="215"/>
        <item h="1" x="556"/>
        <item h="1" x="200"/>
        <item h="1" x="2155"/>
        <item h="1" x="1306"/>
        <item h="1" x="223"/>
        <item h="1" x="150"/>
        <item h="1" x="149"/>
        <item h="1" x="95"/>
        <item h="1" x="988"/>
        <item h="1" x="668"/>
        <item h="1" x="664"/>
        <item h="1" x="557"/>
        <item h="1" x="244"/>
        <item h="1" x="1138"/>
        <item h="1" x="1238"/>
        <item h="1" x="1141"/>
        <item h="1" x="1959"/>
        <item h="1" x="1317"/>
        <item h="1" x="1023"/>
        <item h="1" x="2260"/>
        <item h="1" x="1575"/>
        <item h="1" x="216"/>
        <item h="1" x="1625"/>
        <item h="1" x="369"/>
        <item h="1" x="1343"/>
        <item h="1" x="762"/>
        <item h="1" x="2059"/>
        <item h="1" x="854"/>
        <item h="1" x="1371"/>
        <item h="1" x="253"/>
        <item h="1" x="1045"/>
        <item h="1" x="177"/>
        <item h="1" x="982"/>
        <item h="1" x="1250"/>
        <item h="1" x="93"/>
        <item h="1" x="330"/>
        <item h="1" x="545"/>
        <item h="1" x="979"/>
        <item h="1" x="176"/>
        <item h="1" x="1944"/>
        <item h="1" x="324"/>
        <item h="1" x="554"/>
        <item h="1" x="1577"/>
        <item h="1" x="814"/>
        <item h="1" x="1943"/>
        <item h="1" x="275"/>
        <item h="1" x="727"/>
        <item h="1" x="142"/>
        <item h="1" x="147"/>
        <item h="1" x="90"/>
        <item h="1" x="81"/>
        <item h="1" x="1247"/>
        <item h="1" x="317"/>
        <item h="1" x="542"/>
        <item h="1" x="652"/>
        <item h="1" x="198"/>
        <item h="1" x="91"/>
        <item h="1" x="1299"/>
        <item h="1" x="1021"/>
        <item h="1" x="2636"/>
        <item h="1" x="1345"/>
        <item h="1" x="648"/>
        <item h="1" x="2604"/>
        <item h="1" x="1022"/>
        <item h="1" x="41"/>
        <item h="1" x="1240"/>
        <item h="1" x="646"/>
        <item h="1" x="2610"/>
        <item h="1" x="642"/>
        <item h="1" x="194"/>
        <item h="1" x="441"/>
        <item h="1" x="662"/>
        <item h="1" x="105"/>
        <item h="1" x="27"/>
        <item h="1" x="822"/>
        <item h="1" x="321"/>
        <item h="1" x="1237"/>
        <item h="1" x="1044"/>
        <item h="1" x="34"/>
        <item h="1" x="654"/>
        <item h="1" x="1224"/>
        <item h="1" x="583"/>
        <item h="1" x="28"/>
        <item h="1" x="1160"/>
        <item h="1" x="266"/>
        <item h="1" x="29"/>
        <item h="1" x="560"/>
        <item h="1" x="645"/>
        <item h="1" x="1040"/>
        <item h="1" x="1149"/>
        <item h="1" x="624"/>
        <item h="1" x="1032"/>
        <item h="1" x="663"/>
        <item h="1" x="190"/>
        <item h="1" x="552"/>
        <item h="1" x="633"/>
        <item h="1" x="826"/>
        <item h="1" x="168"/>
        <item h="1" x="25"/>
        <item h="1" x="2535"/>
        <item h="1" x="250"/>
        <item h="1" x="575"/>
        <item h="1" x="580"/>
        <item h="1" x="160"/>
        <item h="1" x="1015"/>
        <item h="1" x="586"/>
        <item h="1" x="97"/>
        <item h="1" x="39"/>
        <item h="1" x="867"/>
        <item h="1" x="1951"/>
        <item h="1" x="20"/>
        <item h="1" x="1347"/>
        <item h="1" x="319"/>
        <item h="1" x="320"/>
        <item h="1" x="1365"/>
        <item h="1" x="1363"/>
        <item h="1" x="820"/>
        <item h="1" x="326"/>
        <item h="1" x="237"/>
        <item h="1" x="201"/>
        <item h="1" x="161"/>
        <item h="1" x="32"/>
        <item h="1" x="187"/>
        <item h="1" x="87"/>
        <item h="1" x="584"/>
        <item h="1" x="258"/>
        <item h="1" x="315"/>
        <item h="1" x="555"/>
        <item h="1" x="1001"/>
        <item h="1" x="288"/>
        <item h="1" x="328"/>
        <item h="1" x="49"/>
        <item h="1" x="1000"/>
        <item h="1" x="1236"/>
        <item h="1" x="832"/>
        <item h="1" x="239"/>
        <item h="1" x="1047"/>
        <item h="1" x="1016"/>
        <item h="1" x="163"/>
        <item h="1" x="1004"/>
        <item h="1" x="92"/>
        <item h="1" x="241"/>
        <item h="1" x="1538"/>
        <item h="1" x="465"/>
        <item h="1" x="195"/>
        <item h="1" x="270"/>
        <item h="1" x="199"/>
        <item h="1" x="1139"/>
        <item h="1" x="653"/>
        <item h="1" x="233"/>
        <item h="1" x="1641"/>
        <item h="1" x="189"/>
        <item h="1" x="193"/>
        <item h="1" x="262"/>
        <item h="1" x="209"/>
        <item h="1" x="184"/>
        <item h="1" x="86"/>
        <item h="1" x="1009"/>
        <item h="1" x="2203"/>
        <item h="1" x="688"/>
        <item h="1" x="192"/>
        <item h="1" x="85"/>
        <item h="1" x="1123"/>
        <item h="1" x="1033"/>
        <item h="1" x="2385"/>
        <item h="1" x="414"/>
        <item h="1" x="35"/>
        <item h="1" x="172"/>
        <item h="1" x="657"/>
        <item h="1" x="104"/>
        <item h="1" x="1961"/>
        <item h="1" x="489"/>
        <item h="1" x="162"/>
        <item h="1" x="80"/>
        <item h="1" x="316"/>
        <item h="1" x="827"/>
        <item h="1" x="2582"/>
        <item h="1" x="173"/>
        <item h="1" x="130"/>
        <item h="1" x="1536"/>
        <item h="1" x="89"/>
        <item h="1" x="2082"/>
        <item h="1" x="2458"/>
        <item h="1" x="42"/>
        <item h="1" x="1173"/>
        <item h="1" x="196"/>
        <item h="1" x="1809"/>
        <item h="1" x="30"/>
        <item h="1" x="186"/>
        <item h="1" x="1119"/>
        <item h="1" x="43"/>
        <item h="1" x="1960"/>
        <item h="1" x="103"/>
        <item h="1" x="1048"/>
        <item h="1" x="52"/>
        <item h="1" x="733"/>
        <item h="1" x="589"/>
        <item h="1" x="2763"/>
        <item t="default"/>
      </items>
    </pivotField>
  </pivotFields>
  <rowItems count="1">
    <i/>
  </rowItems>
  <colItems count="1">
    <i/>
  </colItems>
  <dataFields count="1">
    <dataField name="Count of Profit"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2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C1:C10" firstHeaderRow="1" firstDataRow="1" firstDataCol="1"/>
  <pivotFields count="1">
    <pivotField axis="axisRow" showAll="0">
      <items count="9">
        <item x="1"/>
        <item x="0"/>
        <item x="4"/>
        <item x="5"/>
        <item x="6"/>
        <item x="2"/>
        <item x="3"/>
        <item x="7"/>
        <item t="default"/>
      </items>
    </pivotField>
  </pivotFields>
  <rowFields count="1">
    <field x="0"/>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2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B1:B2" firstHeaderRow="1" firstDataRow="1" firstDataCol="0"/>
  <pivotFields count="1">
    <pivotField dataField="1" showAll="0">
      <items count="2765">
        <item x="2211"/>
        <item x="1270"/>
        <item x="2009"/>
        <item x="1529"/>
        <item x="1789"/>
        <item x="2172"/>
        <item x="2010"/>
        <item x="1526"/>
        <item x="1531"/>
        <item x="1535"/>
        <item x="1518"/>
        <item x="1765"/>
        <item x="1690"/>
        <item x="712"/>
        <item x="22"/>
        <item x="1524"/>
        <item x="1771"/>
        <item x="740"/>
        <item x="1704"/>
        <item x="2313"/>
        <item x="1611"/>
        <item x="1537"/>
        <item x="1481"/>
        <item x="1699"/>
        <item x="1612"/>
        <item x="1694"/>
        <item x="1607"/>
        <item x="2716"/>
        <item x="893"/>
        <item x="1692"/>
        <item x="1774"/>
        <item x="1996"/>
        <item x="1697"/>
        <item x="1599"/>
        <item x="1770"/>
        <item x="2210"/>
        <item x="1763"/>
        <item x="768"/>
        <item x="2729"/>
        <item x="2003"/>
        <item x="1995"/>
        <item x="2368"/>
        <item x="636"/>
        <item x="1528"/>
        <item x="1522"/>
        <item x="1489"/>
        <item x="806"/>
        <item x="2173"/>
        <item x="840"/>
        <item x="1593"/>
        <item x="1521"/>
        <item x="1598"/>
        <item x="1992"/>
        <item x="2175"/>
        <item x="1702"/>
        <item x="2362"/>
        <item x="2165"/>
        <item x="2170"/>
        <item x="2222"/>
        <item x="1835"/>
        <item x="1181"/>
        <item x="1510"/>
        <item x="1766"/>
        <item x="1715"/>
        <item x="1700"/>
        <item x="1420"/>
        <item x="2505"/>
        <item x="312"/>
        <item x="2004"/>
        <item x="2188"/>
        <item x="1442"/>
        <item x="510"/>
        <item x="1530"/>
        <item x="2177"/>
        <item x="2163"/>
        <item x="1596"/>
        <item x="2315"/>
        <item x="1333"/>
        <item x="2738"/>
        <item x="1485"/>
        <item x="2418"/>
        <item x="2460"/>
        <item x="1597"/>
        <item x="1782"/>
        <item x="812"/>
        <item x="939"/>
        <item x="1695"/>
        <item x="1532"/>
        <item x="1903"/>
        <item x="1601"/>
        <item x="1994"/>
        <item x="505"/>
        <item x="434"/>
        <item x="1705"/>
        <item x="813"/>
        <item x="2160"/>
        <item x="1976"/>
        <item x="1999"/>
        <item x="1525"/>
        <item x="742"/>
        <item x="2750"/>
        <item x="2236"/>
        <item x="1520"/>
        <item x="2726"/>
        <item x="124"/>
        <item x="1846"/>
        <item x="1777"/>
        <item x="2184"/>
        <item x="1764"/>
        <item x="1296"/>
        <item x="1693"/>
        <item x="2722"/>
        <item x="1540"/>
        <item x="2456"/>
        <item x="1419"/>
        <item x="1849"/>
        <item x="913"/>
        <item x="1709"/>
        <item x="1474"/>
        <item x="1527"/>
        <item x="2250"/>
        <item x="1781"/>
        <item x="709"/>
        <item x="917"/>
        <item x="513"/>
        <item x="2164"/>
        <item x="902"/>
        <item x="2196"/>
        <item x="2312"/>
        <item x="1698"/>
        <item x="1401"/>
        <item x="1885"/>
        <item x="1327"/>
        <item x="1337"/>
        <item x="2323"/>
        <item x="596"/>
        <item x="1848"/>
        <item x="836"/>
        <item x="1403"/>
        <item x="1222"/>
        <item x="1413"/>
        <item x="1768"/>
        <item x="802"/>
        <item x="1328"/>
        <item x="518"/>
        <item x="1472"/>
        <item x="1997"/>
        <item x="1411"/>
        <item x="863"/>
        <item x="1430"/>
        <item x="516"/>
        <item x="2268"/>
        <item x="679"/>
        <item x="2162"/>
        <item x="1373"/>
        <item x="2207"/>
        <item x="74"/>
        <item x="2251"/>
        <item x="689"/>
        <item x="1696"/>
        <item x="1710"/>
        <item x="1651"/>
        <item x="600"/>
        <item x="2002"/>
        <item x="342"/>
        <item x="508"/>
        <item x="1329"/>
        <item x="1659"/>
        <item x="2715"/>
        <item x="1688"/>
        <item x="1988"/>
        <item x="1482"/>
        <item x="2311"/>
        <item x="1727"/>
        <item x="1185"/>
        <item x="1432"/>
        <item x="1179"/>
        <item x="1850"/>
        <item x="566"/>
        <item x="2397"/>
        <item x="2737"/>
        <item x="2425"/>
        <item x="1776"/>
        <item x="1513"/>
        <item x="2001"/>
        <item x="1780"/>
        <item x="2161"/>
        <item x="2193"/>
        <item x="1784"/>
        <item x="906"/>
        <item x="1517"/>
        <item x="2383"/>
        <item x="2218"/>
        <item x="2033"/>
        <item x="2724"/>
        <item x="2740"/>
        <item x="2276"/>
        <item x="503"/>
        <item x="680"/>
        <item x="897"/>
        <item x="1740"/>
        <item x="1778"/>
        <item x="1523"/>
        <item x="1993"/>
        <item x="892"/>
        <item x="1707"/>
        <item x="2318"/>
        <item x="541"/>
        <item x="1868"/>
        <item x="21"/>
        <item x="1475"/>
        <item x="1194"/>
        <item x="1427"/>
        <item x="1862"/>
        <item x="2721"/>
        <item x="1490"/>
        <item x="641"/>
        <item x="282"/>
        <item x="1721"/>
        <item x="2751"/>
        <item x="1545"/>
        <item x="1772"/>
        <item x="996"/>
        <item x="754"/>
        <item x="1739"/>
        <item x="790"/>
        <item x="2282"/>
        <item x="350"/>
        <item x="2731"/>
        <item x="2400"/>
        <item x="2419"/>
        <item x="1691"/>
        <item x="794"/>
        <item x="772"/>
        <item x="2074"/>
        <item x="675"/>
        <item x="1731"/>
        <item x="673"/>
        <item x="898"/>
        <item x="506"/>
        <item x="757"/>
        <item x="1340"/>
        <item x="504"/>
        <item x="900"/>
        <item x="1396"/>
        <item x="1842"/>
        <item x="1929"/>
        <item x="1706"/>
        <item x="2180"/>
        <item x="1915"/>
        <item x="487"/>
        <item x="2167"/>
        <item x="383"/>
        <item x="2174"/>
        <item x="1723"/>
        <item x="1088"/>
        <item x="1991"/>
        <item x="1998"/>
        <item x="1043"/>
        <item x="2205"/>
        <item x="1077"/>
        <item x="1773"/>
        <item x="1831"/>
        <item x="2688"/>
        <item x="1818"/>
        <item x="2091"/>
        <item x="1670"/>
        <item x="2166"/>
        <item x="2176"/>
        <item x="807"/>
        <item x="932"/>
        <item x="1767"/>
        <item x="1349"/>
        <item x="507"/>
        <item x="1480"/>
        <item x="1441"/>
        <item x="911"/>
        <item x="2186"/>
        <item x="1595"/>
        <item x="2081"/>
        <item x="2309"/>
        <item x="1335"/>
        <item x="787"/>
        <item x="682"/>
        <item x="1384"/>
        <item x="1783"/>
        <item x="2238"/>
        <item x="1877"/>
        <item x="1769"/>
        <item x="1256"/>
        <item x="1483"/>
        <item x="1703"/>
        <item x="2235"/>
        <item x="2284"/>
        <item x="1853"/>
        <item x="967"/>
        <item x="514"/>
        <item x="1795"/>
        <item x="1760"/>
        <item x="797"/>
        <item x="671"/>
        <item x="1728"/>
        <item x="565"/>
        <item x="2325"/>
        <item x="2194"/>
        <item x="2382"/>
        <item x="2735"/>
        <item x="597"/>
        <item x="361"/>
        <item x="345"/>
        <item x="1369"/>
        <item x="2239"/>
        <item x="1861"/>
        <item x="1421"/>
        <item x="2265"/>
        <item x="1186"/>
        <item x="1672"/>
        <item x="1294"/>
        <item x="678"/>
        <item x="1646"/>
        <item x="1719"/>
        <item x="1389"/>
        <item x="1779"/>
        <item x="2443"/>
        <item x="1990"/>
        <item x="2052"/>
        <item x="1195"/>
        <item x="2063"/>
        <item x="992"/>
        <item x="2707"/>
        <item x="1188"/>
        <item x="920"/>
        <item x="2075"/>
        <item x="2185"/>
        <item x="752"/>
        <item x="2609"/>
        <item x="1320"/>
        <item x="2719"/>
        <item x="1096"/>
        <item x="1720"/>
        <item x="2718"/>
        <item x="1876"/>
        <item x="1386"/>
        <item x="756"/>
        <item x="1387"/>
        <item x="1341"/>
        <item x="2216"/>
        <item x="1404"/>
        <item x="2073"/>
        <item x="1275"/>
        <item x="355"/>
        <item x="862"/>
        <item x="1385"/>
        <item x="1989"/>
        <item x="1603"/>
        <item x="2753"/>
        <item x="766"/>
        <item x="2169"/>
        <item x="801"/>
        <item x="2752"/>
        <item x="1924"/>
        <item x="2000"/>
        <item x="2240"/>
        <item x="765"/>
        <item x="2208"/>
        <item x="1519"/>
        <item x="2197"/>
        <item x="1080"/>
        <item x="2361"/>
        <item x="1775"/>
        <item x="1838"/>
        <item x="2199"/>
        <item x="1586"/>
        <item x="2213"/>
        <item x="2322"/>
        <item x="1395"/>
        <item x="1863"/>
        <item x="2069"/>
        <item x="2007"/>
        <item x="1470"/>
        <item x="2321"/>
        <item x="2743"/>
        <item x="1412"/>
        <item x="2202"/>
        <item x="683"/>
        <item x="1592"/>
        <item x="2168"/>
        <item x="755"/>
        <item x="1422"/>
        <item x="1606"/>
        <item x="156"/>
        <item x="1874"/>
        <item x="2171"/>
        <item x="2625"/>
        <item x="1176"/>
        <item x="500"/>
        <item x="1872"/>
        <item x="497"/>
        <item x="638"/>
        <item x="2620"/>
        <item x="2669"/>
        <item x="387"/>
        <item x="2477"/>
        <item x="2198"/>
        <item x="1920"/>
        <item x="1958"/>
        <item x="1488"/>
        <item x="343"/>
        <item x="2316"/>
        <item x="1602"/>
        <item x="2326"/>
        <item x="1169"/>
        <item x="1701"/>
        <item x="808"/>
        <item x="803"/>
        <item x="1076"/>
        <item x="2626"/>
        <item x="2365"/>
        <item x="2278"/>
        <item x="973"/>
        <item x="1839"/>
        <item x="1645"/>
        <item x="1799"/>
        <item x="1714"/>
        <item x="1285"/>
        <item x="2272"/>
        <item x="509"/>
        <item x="2332"/>
        <item x="759"/>
        <item x="341"/>
        <item x="950"/>
        <item x="895"/>
        <item x="1539"/>
        <item x="2746"/>
        <item x="2220"/>
        <item x="2072"/>
        <item x="311"/>
        <item x="2041"/>
        <item x="904"/>
        <item x="102"/>
        <item x="1851"/>
        <item x="2730"/>
        <item x="2417"/>
        <item x="775"/>
        <item x="2183"/>
        <item x="1615"/>
        <item x="1476"/>
        <item x="2627"/>
        <item x="608"/>
        <item x="1276"/>
        <item x="685"/>
        <item x="1332"/>
        <item x="2725"/>
        <item x="1927"/>
        <item x="1613"/>
        <item x="2744"/>
        <item x="1549"/>
        <item x="1550"/>
        <item x="1912"/>
        <item x="1965"/>
        <item x="793"/>
        <item x="1061"/>
        <item x="1423"/>
        <item x="2137"/>
        <item x="1757"/>
        <item x="753"/>
        <item x="2414"/>
        <item x="2320"/>
        <item x="2439"/>
        <item x="1215"/>
        <item x="1424"/>
        <item x="2586"/>
        <item x="811"/>
        <item x="1736"/>
        <item x="2261"/>
        <item x="2319"/>
        <item x="910"/>
        <item x="2717"/>
        <item x="1125"/>
        <item x="2727"/>
        <item x="922"/>
        <item x="674"/>
        <item x="1199"/>
        <item x="912"/>
        <item x="2498"/>
        <item x="2147"/>
        <item x="1732"/>
        <item x="203"/>
        <item x="903"/>
        <item x="1902"/>
        <item x="1811"/>
        <item x="2487"/>
        <item x="1837"/>
        <item x="2360"/>
        <item x="2317"/>
        <item x="1865"/>
        <item x="1917"/>
        <item x="2635"/>
        <item x="1251"/>
        <item x="1378"/>
        <item x="942"/>
        <item x="2534"/>
        <item x="1858"/>
        <item x="2255"/>
        <item x="1344"/>
        <item x="2413"/>
        <item x="1277"/>
        <item x="2150"/>
        <item x="1547"/>
        <item x="2334"/>
        <item x="2754"/>
        <item x="2376"/>
        <item x="603"/>
        <item x="2517"/>
        <item x="2195"/>
        <item x="2434"/>
        <item x="1869"/>
        <item x="1324"/>
        <item x="346"/>
        <item x="2652"/>
        <item x="2013"/>
        <item x="1417"/>
        <item x="2421"/>
        <item x="799"/>
        <item x="1408"/>
        <item x="2277"/>
        <item x="1819"/>
        <item x="1428"/>
        <item x="2427"/>
        <item x="402"/>
        <item x="424"/>
        <item x="183"/>
        <item x="2058"/>
        <item x="125"/>
        <item x="2130"/>
        <item x="2393"/>
        <item x="1963"/>
        <item x="2370"/>
        <item x="1967"/>
        <item x="1331"/>
        <item x="2034"/>
        <item x="1918"/>
        <item x="970"/>
        <item x="2333"/>
        <item x="1972"/>
        <item x="800"/>
        <item x="938"/>
        <item x="1415"/>
        <item x="1815"/>
        <item x="1867"/>
        <item x="2224"/>
        <item x="1905"/>
        <item x="2093"/>
        <item x="2449"/>
        <item x="804"/>
        <item x="2569"/>
        <item x="2090"/>
        <item x="1802"/>
        <item x="2089"/>
        <item x="1511"/>
        <item x="2745"/>
        <item x="1382"/>
        <item x="1925"/>
        <item x="894"/>
        <item x="1052"/>
        <item x="1375"/>
        <item x="2612"/>
        <item x="1970"/>
        <item x="908"/>
        <item x="1982"/>
        <item x="1440"/>
        <item x="1193"/>
        <item x="1866"/>
        <item x="2556"/>
        <item x="936"/>
        <item x="944"/>
        <item x="2327"/>
        <item x="2095"/>
        <item x="1487"/>
        <item x="841"/>
        <item x="2712"/>
        <item x="423"/>
        <item x="2462"/>
        <item x="2537"/>
        <item x="340"/>
        <item x="1665"/>
        <item x="2324"/>
        <item x="2377"/>
        <item x="2623"/>
        <item x="2214"/>
        <item x="791"/>
        <item x="493"/>
        <item x="2371"/>
        <item x="1840"/>
        <item x="1283"/>
        <item x="935"/>
        <item x="2732"/>
        <item x="1643"/>
        <item x="2701"/>
        <item x="2097"/>
        <item x="2088"/>
        <item x="780"/>
        <item x="1653"/>
        <item x="2192"/>
        <item x="1829"/>
        <item x="1393"/>
        <item x="2742"/>
        <item x="1807"/>
        <item x="770"/>
        <item x="2755"/>
        <item x="1334"/>
        <item x="435"/>
        <item x="1380"/>
        <item x="2475"/>
        <item x="761"/>
        <item x="1585"/>
        <item x="2364"/>
        <item x="798"/>
        <item x="1758"/>
        <item x="1788"/>
        <item x="2263"/>
        <item x="1348"/>
        <item x="1557"/>
        <item x="2227"/>
        <item x="613"/>
        <item x="2461"/>
        <item x="2566"/>
        <item x="2424"/>
        <item x="2747"/>
        <item x="2629"/>
        <item x="496"/>
        <item x="1824"/>
        <item x="2762"/>
        <item x="1410"/>
        <item x="2246"/>
        <item x="1072"/>
        <item x="2411"/>
        <item x="1900"/>
        <item x="499"/>
        <item x="2087"/>
        <item x="388"/>
        <item x="764"/>
        <item x="1381"/>
        <item x="1604"/>
        <item x="367"/>
        <item x="392"/>
        <item x="594"/>
        <item x="760"/>
        <item x="2245"/>
        <item x="2006"/>
        <item x="1671"/>
        <item x="2723"/>
        <item x="2473"/>
        <item x="2226"/>
        <item x="751"/>
        <item x="1823"/>
        <item x="1433"/>
        <item x="1667"/>
        <item x="1054"/>
        <item x="2514"/>
        <item x="1458"/>
        <item x="1074"/>
        <item x="702"/>
        <item x="795"/>
        <item x="1852"/>
        <item x="1733"/>
        <item x="1890"/>
        <item x="2286"/>
        <item x="8"/>
        <item x="1647"/>
        <item x="1968"/>
        <item x="1093"/>
        <item x="2493"/>
        <item x="1189"/>
        <item x="2243"/>
        <item x="1605"/>
        <item x="2127"/>
        <item x="1684"/>
        <item x="1190"/>
        <item x="1738"/>
        <item x="474"/>
        <item x="2741"/>
        <item x="1314"/>
        <item x="2558"/>
        <item x="1546"/>
        <item x="2734"/>
        <item x="2248"/>
        <item x="758"/>
        <item x="1658"/>
        <item x="1330"/>
        <item x="667"/>
        <item x="2304"/>
        <item x="816"/>
        <item x="1267"/>
        <item x="2650"/>
        <item x="746"/>
        <item x="2667"/>
        <item x="1844"/>
        <item x="2190"/>
        <item x="915"/>
        <item x="2062"/>
        <item x="723"/>
        <item x="2689"/>
        <item x="809"/>
        <item x="1501"/>
        <item x="380"/>
        <item x="1342"/>
        <item x="1486"/>
        <item x="919"/>
        <item x="2391"/>
        <item x="1730"/>
        <item x="1184"/>
        <item x="1609"/>
        <item x="2451"/>
        <item x="76"/>
        <item x="779"/>
        <item x="2756"/>
        <item x="1070"/>
        <item x="2470"/>
        <item x="1883"/>
        <item x="964"/>
        <item x="1493"/>
        <item x="2274"/>
        <item x="781"/>
        <item x="1273"/>
        <item x="1478"/>
        <item x="2372"/>
        <item x="868"/>
        <item x="2759"/>
        <item x="2121"/>
        <item x="945"/>
        <item x="1095"/>
        <item x="1813"/>
        <item x="2700"/>
        <item x="433"/>
        <item x="2038"/>
        <item x="1453"/>
        <item x="351"/>
        <item x="297"/>
        <item x="2544"/>
        <item x="1588"/>
        <item x="684"/>
        <item x="1559"/>
        <item x="966"/>
        <item x="2209"/>
        <item x="672"/>
        <item x="1657"/>
        <item x="734"/>
        <item x="1081"/>
        <item x="1177"/>
        <item x="1172"/>
        <item x="2092"/>
        <item x="1409"/>
        <item x="1437"/>
        <item x="687"/>
        <item x="1464"/>
        <item x="2045"/>
        <item x="1666"/>
        <item x="2749"/>
        <item x="208"/>
        <item x="2266"/>
        <item x="1817"/>
        <item x="2384"/>
        <item x="691"/>
        <item x="1977"/>
        <item x="1426"/>
        <item x="2253"/>
        <item x="2380"/>
        <item x="2471"/>
        <item x="154"/>
        <item x="344"/>
        <item x="1455"/>
        <item x="2720"/>
        <item x="498"/>
        <item x="1926"/>
        <item x="2267"/>
        <item x="495"/>
        <item x="1505"/>
        <item x="1554"/>
        <item x="1610"/>
        <item x="940"/>
        <item x="2570"/>
        <item x="1429"/>
        <item x="1326"/>
        <item x="2228"/>
        <item x="2541"/>
        <item x="2201"/>
        <item x="2181"/>
        <item x="2577"/>
        <item x="1113"/>
        <item x="676"/>
        <item x="1669"/>
        <item x="2200"/>
        <item x="2229"/>
        <item x="1821"/>
        <item x="1827"/>
        <item x="11"/>
        <item x="1979"/>
        <item x="2640"/>
        <item x="2378"/>
        <item x="2187"/>
        <item x="1435"/>
        <item x="2430"/>
        <item x="1258"/>
        <item x="1896"/>
        <item x="1826"/>
        <item x="1286"/>
        <item x="2289"/>
        <item x="1742"/>
        <item x="1600"/>
        <item x="1718"/>
        <item x="1845"/>
        <item x="2217"/>
        <item x="2561"/>
        <item x="2504"/>
        <item x="805"/>
        <item x="2515"/>
        <item x="494"/>
        <item x="1374"/>
        <item x="2698"/>
        <item x="511"/>
        <item x="2129"/>
        <item x="1504"/>
        <item x="1407"/>
        <item x="2016"/>
        <item x="2548"/>
        <item x="2492"/>
        <item x="1309"/>
        <item x="1930"/>
        <item x="1746"/>
        <item x="681"/>
        <item x="2658"/>
        <item x="1406"/>
        <item x="1555"/>
        <item x="1479"/>
        <item x="2126"/>
        <item x="2597"/>
        <item x="301"/>
        <item x="2262"/>
        <item x="1923"/>
        <item x="1655"/>
        <item x="1360"/>
        <item x="477"/>
        <item x="1594"/>
        <item x="50"/>
        <item x="1066"/>
        <item x="2739"/>
        <item x="2247"/>
        <item x="1398"/>
        <item x="2204"/>
        <item x="512"/>
        <item x="665"/>
        <item x="2549"/>
        <item x="1859"/>
        <item x="1439"/>
        <item x="2256"/>
        <item x="1914"/>
        <item x="24"/>
        <item x="2117"/>
        <item x="1884"/>
        <item x="212"/>
        <item x="2686"/>
        <item x="731"/>
        <item x="1304"/>
        <item x="2374"/>
        <item x="1563"/>
        <item x="1717"/>
        <item x="1109"/>
        <item x="2219"/>
        <item x="1857"/>
        <item x="2367"/>
        <item x="2543"/>
        <item x="1797"/>
        <item x="302"/>
        <item x="501"/>
        <item x="2536"/>
        <item x="1644"/>
        <item x="2138"/>
        <item x="1098"/>
        <item x="604"/>
        <item x="235"/>
        <item x="2697"/>
        <item x="439"/>
        <item x="1127"/>
        <item x="2375"/>
        <item x="2110"/>
        <item x="1591"/>
        <item x="2143"/>
        <item x="2146"/>
        <item x="2728"/>
        <item x="2064"/>
        <item x="2310"/>
        <item x="1494"/>
        <item x="1068"/>
        <item x="1259"/>
        <item x="1312"/>
        <item x="2403"/>
        <item x="1082"/>
        <item x="2507"/>
        <item x="2699"/>
        <item x="1183"/>
        <item x="954"/>
        <item x="2645"/>
        <item x="1325"/>
        <item x="677"/>
        <item x="2314"/>
        <item x="1904"/>
        <item x="1928"/>
        <item x="299"/>
        <item x="6"/>
        <item x="1209"/>
        <item x="2538"/>
        <item x="1252"/>
        <item x="1115"/>
        <item x="2709"/>
        <item x="879"/>
        <item x="408"/>
        <item x="530"/>
        <item x="488"/>
        <item x="204"/>
        <item x="1913"/>
        <item x="2291"/>
        <item x="490"/>
        <item x="972"/>
        <item x="1649"/>
        <item x="410"/>
        <item x="2668"/>
        <item x="453"/>
        <item x="2714"/>
        <item x="1246"/>
        <item x="362"/>
        <item x="1477"/>
        <item x="2479"/>
        <item x="1660"/>
        <item x="2444"/>
        <item x="1451"/>
        <item x="2366"/>
        <item x="1208"/>
        <item x="947"/>
        <item x="1108"/>
        <item x="869"/>
        <item x="763"/>
        <item x="2429"/>
        <item x="2422"/>
        <item x="2221"/>
        <item x="2694"/>
        <item x="2663"/>
        <item x="366"/>
        <item x="1864"/>
        <item x="2665"/>
        <item x="1338"/>
        <item x="2423"/>
        <item x="2043"/>
        <item x="1055"/>
        <item x="1372"/>
        <item x="182"/>
        <item x="1443"/>
        <item x="1492"/>
        <item x="2553"/>
        <item x="2483"/>
        <item x="2733"/>
        <item x="2445"/>
        <item x="1400"/>
        <item x="331"/>
        <item x="2512"/>
        <item x="750"/>
        <item x="937"/>
        <item x="2102"/>
        <item x="2681"/>
        <item x="348"/>
        <item x="2519"/>
        <item x="16"/>
        <item x="1880"/>
        <item x="1192"/>
        <item x="1180"/>
        <item x="2435"/>
        <item x="2299"/>
        <item x="666"/>
        <item x="2032"/>
        <item x="1729"/>
        <item x="1121"/>
        <item x="533"/>
        <item x="1806"/>
        <item x="1726"/>
        <item x="876"/>
        <item x="2551"/>
        <item x="1278"/>
        <item x="462"/>
        <item x="2488"/>
        <item x="788"/>
        <item x="1484"/>
        <item x="2078"/>
        <item x="1908"/>
        <item x="2189"/>
        <item x="1683"/>
        <item x="983"/>
        <item x="1533"/>
        <item x="126"/>
        <item x="2231"/>
        <item x="1187"/>
        <item x="2302"/>
        <item x="2254"/>
        <item x="907"/>
        <item x="1664"/>
        <item x="1463"/>
        <item x="1551"/>
        <item x="1339"/>
        <item x="605"/>
        <item x="2116"/>
        <item x="1456"/>
        <item x="2436"/>
        <item x="2139"/>
        <item x="2269"/>
        <item x="2540"/>
        <item x="748"/>
        <item x="1673"/>
        <item x="2583"/>
        <item x="1461"/>
        <item x="1640"/>
        <item x="901"/>
        <item x="2703"/>
        <item x="1120"/>
        <item x="2343"/>
        <item x="2454"/>
        <item x="1090"/>
        <item x="1499"/>
        <item x="2495"/>
        <item x="776"/>
        <item x="2394"/>
        <item x="228"/>
        <item x="2655"/>
        <item x="2107"/>
        <item x="1473"/>
        <item x="1438"/>
        <item x="2713"/>
        <item x="792"/>
        <item x="1980"/>
        <item x="406"/>
        <item x="1737"/>
        <item x="2619"/>
        <item x="352"/>
        <item x="2748"/>
        <item x="401"/>
        <item x="1201"/>
        <item x="202"/>
        <item x="2591"/>
        <item x="2242"/>
        <item x="1397"/>
        <item x="121"/>
        <item x="2287"/>
        <item x="1336"/>
        <item x="386"/>
        <item x="1268"/>
        <item x="933"/>
        <item x="2428"/>
        <item x="2506"/>
        <item x="745"/>
        <item x="444"/>
        <item x="2527"/>
        <item x="2134"/>
        <item x="240"/>
        <item x="285"/>
        <item x="2466"/>
        <item x="2356"/>
        <item x="1971"/>
        <item x="1383"/>
        <item x="918"/>
        <item x="2329"/>
        <item x="2572"/>
        <item x="1745"/>
        <item x="1085"/>
        <item x="2486"/>
        <item x="991"/>
        <item x="1556"/>
        <item x="2704"/>
        <item x="2468"/>
        <item x="2125"/>
        <item x="1502"/>
        <item x="1856"/>
        <item x="1722"/>
        <item x="2592"/>
        <item x="2531"/>
        <item x="73"/>
        <item x="540"/>
        <item x="953"/>
        <item x="1744"/>
        <item x="2071"/>
        <item x="1106"/>
        <item x="2453"/>
        <item x="1751"/>
        <item x="131"/>
        <item x="1"/>
        <item x="955"/>
        <item x="2657"/>
        <item x="1097"/>
        <item x="360"/>
        <item x="1631"/>
        <item x="1227"/>
        <item x="2415"/>
        <item x="546"/>
        <item x="1434"/>
        <item x="1579"/>
        <item x="357"/>
        <item x="1749"/>
        <item x="2252"/>
        <item x="2122"/>
        <item x="1870"/>
        <item x="941"/>
        <item x="54"/>
        <item x="1875"/>
        <item x="2452"/>
        <item x="870"/>
        <item x="744"/>
        <item x="1803"/>
        <item x="2066"/>
        <item x="1986"/>
        <item x="2264"/>
        <item x="430"/>
        <item x="2223"/>
        <item x="2015"/>
        <item x="1553"/>
        <item x="951"/>
        <item x="562"/>
        <item x="1376"/>
        <item x="407"/>
        <item x="784"/>
        <item x="2611"/>
        <item x="2642"/>
        <item x="796"/>
        <item x="1648"/>
        <item x="2431"/>
        <item x="180"/>
        <item x="930"/>
        <item x="2595"/>
        <item x="2671"/>
        <item x="989"/>
        <item x="1191"/>
        <item x="2387"/>
        <item x="856"/>
        <item x="1794"/>
        <item x="1734"/>
        <item x="2114"/>
        <item x="1681"/>
        <item x="2446"/>
        <item x="2296"/>
        <item x="1264"/>
        <item x="2420"/>
        <item x="393"/>
        <item x="1084"/>
        <item x="2068"/>
        <item x="747"/>
        <item x="777"/>
        <item x="2336"/>
        <item x="1030"/>
        <item x="1444"/>
        <item x="1969"/>
        <item x="354"/>
        <item x="1984"/>
        <item x="1107"/>
        <item x="1542"/>
        <item x="2241"/>
        <item x="861"/>
        <item x="151"/>
        <item x="1196"/>
        <item x="64"/>
        <item x="2682"/>
        <item x="572"/>
        <item x="2369"/>
        <item x="2149"/>
        <item x="295"/>
        <item x="928"/>
        <item x="349"/>
        <item x="2448"/>
        <item x="2684"/>
        <item x="963"/>
        <item x="905"/>
        <item x="0"/>
        <item x="1508"/>
        <item x="2037"/>
        <item x="2152"/>
        <item x="1686"/>
        <item x="1038"/>
        <item x="1843"/>
        <item x="1315"/>
        <item x="2559"/>
        <item x="2654"/>
        <item x="2673"/>
        <item x="1879"/>
        <item x="2706"/>
        <item x="1860"/>
        <item x="1663"/>
        <item x="2412"/>
        <item x="67"/>
        <item x="2135"/>
        <item x="609"/>
        <item x="1938"/>
        <item x="2225"/>
        <item x="786"/>
        <item x="116"/>
        <item x="1431"/>
        <item x="767"/>
        <item x="1175"/>
        <item x="2547"/>
        <item x="2017"/>
        <item x="2077"/>
        <item x="2094"/>
        <item x="2690"/>
        <item x="1454"/>
        <item x="2011"/>
        <item x="949"/>
        <item x="536"/>
        <item x="2480"/>
        <item x="1425"/>
        <item x="1617"/>
        <item x="2489"/>
        <item x="2494"/>
        <item x="2346"/>
        <item x="178"/>
        <item x="1957"/>
        <item x="1948"/>
        <item x="1847"/>
        <item x="534"/>
        <item x="225"/>
        <item x="2490"/>
        <item x="1581"/>
        <item x="2621"/>
        <item x="1974"/>
        <item x="2687"/>
        <item x="234"/>
        <item x="478"/>
        <item x="2695"/>
        <item x="909"/>
        <item x="610"/>
        <item x="2672"/>
        <item x="2622"/>
        <item x="2676"/>
        <item x="1622"/>
        <item x="1558"/>
        <item x="1652"/>
        <item x="2580"/>
        <item x="914"/>
        <item x="2020"/>
        <item x="882"/>
        <item x="409"/>
        <item x="1711"/>
        <item x="2234"/>
        <item x="99"/>
        <item x="1041"/>
        <item x="119"/>
        <item x="1471"/>
        <item x="2523"/>
        <item x="1855"/>
        <item x="1087"/>
        <item x="1973"/>
        <item x="45"/>
        <item x="1985"/>
        <item x="962"/>
        <item x="62"/>
        <item x="1118"/>
        <item x="378"/>
        <item x="2467"/>
        <item x="2634"/>
        <item x="1810"/>
        <item x="2550"/>
        <item x="1292"/>
        <item x="1221"/>
        <item x="1871"/>
        <item x="61"/>
        <item x="2463"/>
        <item x="2662"/>
        <item x="2457"/>
        <item x="839"/>
        <item x="1112"/>
        <item x="1882"/>
        <item x="238"/>
        <item x="2275"/>
        <item x="601"/>
        <item x="334"/>
        <item x="1091"/>
        <item x="2249"/>
        <item x="824"/>
        <item x="690"/>
        <item x="123"/>
        <item x="1747"/>
        <item x="502"/>
        <item x="1801"/>
        <item x="452"/>
        <item x="2347"/>
        <item x="2270"/>
        <item x="1933"/>
        <item x="815"/>
        <item x="974"/>
        <item x="363"/>
        <item x="1791"/>
        <item x="2115"/>
        <item x="739"/>
        <item x="1394"/>
        <item x="2510"/>
        <item x="1057"/>
        <item x="2024"/>
        <item x="1377"/>
        <item x="769"/>
        <item x="520"/>
        <item x="2401"/>
        <item x="1854"/>
        <item x="1916"/>
        <item x="1253"/>
        <item x="2357"/>
        <item x="743"/>
        <item x="2552"/>
        <item x="2390"/>
        <item x="1654"/>
        <item x="1103"/>
        <item x="1079"/>
        <item x="2106"/>
        <item x="305"/>
        <item x="2533"/>
        <item x="2464"/>
        <item x="332"/>
        <item x="2526"/>
        <item x="475"/>
        <item x="1820"/>
        <item x="592"/>
        <item x="2295"/>
        <item x="322"/>
        <item x="2341"/>
        <item x="782"/>
        <item x="1182"/>
        <item x="405"/>
        <item x="2373"/>
        <item x="1102"/>
        <item x="591"/>
        <item x="2618"/>
        <item x="2215"/>
        <item x="1954"/>
        <item x="960"/>
        <item x="2257"/>
        <item x="2354"/>
        <item x="576"/>
        <item x="273"/>
        <item x="2711"/>
        <item x="2080"/>
        <item x="1889"/>
        <item x="1626"/>
        <item x="1552"/>
        <item x="2128"/>
        <item x="1541"/>
        <item x="1036"/>
        <item x="1178"/>
        <item x="515"/>
        <item x="843"/>
        <item x="1949"/>
        <item x="1804"/>
        <item x="2259"/>
        <item x="637"/>
        <item x="2674"/>
        <item x="778"/>
        <item x="2271"/>
        <item x="2637"/>
        <item x="2624"/>
        <item x="1931"/>
        <item x="2191"/>
        <item x="2005"/>
        <item x="2083"/>
        <item x="2244"/>
        <item x="300"/>
        <item x="1910"/>
        <item x="1284"/>
        <item x="1572"/>
        <item x="749"/>
        <item x="72"/>
        <item x="2485"/>
        <item x="1146"/>
        <item x="2363"/>
        <item x="958"/>
        <item x="2031"/>
        <item x="2696"/>
        <item x="353"/>
        <item x="1822"/>
        <item x="470"/>
        <item x="2608"/>
        <item x="847"/>
        <item x="135"/>
        <item x="12"/>
        <item x="1633"/>
        <item x="136"/>
        <item x="789"/>
        <item x="1790"/>
        <item x="2567"/>
        <item x="2596"/>
        <item x="1650"/>
        <item x="686"/>
        <item x="1405"/>
        <item x="2680"/>
        <item x="725"/>
        <item x="23"/>
        <item x="1582"/>
        <item x="2757"/>
        <item x="2331"/>
        <item x="440"/>
        <item x="2046"/>
        <item x="2339"/>
        <item x="2395"/>
        <item x="859"/>
        <item x="2330"/>
        <item x="2111"/>
        <item x="2542"/>
        <item x="2212"/>
        <item x="394"/>
        <item x="853"/>
        <item x="2554"/>
        <item x="2692"/>
        <item x="2096"/>
        <item x="1873"/>
        <item x="658"/>
        <item x="2416"/>
        <item x="1962"/>
        <item x="336"/>
        <item x="2140"/>
        <item x="2649"/>
        <item x="2666"/>
        <item x="2070"/>
        <item x="2520"/>
        <item x="480"/>
        <item x="2288"/>
        <item x="469"/>
        <item x="946"/>
        <item x="1724"/>
        <item x="2386"/>
        <item x="2578"/>
        <item x="585"/>
        <item x="1418"/>
        <item x="1796"/>
        <item x="2670"/>
        <item x="2615"/>
        <item x="616"/>
        <item x="2614"/>
        <item x="1446"/>
        <item x="230"/>
        <item x="2659"/>
        <item x="2040"/>
        <item x="2145"/>
        <item x="623"/>
        <item x="1978"/>
        <item x="2328"/>
        <item x="1122"/>
        <item x="468"/>
        <item x="309"/>
        <item x="1370"/>
        <item x="2491"/>
        <item x="2388"/>
        <item x="2182"/>
        <item x="875"/>
        <item x="447"/>
        <item x="2607"/>
        <item x="1830"/>
        <item x="1662"/>
        <item x="55"/>
        <item x="1503"/>
        <item x="2437"/>
        <item x="1679"/>
        <item x="2098"/>
        <item x="2500"/>
        <item x="1832"/>
        <item x="368"/>
        <item x="1800"/>
        <item x="873"/>
        <item x="2297"/>
        <item x="934"/>
        <item x="1590"/>
        <item x="877"/>
        <item x="2294"/>
        <item x="1231"/>
        <item x="1708"/>
        <item x="1073"/>
        <item x="959"/>
        <item x="2054"/>
        <item x="2348"/>
        <item x="134"/>
        <item x="2705"/>
        <item x="927"/>
        <item x="1932"/>
        <item x="1046"/>
        <item x="1975"/>
        <item x="899"/>
        <item x="1266"/>
        <item x="427"/>
        <item x="1668"/>
        <item x="2447"/>
        <item x="926"/>
        <item x="595"/>
        <item x="1568"/>
        <item x="359"/>
        <item x="129"/>
        <item x="2521"/>
        <item x="1220"/>
        <item x="1402"/>
        <item x="531"/>
        <item x="464"/>
        <item x="1269"/>
        <item x="117"/>
        <item x="703"/>
        <item x="2679"/>
        <item x="1685"/>
        <item x="1272"/>
        <item x="373"/>
        <item x="1836"/>
        <item x="338"/>
        <item x="670"/>
        <item x="896"/>
        <item x="2079"/>
        <item x="1265"/>
        <item x="1966"/>
        <item x="771"/>
        <item x="210"/>
        <item x="1132"/>
        <item x="2677"/>
        <item x="602"/>
        <item x="1094"/>
        <item x="2352"/>
        <item x="1661"/>
        <item x="2237"/>
        <item x="2048"/>
        <item x="1133"/>
        <item x="211"/>
        <item x="1083"/>
        <item x="1618"/>
        <item x="708"/>
        <item x="2590"/>
        <item x="181"/>
        <item x="921"/>
        <item x="1202"/>
        <item x="535"/>
        <item x="2546"/>
        <item x="2306"/>
        <item x="120"/>
        <item x="2693"/>
        <item x="2516"/>
        <item x="1379"/>
        <item x="1445"/>
        <item x="174"/>
        <item x="139"/>
        <item x="2656"/>
        <item x="943"/>
        <item x="1414"/>
        <item x="981"/>
        <item x="924"/>
        <item x="2651"/>
        <item x="1228"/>
        <item x="263"/>
        <item x="634"/>
        <item x="1639"/>
        <item x="221"/>
        <item x="823"/>
        <item x="1203"/>
        <item x="644"/>
        <item x="916"/>
        <item x="2359"/>
        <item x="2049"/>
        <item x="2478"/>
        <item x="1888"/>
        <item x="1656"/>
        <item x="1388"/>
        <item x="2653"/>
        <item x="1114"/>
        <item x="2398"/>
        <item x="2060"/>
        <item x="2499"/>
        <item x="2404"/>
        <item x="1834"/>
        <item x="5"/>
        <item x="925"/>
        <item x="339"/>
        <item x="1399"/>
        <item x="2476"/>
        <item x="1841"/>
        <item x="1144"/>
        <item x="2410"/>
        <item x="1282"/>
        <item x="111"/>
        <item x="1507"/>
        <item x="1560"/>
        <item x="292"/>
        <item x="1623"/>
        <item x="1608"/>
        <item x="1497"/>
        <item x="118"/>
        <item x="1078"/>
        <item x="785"/>
        <item x="2678"/>
        <item x="632"/>
        <item x="1808"/>
        <item x="1628"/>
        <item x="2084"/>
        <item x="2631"/>
        <item x="887"/>
        <item x="2101"/>
        <item x="880"/>
        <item x="2432"/>
        <item x="846"/>
        <item x="2047"/>
        <item x="2484"/>
        <item x="1725"/>
        <item x="483"/>
        <item x="1117"/>
        <item x="137"/>
        <item x="2426"/>
        <item x="1086"/>
        <item x="257"/>
        <item x="370"/>
        <item x="2279"/>
        <item x="2402"/>
        <item x="398"/>
        <item x="1469"/>
        <item x="975"/>
        <item x="2136"/>
        <item x="1359"/>
        <item x="1319"/>
        <item x="206"/>
        <item x="1293"/>
        <item x="1059"/>
        <item x="2065"/>
        <item x="1261"/>
        <item x="421"/>
        <item x="1543"/>
        <item x="889"/>
        <item x="2555"/>
        <item x="1828"/>
        <item x="2039"/>
        <item x="2587"/>
        <item x="833"/>
        <item x="1287"/>
        <item x="956"/>
        <item x="2086"/>
        <item x="1351"/>
        <item x="179"/>
        <item x="231"/>
        <item x="1562"/>
        <item x="1254"/>
        <item x="1002"/>
        <item x="2119"/>
        <item x="1205"/>
        <item x="611"/>
        <item x="2292"/>
        <item x="1241"/>
        <item x="1260"/>
        <item x="1289"/>
        <item x="726"/>
        <item x="985"/>
        <item x="358"/>
        <item x="699"/>
        <item x="2100"/>
        <item x="1500"/>
        <item x="2628"/>
        <item x="2568"/>
        <item x="2465"/>
        <item x="1878"/>
        <item x="1167"/>
        <item x="2280"/>
        <item x="1204"/>
        <item x="606"/>
        <item x="2050"/>
        <item x="736"/>
        <item x="1279"/>
        <item x="329"/>
        <item x="1130"/>
        <item x="1153"/>
        <item x="2575"/>
        <item x="978"/>
        <item x="2630"/>
        <item x="443"/>
        <item x="347"/>
        <item x="1548"/>
        <item x="1024"/>
        <item x="2405"/>
        <item x="2148"/>
        <item x="1515"/>
        <item x="1716"/>
        <item x="60"/>
        <item x="58"/>
        <item x="1833"/>
        <item x="100"/>
        <item x="2076"/>
        <item x="1111"/>
        <item x="2112"/>
        <item x="650"/>
        <item x="581"/>
        <item x="2285"/>
        <item x="1067"/>
        <item x="825"/>
        <item x="980"/>
        <item x="2142"/>
        <item x="13"/>
        <item x="1616"/>
        <item x="2104"/>
        <item x="1534"/>
        <item x="612"/>
        <item x="290"/>
        <item x="2019"/>
        <item x="1919"/>
        <item x="1263"/>
        <item x="561"/>
        <item x="2335"/>
        <item x="485"/>
        <item x="1983"/>
        <item x="886"/>
        <item x="579"/>
        <item x="2179"/>
        <item x="2616"/>
        <item x="1459"/>
        <item x="2557"/>
        <item x="2588"/>
        <item x="2474"/>
        <item x="1886"/>
        <item x="830"/>
        <item x="1907"/>
        <item x="391"/>
        <item x="2154"/>
        <item x="635"/>
        <item x="1007"/>
        <item x="1170"/>
        <item x="476"/>
        <item x="1135"/>
        <item x="3"/>
        <item x="1390"/>
        <item x="2664"/>
        <item x="631"/>
        <item x="2067"/>
        <item x="69"/>
        <item x="990"/>
        <item x="2584"/>
        <item x="2511"/>
        <item x="445"/>
        <item x="701"/>
        <item x="692"/>
        <item x="817"/>
        <item x="716"/>
        <item x="2691"/>
        <item x="327"/>
        <item x="717"/>
        <item x="2014"/>
        <item x="1142"/>
        <item x="1262"/>
        <item x="607"/>
        <item x="2685"/>
        <item x="1229"/>
        <item x="1050"/>
        <item x="2710"/>
        <item x="986"/>
        <item x="593"/>
        <item x="272"/>
        <item x="1069"/>
        <item x="1570"/>
        <item x="1071"/>
        <item x="1218"/>
        <item x="1940"/>
        <item x="1635"/>
        <item x="436"/>
        <item x="730"/>
        <item x="207"/>
        <item x="2639"/>
        <item x="2026"/>
        <item x="415"/>
        <item x="101"/>
        <item x="1003"/>
        <item x="2496"/>
        <item x="2539"/>
        <item x="166"/>
        <item x="1987"/>
        <item x="484"/>
        <item x="714"/>
        <item x="773"/>
        <item x="2042"/>
        <item x="1674"/>
        <item x="599"/>
        <item x="307"/>
        <item x="923"/>
        <item x="112"/>
        <item x="148"/>
        <item x="2532"/>
        <item x="418"/>
        <item x="1496"/>
        <item x="1210"/>
        <item x="718"/>
        <item x="1092"/>
        <item x="1941"/>
        <item x="995"/>
        <item x="2438"/>
        <item x="2396"/>
        <item x="2392"/>
        <item x="260"/>
        <item x="2571"/>
        <item x="1881"/>
        <item x="259"/>
        <item x="1416"/>
        <item x="834"/>
        <item x="564"/>
        <item x="614"/>
        <item x="1792"/>
        <item x="191"/>
        <item x="2"/>
        <item x="849"/>
        <item x="2644"/>
        <item x="1934"/>
        <item x="627"/>
        <item x="53"/>
        <item x="1911"/>
        <item x="2124"/>
        <item x="1544"/>
        <item x="1089"/>
        <item x="1805"/>
        <item x="2522"/>
        <item x="2508"/>
        <item x="1798"/>
        <item x="1587"/>
        <item x="437"/>
        <item x="1255"/>
        <item x="2099"/>
        <item x="1014"/>
        <item x="1680"/>
        <item x="2503"/>
        <item x="2281"/>
        <item x="416"/>
        <item x="2290"/>
        <item x="171"/>
        <item x="1140"/>
        <item x="735"/>
        <item x="1026"/>
        <item x="167"/>
        <item x="1689"/>
        <item x="660"/>
        <item x="1017"/>
        <item x="2407"/>
        <item x="2545"/>
        <item x="1257"/>
        <item x="46"/>
        <item x="2440"/>
        <item x="713"/>
        <item x="1281"/>
        <item x="1058"/>
        <item x="1906"/>
        <item x="2594"/>
        <item x="1116"/>
        <item x="1104"/>
        <item x="1274"/>
        <item x="2120"/>
        <item x="10"/>
        <item x="1676"/>
        <item x="425"/>
        <item x="1491"/>
        <item x="2345"/>
        <item x="2760"/>
        <item x="2344"/>
        <item x="1909"/>
        <item x="304"/>
        <item x="1922"/>
        <item x="2602"/>
        <item x="2589"/>
        <item x="310"/>
        <item x="356"/>
        <item x="2442"/>
        <item x="1008"/>
        <item x="2028"/>
        <item x="2603"/>
        <item x="1031"/>
        <item x="2528"/>
        <item x="2683"/>
        <item x="246"/>
        <item x="1162"/>
        <item x="527"/>
        <item x="145"/>
        <item x="1124"/>
        <item x="929"/>
        <item x="271"/>
        <item x="2509"/>
        <item x="1894"/>
        <item x="2293"/>
        <item x="1614"/>
        <item x="70"/>
        <item x="2133"/>
        <item x="127"/>
        <item x="2576"/>
        <item x="1126"/>
        <item x="1953"/>
        <item x="2643"/>
        <item x="219"/>
        <item x="283"/>
        <item x="1506"/>
        <item x="412"/>
        <item x="1816"/>
        <item x="2702"/>
        <item x="2675"/>
        <item x="287"/>
        <item x="2605"/>
        <item x="141"/>
        <item x="1217"/>
        <item x="2758"/>
        <item x="2008"/>
        <item x="598"/>
        <item x="2273"/>
        <item x="1964"/>
        <item x="2606"/>
        <item x="224"/>
        <item x="15"/>
        <item x="214"/>
        <item x="618"/>
        <item x="2178"/>
        <item x="1212"/>
        <item x="1687"/>
        <item x="256"/>
        <item x="1509"/>
        <item x="2565"/>
        <item x="1164"/>
        <item x="1447"/>
        <item x="2459"/>
        <item x="122"/>
        <item x="83"/>
        <item x="2123"/>
        <item x="411"/>
        <item x="51"/>
        <item x="2113"/>
        <item x="2497"/>
        <item x="1677"/>
        <item x="1147"/>
        <item x="2660"/>
        <item x="1148"/>
        <item x="2502"/>
        <item x="254"/>
        <item x="2472"/>
        <item x="325"/>
        <item x="529"/>
        <item x="429"/>
        <item x="693"/>
        <item x="1516"/>
        <item x="1216"/>
        <item x="851"/>
        <item x="1037"/>
        <item x="1020"/>
        <item x="1065"/>
        <item x="2157"/>
        <item x="14"/>
        <item x="2144"/>
        <item x="1101"/>
        <item x="400"/>
        <item x="419"/>
        <item x="84"/>
        <item x="449"/>
        <item x="2647"/>
        <item x="1028"/>
        <item x="249"/>
        <item x="2501"/>
        <item x="737"/>
        <item x="461"/>
        <item x="1466"/>
        <item x="1368"/>
        <item x="2399"/>
        <item x="1242"/>
        <item x="639"/>
        <item x="2579"/>
        <item x="1812"/>
        <item x="1583"/>
        <item x="567"/>
        <item x="2638"/>
        <item x="2085"/>
        <item x="308"/>
        <item x="1759"/>
        <item x="2389"/>
        <item x="1297"/>
        <item x="821"/>
        <item x="620"/>
        <item x="1168"/>
        <item x="2301"/>
        <item x="1901"/>
        <item x="1355"/>
        <item x="1748"/>
        <item x="279"/>
        <item x="2581"/>
        <item x="2036"/>
        <item x="1825"/>
        <item x="526"/>
        <item x="1305"/>
        <item x="140"/>
        <item x="1921"/>
        <item x="2708"/>
        <item x="277"/>
        <item x="872"/>
        <item x="1213"/>
        <item x="971"/>
        <item x="2450"/>
        <item x="1950"/>
        <item x="721"/>
        <item x="1362"/>
        <item x="1290"/>
        <item x="1574"/>
        <item x="2233"/>
        <item x="2585"/>
        <item x="146"/>
        <item x="2298"/>
        <item x="133"/>
        <item x="1457"/>
        <item x="1165"/>
        <item x="2349"/>
        <item x="891"/>
        <item x="857"/>
        <item x="1323"/>
        <item x="2305"/>
        <item x="1512"/>
        <item x="1051"/>
        <item x="1584"/>
        <item x="1750"/>
        <item x="845"/>
        <item x="2141"/>
        <item x="1452"/>
        <item x="569"/>
        <item x="640"/>
        <item x="2736"/>
        <item x="18"/>
        <item x="1981"/>
        <item x="278"/>
        <item x="1893"/>
        <item x="486"/>
        <item x="442"/>
        <item x="521"/>
        <item x="276"/>
        <item x="2300"/>
        <item x="472"/>
        <item x="396"/>
        <item x="1743"/>
        <item x="17"/>
        <item x="1245"/>
        <item x="19"/>
        <item x="107"/>
        <item x="1561"/>
        <item x="1129"/>
        <item x="2232"/>
        <item x="881"/>
        <item x="2641"/>
        <item x="333"/>
        <item x="1013"/>
        <item x="984"/>
        <item x="1011"/>
        <item x="1895"/>
        <item x="1392"/>
        <item x="2057"/>
        <item x="2513"/>
        <item x="157"/>
        <item x="152"/>
        <item x="719"/>
        <item x="617"/>
        <item x="1678"/>
        <item x="1353"/>
        <item x="1131"/>
        <item x="2646"/>
        <item x="831"/>
        <item x="965"/>
        <item x="629"/>
        <item x="2562"/>
        <item x="838"/>
        <item x="466"/>
        <item x="404"/>
        <item x="66"/>
        <item x="2524"/>
        <item x="397"/>
        <item x="1946"/>
        <item x="422"/>
        <item x="537"/>
        <item x="528"/>
        <item x="722"/>
        <item x="2481"/>
        <item x="1291"/>
        <item x="432"/>
        <item x="1307"/>
        <item x="615"/>
        <item x="245"/>
        <item x="1578"/>
        <item x="48"/>
        <item x="371"/>
        <item x="169"/>
        <item x="375"/>
        <item x="1230"/>
        <item x="109"/>
        <item x="1675"/>
        <item x="2593"/>
        <item x="706"/>
        <item x="450"/>
        <item x="1573"/>
        <item x="1391"/>
        <item x="1234"/>
        <item x="1945"/>
        <item x="659"/>
        <item x="1110"/>
        <item x="2340"/>
        <item x="999"/>
        <item x="1136"/>
        <item x="313"/>
        <item x="482"/>
        <item x="96"/>
        <item x="1034"/>
        <item x="2525"/>
        <item x="890"/>
        <item x="144"/>
        <item x="2061"/>
        <item x="643"/>
        <item x="1756"/>
        <item x="2564"/>
        <item x="1467"/>
        <item x="1062"/>
        <item x="1300"/>
        <item x="2118"/>
        <item x="2617"/>
        <item x="1197"/>
        <item x="885"/>
        <item x="2648"/>
        <item x="364"/>
        <item x="2351"/>
        <item x="2030"/>
        <item x="1354"/>
        <item x="2433"/>
        <item x="2574"/>
        <item x="931"/>
        <item x="243"/>
        <item x="420"/>
        <item x="2027"/>
        <item x="724"/>
        <item x="1752"/>
        <item x="1495"/>
        <item x="255"/>
        <item x="1621"/>
        <item x="1310"/>
        <item x="454"/>
        <item x="2051"/>
        <item x="1239"/>
        <item x="622"/>
        <item x="2406"/>
        <item x="479"/>
        <item x="431"/>
        <item x="390"/>
        <item x="59"/>
        <item x="2307"/>
        <item x="587"/>
        <item x="438"/>
        <item x="1352"/>
        <item x="9"/>
        <item x="274"/>
        <item x="1308"/>
        <item x="2469"/>
        <item x="774"/>
        <item x="732"/>
        <item x="2022"/>
        <item x="1295"/>
        <item x="2131"/>
        <item x="729"/>
        <item x="2103"/>
        <item x="303"/>
        <item x="2563"/>
        <item x="205"/>
        <item x="2159"/>
        <item x="1939"/>
        <item x="247"/>
        <item x="381"/>
        <item x="2518"/>
        <item x="1200"/>
        <item x="961"/>
        <item x="783"/>
        <item x="229"/>
        <item x="1100"/>
        <item x="2025"/>
        <item x="284"/>
        <item x="467"/>
        <item x="1171"/>
        <item x="1223"/>
        <item x="1025"/>
        <item x="1793"/>
        <item x="888"/>
        <item x="837"/>
        <item x="1298"/>
        <item x="707"/>
        <item x="948"/>
        <item x="2283"/>
        <item x="2529"/>
        <item x="213"/>
        <item x="1005"/>
        <item x="1053"/>
        <item x="626"/>
        <item x="1465"/>
        <item x="128"/>
        <item x="538"/>
        <item x="306"/>
        <item x="31"/>
        <item x="998"/>
        <item x="492"/>
        <item x="1899"/>
        <item x="269"/>
        <item x="2055"/>
        <item x="1321"/>
        <item x="374"/>
        <item x="2109"/>
        <item x="1787"/>
        <item x="2355"/>
        <item x="952"/>
        <item x="188"/>
        <item x="40"/>
        <item x="852"/>
        <item x="403"/>
        <item x="417"/>
        <item x="1207"/>
        <item x="738"/>
        <item x="218"/>
        <item x="2530"/>
        <item x="1288"/>
        <item x="298"/>
        <item x="968"/>
        <item x="720"/>
        <item x="2441"/>
        <item x="524"/>
        <item x="850"/>
        <item x="741"/>
        <item x="280"/>
        <item x="2350"/>
        <item x="2408"/>
        <item x="267"/>
        <item x="1105"/>
        <item x="2158"/>
        <item x="517"/>
        <item x="2632"/>
        <item x="106"/>
        <item x="1302"/>
        <item x="1955"/>
        <item x="57"/>
        <item x="2560"/>
        <item x="1785"/>
        <item x="164"/>
        <item x="987"/>
        <item x="2303"/>
        <item x="1039"/>
        <item x="2021"/>
        <item x="649"/>
        <item x="2044"/>
        <item x="1163"/>
        <item x="473"/>
        <item x="2455"/>
        <item x="323"/>
        <item x="858"/>
        <item x="376"/>
        <item x="818"/>
        <item x="1198"/>
        <item x="1063"/>
        <item x="1280"/>
        <item x="704"/>
        <item x="1233"/>
        <item x="1620"/>
        <item x="1619"/>
        <item x="1897"/>
        <item x="1303"/>
        <item x="1152"/>
        <item x="883"/>
        <item x="1134"/>
        <item x="865"/>
        <item x="651"/>
        <item x="1947"/>
        <item x="570"/>
        <item x="426"/>
        <item x="2108"/>
        <item x="969"/>
        <item x="2342"/>
        <item x="844"/>
        <item x="1564"/>
        <item x="2053"/>
        <item x="82"/>
        <item x="574"/>
        <item x="855"/>
        <item x="252"/>
        <item x="395"/>
        <item x="2308"/>
        <item x="1566"/>
        <item x="2353"/>
        <item x="994"/>
        <item x="2661"/>
        <item x="56"/>
        <item x="399"/>
        <item x="532"/>
        <item x="114"/>
        <item x="543"/>
        <item x="1887"/>
        <item x="4"/>
        <item x="2035"/>
        <item x="2633"/>
        <item x="711"/>
        <item x="385"/>
        <item x="1322"/>
        <item x="481"/>
        <item x="413"/>
        <item x="379"/>
        <item x="547"/>
        <item x="1357"/>
        <item x="159"/>
        <item x="810"/>
        <item x="997"/>
        <item x="619"/>
        <item x="860"/>
        <item x="544"/>
        <item x="590"/>
        <item x="957"/>
        <item x="1629"/>
        <item x="1468"/>
        <item x="75"/>
        <item x="1313"/>
        <item x="293"/>
        <item x="1762"/>
        <item x="1682"/>
        <item x="1956"/>
        <item x="1346"/>
        <item x="2151"/>
        <item x="1580"/>
        <item x="669"/>
        <item x="113"/>
        <item x="2029"/>
        <item x="1151"/>
        <item x="1157"/>
        <item x="1248"/>
        <item x="1056"/>
        <item x="1226"/>
        <item x="1450"/>
        <item x="1448"/>
        <item x="1364"/>
        <item x="138"/>
        <item x="33"/>
        <item x="573"/>
        <item x="2230"/>
        <item x="1243"/>
        <item x="1311"/>
        <item x="1206"/>
        <item x="2601"/>
        <item x="268"/>
        <item x="1632"/>
        <item x="132"/>
        <item x="588"/>
        <item x="26"/>
        <item x="2409"/>
        <item x="165"/>
        <item x="696"/>
        <item x="2761"/>
        <item x="446"/>
        <item x="1006"/>
        <item x="63"/>
        <item x="1128"/>
        <item x="519"/>
        <item x="842"/>
        <item x="525"/>
        <item x="94"/>
        <item x="1935"/>
        <item x="1064"/>
        <item x="428"/>
        <item x="1460"/>
        <item x="1569"/>
        <item x="294"/>
        <item x="2599"/>
        <item x="1010"/>
        <item x="1099"/>
        <item x="1155"/>
        <item x="1936"/>
        <item x="1952"/>
        <item x="715"/>
        <item x="2338"/>
        <item x="878"/>
        <item x="1642"/>
        <item x="7"/>
        <item x="175"/>
        <item x="628"/>
        <item x="1219"/>
        <item x="1636"/>
        <item x="1232"/>
        <item x="1154"/>
        <item x="976"/>
        <item x="871"/>
        <item x="1712"/>
        <item x="491"/>
        <item x="1755"/>
        <item x="1514"/>
        <item x="1018"/>
        <item x="318"/>
        <item x="1350"/>
        <item x="1892"/>
        <item x="71"/>
        <item x="2012"/>
        <item x="828"/>
        <item x="1753"/>
        <item x="1634"/>
        <item x="1174"/>
        <item x="296"/>
        <item x="874"/>
        <item x="108"/>
        <item x="1211"/>
        <item x="1630"/>
        <item x="2573"/>
        <item x="1060"/>
        <item x="563"/>
        <item x="451"/>
        <item x="2613"/>
        <item x="1576"/>
        <item x="2258"/>
        <item x="1356"/>
        <item x="559"/>
        <item x="1244"/>
        <item x="1638"/>
        <item x="47"/>
        <item x="2358"/>
        <item x="656"/>
        <item x="1035"/>
        <item x="1627"/>
        <item x="884"/>
        <item x="1361"/>
        <item x="2105"/>
        <item x="553"/>
        <item x="1589"/>
        <item x="365"/>
        <item x="1158"/>
        <item x="1449"/>
        <item x="558"/>
        <item x="700"/>
        <item x="65"/>
        <item x="220"/>
        <item x="1624"/>
        <item x="549"/>
        <item x="705"/>
        <item x="170"/>
        <item x="661"/>
        <item x="993"/>
        <item x="153"/>
        <item x="1156"/>
        <item x="1214"/>
        <item x="2018"/>
        <item x="835"/>
        <item x="458"/>
        <item x="1075"/>
        <item x="710"/>
        <item x="197"/>
        <item x="1761"/>
        <item x="77"/>
        <item x="522"/>
        <item x="539"/>
        <item x="1029"/>
        <item x="1786"/>
        <item x="286"/>
        <item x="98"/>
        <item x="582"/>
        <item x="1318"/>
        <item x="78"/>
        <item x="577"/>
        <item x="698"/>
        <item x="158"/>
        <item x="463"/>
        <item x="471"/>
        <item x="265"/>
        <item x="456"/>
        <item x="222"/>
        <item x="110"/>
        <item x="1049"/>
        <item x="2379"/>
        <item x="314"/>
        <item x="647"/>
        <item x="335"/>
        <item x="1741"/>
        <item x="829"/>
        <item x="389"/>
        <item x="261"/>
        <item x="264"/>
        <item x="1161"/>
        <item x="232"/>
        <item x="578"/>
        <item x="1436"/>
        <item x="1637"/>
        <item x="697"/>
        <item x="115"/>
        <item x="44"/>
        <item x="551"/>
        <item x="848"/>
        <item x="1567"/>
        <item x="291"/>
        <item x="977"/>
        <item x="185"/>
        <item x="2598"/>
        <item x="79"/>
        <item x="571"/>
        <item x="36"/>
        <item x="1571"/>
        <item x="248"/>
        <item x="1713"/>
        <item x="1366"/>
        <item x="1814"/>
        <item x="337"/>
        <item x="38"/>
        <item x="88"/>
        <item x="289"/>
        <item x="1271"/>
        <item x="864"/>
        <item x="621"/>
        <item x="1235"/>
        <item x="523"/>
        <item x="728"/>
        <item x="217"/>
        <item x="1898"/>
        <item x="2337"/>
        <item x="448"/>
        <item x="382"/>
        <item x="1316"/>
        <item x="630"/>
        <item x="1225"/>
        <item x="1735"/>
        <item x="155"/>
        <item x="457"/>
        <item x="236"/>
        <item x="242"/>
        <item x="1150"/>
        <item x="1891"/>
        <item x="1143"/>
        <item x="2056"/>
        <item x="1042"/>
        <item x="1367"/>
        <item x="695"/>
        <item x="694"/>
        <item x="2023"/>
        <item x="1942"/>
        <item x="1012"/>
        <item x="1937"/>
        <item x="1565"/>
        <item x="1358"/>
        <item x="2156"/>
        <item x="1159"/>
        <item x="2206"/>
        <item x="384"/>
        <item x="1249"/>
        <item x="2600"/>
        <item x="866"/>
        <item x="2132"/>
        <item x="226"/>
        <item x="281"/>
        <item x="227"/>
        <item x="2482"/>
        <item x="1027"/>
        <item x="1019"/>
        <item x="143"/>
        <item x="625"/>
        <item x="1498"/>
        <item x="568"/>
        <item x="459"/>
        <item x="251"/>
        <item x="1462"/>
        <item x="372"/>
        <item x="1166"/>
        <item x="460"/>
        <item x="37"/>
        <item x="1301"/>
        <item x="2153"/>
        <item x="819"/>
        <item x="68"/>
        <item x="550"/>
        <item x="2381"/>
        <item x="455"/>
        <item x="548"/>
        <item x="1754"/>
        <item x="377"/>
        <item x="1145"/>
        <item x="655"/>
        <item x="1137"/>
        <item x="215"/>
        <item x="556"/>
        <item x="200"/>
        <item x="2155"/>
        <item x="1306"/>
        <item x="223"/>
        <item x="150"/>
        <item x="149"/>
        <item x="95"/>
        <item x="988"/>
        <item x="668"/>
        <item x="664"/>
        <item x="557"/>
        <item x="244"/>
        <item x="1138"/>
        <item x="1238"/>
        <item x="1141"/>
        <item x="1959"/>
        <item x="1317"/>
        <item x="1023"/>
        <item x="2260"/>
        <item x="1575"/>
        <item x="216"/>
        <item x="1625"/>
        <item x="369"/>
        <item x="1343"/>
        <item x="762"/>
        <item x="2059"/>
        <item x="854"/>
        <item x="1371"/>
        <item x="253"/>
        <item x="1045"/>
        <item x="177"/>
        <item x="982"/>
        <item x="1250"/>
        <item x="93"/>
        <item x="330"/>
        <item x="545"/>
        <item x="979"/>
        <item x="176"/>
        <item x="1944"/>
        <item x="324"/>
        <item x="554"/>
        <item x="1577"/>
        <item x="814"/>
        <item x="1943"/>
        <item x="275"/>
        <item x="727"/>
        <item x="142"/>
        <item x="147"/>
        <item x="90"/>
        <item x="81"/>
        <item x="1247"/>
        <item x="317"/>
        <item x="542"/>
        <item x="652"/>
        <item x="198"/>
        <item x="91"/>
        <item x="1299"/>
        <item x="1021"/>
        <item x="2636"/>
        <item x="1345"/>
        <item x="648"/>
        <item x="2604"/>
        <item x="1022"/>
        <item x="41"/>
        <item x="1240"/>
        <item x="646"/>
        <item x="2610"/>
        <item x="642"/>
        <item x="194"/>
        <item x="441"/>
        <item x="662"/>
        <item x="105"/>
        <item x="27"/>
        <item x="822"/>
        <item x="321"/>
        <item x="1237"/>
        <item x="1044"/>
        <item x="34"/>
        <item x="654"/>
        <item x="1224"/>
        <item x="583"/>
        <item x="28"/>
        <item x="1160"/>
        <item x="266"/>
        <item x="29"/>
        <item x="560"/>
        <item x="645"/>
        <item x="1040"/>
        <item x="1149"/>
        <item x="624"/>
        <item x="1032"/>
        <item x="663"/>
        <item x="190"/>
        <item x="552"/>
        <item x="633"/>
        <item x="826"/>
        <item x="168"/>
        <item x="25"/>
        <item x="2535"/>
        <item x="250"/>
        <item x="575"/>
        <item x="580"/>
        <item x="160"/>
        <item x="1015"/>
        <item x="586"/>
        <item x="97"/>
        <item x="39"/>
        <item x="867"/>
        <item x="1951"/>
        <item x="20"/>
        <item x="1347"/>
        <item x="319"/>
        <item x="320"/>
        <item x="1365"/>
        <item x="1363"/>
        <item x="820"/>
        <item x="326"/>
        <item x="237"/>
        <item x="201"/>
        <item x="161"/>
        <item x="32"/>
        <item x="187"/>
        <item x="87"/>
        <item x="584"/>
        <item x="258"/>
        <item x="315"/>
        <item x="555"/>
        <item x="1001"/>
        <item x="288"/>
        <item x="328"/>
        <item x="49"/>
        <item x="1000"/>
        <item x="1236"/>
        <item x="832"/>
        <item x="239"/>
        <item x="1047"/>
        <item x="1016"/>
        <item x="163"/>
        <item x="1004"/>
        <item x="92"/>
        <item x="241"/>
        <item x="1538"/>
        <item x="465"/>
        <item x="195"/>
        <item x="270"/>
        <item x="199"/>
        <item x="1139"/>
        <item x="653"/>
        <item x="233"/>
        <item x="1641"/>
        <item x="189"/>
        <item x="193"/>
        <item x="262"/>
        <item x="209"/>
        <item x="184"/>
        <item x="86"/>
        <item x="1009"/>
        <item x="2203"/>
        <item x="688"/>
        <item x="192"/>
        <item x="85"/>
        <item x="1123"/>
        <item x="1033"/>
        <item x="2385"/>
        <item x="414"/>
        <item x="35"/>
        <item x="172"/>
        <item x="657"/>
        <item x="104"/>
        <item x="1961"/>
        <item x="489"/>
        <item x="162"/>
        <item x="80"/>
        <item x="316"/>
        <item x="827"/>
        <item x="2582"/>
        <item x="173"/>
        <item x="130"/>
        <item x="1536"/>
        <item x="89"/>
        <item x="2082"/>
        <item x="2458"/>
        <item x="42"/>
        <item x="1173"/>
        <item x="196"/>
        <item x="1809"/>
        <item x="30"/>
        <item x="186"/>
        <item x="1119"/>
        <item x="43"/>
        <item x="1960"/>
        <item x="103"/>
        <item x="1048"/>
        <item x="52"/>
        <item x="733"/>
        <item x="589"/>
        <item x="2763"/>
        <item t="default"/>
      </items>
    </pivotField>
  </pivotFields>
  <rowItems count="1">
    <i/>
  </rowItems>
  <colItems count="1">
    <i/>
  </colItems>
  <dataFields count="1">
    <dataField name="Count of Sales"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A1:A6" firstHeaderRow="1" firstDataRow="1" firstDataCol="1"/>
  <pivotFields count="1">
    <pivotField axis="axisRow" showAll="0">
      <items count="5">
        <item x="2"/>
        <item x="1"/>
        <item x="3"/>
        <item x="0"/>
        <item t="default"/>
      </items>
    </pivotField>
  </pivotFields>
  <rowFields count="1">
    <field x="0"/>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3"/>
  </pivotTables>
  <data>
    <tabular pivotCacheId="2">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fit" sourceName="Profit">
  <pivotTables>
    <pivotTable tabId="7" name="PivotTable8"/>
  </pivotTables>
  <data>
    <tabular pivotCacheId="3">
      <items count="2764">
        <i x="2211"/>
        <i x="1270"/>
        <i x="2009"/>
        <i x="1529"/>
        <i x="1789"/>
        <i x="2172" s="1"/>
        <i x="2010"/>
        <i x="1526"/>
        <i x="1531"/>
        <i x="1535"/>
        <i x="1518"/>
        <i x="1765"/>
        <i x="1690"/>
        <i x="712"/>
        <i x="22"/>
        <i x="1524"/>
        <i x="1771"/>
        <i x="740"/>
        <i x="1704"/>
        <i x="2313"/>
        <i x="1611"/>
        <i x="1537"/>
        <i x="1481"/>
        <i x="1699"/>
        <i x="1612"/>
        <i x="1694"/>
        <i x="1607"/>
        <i x="2716"/>
        <i x="893"/>
        <i x="1692"/>
        <i x="1774"/>
        <i x="1996"/>
        <i x="1697"/>
        <i x="1599"/>
        <i x="1770"/>
        <i x="2210"/>
        <i x="1763"/>
        <i x="768"/>
        <i x="2729"/>
        <i x="2003"/>
        <i x="1995"/>
        <i x="2368"/>
        <i x="636"/>
        <i x="1528"/>
        <i x="1522"/>
        <i x="1489"/>
        <i x="806"/>
        <i x="2173"/>
        <i x="840"/>
        <i x="1593"/>
        <i x="1521"/>
        <i x="1598"/>
        <i x="1992"/>
        <i x="2175"/>
        <i x="1702"/>
        <i x="2362"/>
        <i x="2165"/>
        <i x="2170"/>
        <i x="2222"/>
        <i x="1835"/>
        <i x="1181"/>
        <i x="1510"/>
        <i x="1766"/>
        <i x="1715"/>
        <i x="1700"/>
        <i x="1420"/>
        <i x="2505"/>
        <i x="312"/>
        <i x="2004"/>
        <i x="2188"/>
        <i x="1442"/>
        <i x="510"/>
        <i x="1530"/>
        <i x="2177"/>
        <i x="2163"/>
        <i x="1596"/>
        <i x="2315"/>
        <i x="1333"/>
        <i x="2738"/>
        <i x="1485"/>
        <i x="2418"/>
        <i x="2460"/>
        <i x="1597"/>
        <i x="1782"/>
        <i x="812"/>
        <i x="939"/>
        <i x="1695"/>
        <i x="1532"/>
        <i x="1903"/>
        <i x="1601"/>
        <i x="1994"/>
        <i x="505"/>
        <i x="434"/>
        <i x="1705"/>
        <i x="813"/>
        <i x="2160"/>
        <i x="1976"/>
        <i x="1999"/>
        <i x="1525"/>
        <i x="742"/>
        <i x="2750"/>
        <i x="2236"/>
        <i x="1520"/>
        <i x="2726"/>
        <i x="124"/>
        <i x="1846"/>
        <i x="1777"/>
        <i x="2184"/>
        <i x="1764"/>
        <i x="1296"/>
        <i x="1693"/>
        <i x="2722"/>
        <i x="1540"/>
        <i x="2456"/>
        <i x="1419"/>
        <i x="1849"/>
        <i x="913"/>
        <i x="1709"/>
        <i x="1474"/>
        <i x="1527"/>
        <i x="2250"/>
        <i x="1781"/>
        <i x="709"/>
        <i x="917"/>
        <i x="513"/>
        <i x="2164"/>
        <i x="902"/>
        <i x="2196"/>
        <i x="2312"/>
        <i x="1698"/>
        <i x="1401"/>
        <i x="1885"/>
        <i x="1327"/>
        <i x="1337"/>
        <i x="2323"/>
        <i x="596"/>
        <i x="1848"/>
        <i x="836"/>
        <i x="1403"/>
        <i x="1222"/>
        <i x="1413"/>
        <i x="1768"/>
        <i x="802"/>
        <i x="1328"/>
        <i x="518"/>
        <i x="1472"/>
        <i x="1997"/>
        <i x="1411"/>
        <i x="863"/>
        <i x="1430"/>
        <i x="516"/>
        <i x="2268"/>
        <i x="679"/>
        <i x="2162"/>
        <i x="1373"/>
        <i x="2207"/>
        <i x="74"/>
        <i x="2251"/>
        <i x="689"/>
        <i x="1696"/>
        <i x="1710"/>
        <i x="1651"/>
        <i x="600"/>
        <i x="2002"/>
        <i x="342"/>
        <i x="508"/>
        <i x="1329"/>
        <i x="1659"/>
        <i x="2715"/>
        <i x="1688"/>
        <i x="1988"/>
        <i x="1482"/>
        <i x="2311"/>
        <i x="1727"/>
        <i x="1185"/>
        <i x="1432"/>
        <i x="1179"/>
        <i x="1850"/>
        <i x="566"/>
        <i x="2397"/>
        <i x="2737"/>
        <i x="2425"/>
        <i x="1776"/>
        <i x="1513"/>
        <i x="2001"/>
        <i x="1780"/>
        <i x="2161"/>
        <i x="2193"/>
        <i x="1784"/>
        <i x="906"/>
        <i x="1517"/>
        <i x="2383"/>
        <i x="2218"/>
        <i x="2033"/>
        <i x="2724"/>
        <i x="2740"/>
        <i x="2276"/>
        <i x="503"/>
        <i x="680"/>
        <i x="897"/>
        <i x="1740"/>
        <i x="1778"/>
        <i x="1523"/>
        <i x="1993"/>
        <i x="892"/>
        <i x="1707"/>
        <i x="2318"/>
        <i x="541"/>
        <i x="1868"/>
        <i x="21"/>
        <i x="1475"/>
        <i x="1194"/>
        <i x="1427"/>
        <i x="1862"/>
        <i x="2721"/>
        <i x="1490"/>
        <i x="641"/>
        <i x="282"/>
        <i x="1721"/>
        <i x="2751"/>
        <i x="1545"/>
        <i x="1772"/>
        <i x="996"/>
        <i x="754"/>
        <i x="1739"/>
        <i x="790"/>
        <i x="2282"/>
        <i x="350"/>
        <i x="2731"/>
        <i x="2400"/>
        <i x="2419"/>
        <i x="1691"/>
        <i x="794"/>
        <i x="772"/>
        <i x="2074"/>
        <i x="675"/>
        <i x="1731"/>
        <i x="673"/>
        <i x="898"/>
        <i x="506"/>
        <i x="757"/>
        <i x="1340"/>
        <i x="504"/>
        <i x="900"/>
        <i x="1396"/>
        <i x="1842"/>
        <i x="1929"/>
        <i x="1706"/>
        <i x="2180"/>
        <i x="1915"/>
        <i x="487"/>
        <i x="2167"/>
        <i x="383"/>
        <i x="2174"/>
        <i x="1723"/>
        <i x="1088"/>
        <i x="1991"/>
        <i x="1998"/>
        <i x="1043"/>
        <i x="2205"/>
        <i x="1077"/>
        <i x="1773"/>
        <i x="1831"/>
        <i x="2688"/>
        <i x="1818"/>
        <i x="2091"/>
        <i x="1670"/>
        <i x="2166"/>
        <i x="2176"/>
        <i x="807"/>
        <i x="932"/>
        <i x="1767"/>
        <i x="1349"/>
        <i x="507"/>
        <i x="1480"/>
        <i x="1441"/>
        <i x="911"/>
        <i x="2186"/>
        <i x="1595"/>
        <i x="2081"/>
        <i x="2309"/>
        <i x="1335"/>
        <i x="787"/>
        <i x="682"/>
        <i x="1384"/>
        <i x="1783"/>
        <i x="2238"/>
        <i x="1877"/>
        <i x="1769"/>
        <i x="1256"/>
        <i x="1483"/>
        <i x="1703"/>
        <i x="2235"/>
        <i x="2284"/>
        <i x="1853"/>
        <i x="967"/>
        <i x="514"/>
        <i x="1795"/>
        <i x="1760"/>
        <i x="797"/>
        <i x="671"/>
        <i x="1728"/>
        <i x="565"/>
        <i x="2325"/>
        <i x="2194"/>
        <i x="2382"/>
        <i x="2735"/>
        <i x="597"/>
        <i x="361"/>
        <i x="345"/>
        <i x="1369"/>
        <i x="2239"/>
        <i x="1861"/>
        <i x="1421"/>
        <i x="2265"/>
        <i x="1186"/>
        <i x="1672"/>
        <i x="1294"/>
        <i x="678"/>
        <i x="1646"/>
        <i x="1719"/>
        <i x="1389"/>
        <i x="1779"/>
        <i x="2443"/>
        <i x="1990"/>
        <i x="2052"/>
        <i x="1195"/>
        <i x="2063"/>
        <i x="992"/>
        <i x="2707"/>
        <i x="1188"/>
        <i x="920"/>
        <i x="2075"/>
        <i x="2185"/>
        <i x="752"/>
        <i x="2609"/>
        <i x="1320"/>
        <i x="2719"/>
        <i x="1096"/>
        <i x="1720"/>
        <i x="2718"/>
        <i x="1876"/>
        <i x="1386"/>
        <i x="756"/>
        <i x="1387"/>
        <i x="1341"/>
        <i x="2216"/>
        <i x="1404"/>
        <i x="2073"/>
        <i x="1275"/>
        <i x="355"/>
        <i x="862"/>
        <i x="1385"/>
        <i x="1989"/>
        <i x="1603"/>
        <i x="2753"/>
        <i x="766"/>
        <i x="2169"/>
        <i x="801"/>
        <i x="2752"/>
        <i x="1924"/>
        <i x="2000"/>
        <i x="2240"/>
        <i x="765"/>
        <i x="2208"/>
        <i x="1519"/>
        <i x="2197"/>
        <i x="1080"/>
        <i x="2361"/>
        <i x="1775"/>
        <i x="1838"/>
        <i x="2199"/>
        <i x="1586"/>
        <i x="2213"/>
        <i x="2322"/>
        <i x="1395"/>
        <i x="1863"/>
        <i x="2069"/>
        <i x="2007"/>
        <i x="1470"/>
        <i x="2321"/>
        <i x="2743"/>
        <i x="1412"/>
        <i x="2202"/>
        <i x="683"/>
        <i x="1592"/>
        <i x="2168"/>
        <i x="755"/>
        <i x="1422"/>
        <i x="1606"/>
        <i x="156"/>
        <i x="1874"/>
        <i x="2171"/>
        <i x="2625"/>
        <i x="1176"/>
        <i x="500"/>
        <i x="1872"/>
        <i x="497"/>
        <i x="638"/>
        <i x="2620"/>
        <i x="2669"/>
        <i x="387"/>
        <i x="2477"/>
        <i x="2198"/>
        <i x="1920"/>
        <i x="1958"/>
        <i x="1488"/>
        <i x="343"/>
        <i x="2316"/>
        <i x="1602"/>
        <i x="2326"/>
        <i x="1169"/>
        <i x="1701"/>
        <i x="808"/>
        <i x="803"/>
        <i x="1076"/>
        <i x="2626"/>
        <i x="2365"/>
        <i x="2278"/>
        <i x="973"/>
        <i x="1839"/>
        <i x="1645"/>
        <i x="1799"/>
        <i x="1714"/>
        <i x="1285"/>
        <i x="2272"/>
        <i x="509"/>
        <i x="2332"/>
        <i x="759"/>
        <i x="341"/>
        <i x="950"/>
        <i x="895"/>
        <i x="1539"/>
        <i x="2746"/>
        <i x="2220"/>
        <i x="2072"/>
        <i x="311"/>
        <i x="2041"/>
        <i x="904"/>
        <i x="102"/>
        <i x="1851"/>
        <i x="2730"/>
        <i x="2417"/>
        <i x="775"/>
        <i x="2183"/>
        <i x="1615"/>
        <i x="1476"/>
        <i x="2627"/>
        <i x="608"/>
        <i x="1276"/>
        <i x="685"/>
        <i x="1332"/>
        <i x="2725"/>
        <i x="1927"/>
        <i x="1613"/>
        <i x="2744"/>
        <i x="1549"/>
        <i x="1550"/>
        <i x="1912"/>
        <i x="1965"/>
        <i x="793"/>
        <i x="1061"/>
        <i x="1423"/>
        <i x="2137"/>
        <i x="1757"/>
        <i x="753"/>
        <i x="2414"/>
        <i x="2320"/>
        <i x="2439"/>
        <i x="1215"/>
        <i x="1424"/>
        <i x="2586"/>
        <i x="811"/>
        <i x="1736"/>
        <i x="2261"/>
        <i x="2319"/>
        <i x="910"/>
        <i x="2717"/>
        <i x="1125"/>
        <i x="2727"/>
        <i x="922"/>
        <i x="674"/>
        <i x="1199"/>
        <i x="912"/>
        <i x="2498"/>
        <i x="2147"/>
        <i x="1732"/>
        <i x="203"/>
        <i x="903"/>
        <i x="1902"/>
        <i x="1811"/>
        <i x="2487"/>
        <i x="1837"/>
        <i x="2360"/>
        <i x="2317"/>
        <i x="1865"/>
        <i x="1917"/>
        <i x="2635"/>
        <i x="1251"/>
        <i x="1378"/>
        <i x="942"/>
        <i x="2534"/>
        <i x="1858"/>
        <i x="2255"/>
        <i x="1344"/>
        <i x="2413"/>
        <i x="1277"/>
        <i x="2150"/>
        <i x="1547"/>
        <i x="2334"/>
        <i x="2754"/>
        <i x="2376"/>
        <i x="603"/>
        <i x="2517"/>
        <i x="2195"/>
        <i x="2434"/>
        <i x="1869"/>
        <i x="1324"/>
        <i x="346"/>
        <i x="2652"/>
        <i x="2013"/>
        <i x="1417"/>
        <i x="2421"/>
        <i x="799"/>
        <i x="1408"/>
        <i x="2277"/>
        <i x="1819"/>
        <i x="1428"/>
        <i x="2427"/>
        <i x="402"/>
        <i x="424"/>
        <i x="183"/>
        <i x="2058"/>
        <i x="125"/>
        <i x="2130"/>
        <i x="2393"/>
        <i x="1963"/>
        <i x="2370"/>
        <i x="1967"/>
        <i x="1331"/>
        <i x="2034"/>
        <i x="1918"/>
        <i x="970"/>
        <i x="2333"/>
        <i x="1972"/>
        <i x="800"/>
        <i x="938"/>
        <i x="1415"/>
        <i x="1815"/>
        <i x="1867"/>
        <i x="2224"/>
        <i x="1905"/>
        <i x="2093"/>
        <i x="2449"/>
        <i x="804"/>
        <i x="2569"/>
        <i x="2090"/>
        <i x="1802"/>
        <i x="2089"/>
        <i x="1511"/>
        <i x="2745"/>
        <i x="1382"/>
        <i x="1925"/>
        <i x="894"/>
        <i x="1052"/>
        <i x="1375"/>
        <i x="2612"/>
        <i x="1970"/>
        <i x="908"/>
        <i x="1982"/>
        <i x="1440"/>
        <i x="1193"/>
        <i x="1866"/>
        <i x="2556"/>
        <i x="936"/>
        <i x="944"/>
        <i x="2327"/>
        <i x="2095"/>
        <i x="1487"/>
        <i x="841"/>
        <i x="2712"/>
        <i x="423"/>
        <i x="2462"/>
        <i x="2537"/>
        <i x="340"/>
        <i x="1665"/>
        <i x="2324"/>
        <i x="2377"/>
        <i x="2623"/>
        <i x="2214"/>
        <i x="791"/>
        <i x="493"/>
        <i x="2371"/>
        <i x="1840"/>
        <i x="1283"/>
        <i x="935"/>
        <i x="2732"/>
        <i x="1643"/>
        <i x="2701"/>
        <i x="2097"/>
        <i x="2088"/>
        <i x="780"/>
        <i x="1653"/>
        <i x="2192"/>
        <i x="1829"/>
        <i x="1393"/>
        <i x="2742"/>
        <i x="1807"/>
        <i x="770"/>
        <i x="2755"/>
        <i x="1334"/>
        <i x="435"/>
        <i x="1380"/>
        <i x="2475"/>
        <i x="761"/>
        <i x="1585"/>
        <i x="2364"/>
        <i x="798"/>
        <i x="1758"/>
        <i x="1788"/>
        <i x="2263"/>
        <i x="1348"/>
        <i x="1557"/>
        <i x="2227"/>
        <i x="613"/>
        <i x="2461"/>
        <i x="2566"/>
        <i x="2424"/>
        <i x="2747"/>
        <i x="2629"/>
        <i x="496"/>
        <i x="1824"/>
        <i x="2762"/>
        <i x="1410"/>
        <i x="2246"/>
        <i x="1072"/>
        <i x="2411"/>
        <i x="1900"/>
        <i x="499"/>
        <i x="2087"/>
        <i x="388"/>
        <i x="764"/>
        <i x="1381"/>
        <i x="1604"/>
        <i x="367"/>
        <i x="392"/>
        <i x="594"/>
        <i x="760"/>
        <i x="2245"/>
        <i x="2006"/>
        <i x="1671"/>
        <i x="2723"/>
        <i x="2473"/>
        <i x="2226"/>
        <i x="751"/>
        <i x="1823"/>
        <i x="1433"/>
        <i x="1667"/>
        <i x="1054"/>
        <i x="2514"/>
        <i x="1458"/>
        <i x="1074"/>
        <i x="702"/>
        <i x="795"/>
        <i x="1852"/>
        <i x="1733"/>
        <i x="1890"/>
        <i x="2286"/>
        <i x="8"/>
        <i x="1647"/>
        <i x="1968"/>
        <i x="1093"/>
        <i x="2493"/>
        <i x="1189"/>
        <i x="2243"/>
        <i x="1605"/>
        <i x="2127"/>
        <i x="1684"/>
        <i x="1190"/>
        <i x="1738"/>
        <i x="474"/>
        <i x="2741"/>
        <i x="1314"/>
        <i x="2558"/>
        <i x="1546"/>
        <i x="2734"/>
        <i x="2248"/>
        <i x="758"/>
        <i x="1658"/>
        <i x="1330"/>
        <i x="667"/>
        <i x="2304"/>
        <i x="816"/>
        <i x="1267"/>
        <i x="2650"/>
        <i x="746"/>
        <i x="2667"/>
        <i x="1844"/>
        <i x="2190"/>
        <i x="915"/>
        <i x="2062"/>
        <i x="723"/>
        <i x="2689"/>
        <i x="809"/>
        <i x="1501"/>
        <i x="380"/>
        <i x="1342"/>
        <i x="1486"/>
        <i x="919"/>
        <i x="2391"/>
        <i x="1730"/>
        <i x="1184"/>
        <i x="1609"/>
        <i x="2451"/>
        <i x="76"/>
        <i x="779"/>
        <i x="2756"/>
        <i x="1070"/>
        <i x="2470"/>
        <i x="1883"/>
        <i x="964"/>
        <i x="1493"/>
        <i x="2274"/>
        <i x="781"/>
        <i x="1273"/>
        <i x="1478"/>
        <i x="2372"/>
        <i x="868"/>
        <i x="2759"/>
        <i x="2121"/>
        <i x="945"/>
        <i x="1095"/>
        <i x="1813"/>
        <i x="2700"/>
        <i x="433"/>
        <i x="2038"/>
        <i x="1453"/>
        <i x="351"/>
        <i x="297"/>
        <i x="2544"/>
        <i x="1588"/>
        <i x="684"/>
        <i x="1559"/>
        <i x="966"/>
        <i x="2209"/>
        <i x="672"/>
        <i x="1657"/>
        <i x="734"/>
        <i x="1081"/>
        <i x="1177"/>
        <i x="1172"/>
        <i x="2092"/>
        <i x="1409"/>
        <i x="1437"/>
        <i x="687"/>
        <i x="1464"/>
        <i x="2045"/>
        <i x="1666"/>
        <i x="2749"/>
        <i x="208"/>
        <i x="2266"/>
        <i x="1817"/>
        <i x="2384"/>
        <i x="691"/>
        <i x="1977"/>
        <i x="1426"/>
        <i x="2253"/>
        <i x="2380"/>
        <i x="2471"/>
        <i x="154"/>
        <i x="344"/>
        <i x="1455"/>
        <i x="2720"/>
        <i x="498"/>
        <i x="1926"/>
        <i x="2267"/>
        <i x="495"/>
        <i x="1505"/>
        <i x="1554"/>
        <i x="1610"/>
        <i x="940"/>
        <i x="2570"/>
        <i x="1429"/>
        <i x="1326"/>
        <i x="2228"/>
        <i x="2541"/>
        <i x="2201"/>
        <i x="2181"/>
        <i x="2577"/>
        <i x="1113"/>
        <i x="676"/>
        <i x="1669"/>
        <i x="2200"/>
        <i x="2229"/>
        <i x="1821"/>
        <i x="1827"/>
        <i x="11"/>
        <i x="1979"/>
        <i x="2640"/>
        <i x="2378"/>
        <i x="2187"/>
        <i x="1435"/>
        <i x="2430"/>
        <i x="1258"/>
        <i x="1896"/>
        <i x="1826"/>
        <i x="1286"/>
        <i x="2289"/>
        <i x="1742"/>
        <i x="1600"/>
        <i x="1718"/>
        <i x="1845"/>
        <i x="2217"/>
        <i x="2561"/>
        <i x="2504"/>
        <i x="805"/>
        <i x="2515"/>
        <i x="494"/>
        <i x="1374"/>
        <i x="2698"/>
        <i x="511"/>
        <i x="2129"/>
        <i x="1504"/>
        <i x="1407"/>
        <i x="2016"/>
        <i x="2548"/>
        <i x="2492"/>
        <i x="1309"/>
        <i x="1930"/>
        <i x="1746"/>
        <i x="681"/>
        <i x="2658"/>
        <i x="1406"/>
        <i x="1555"/>
        <i x="1479"/>
        <i x="2126"/>
        <i x="2597"/>
        <i x="301"/>
        <i x="2262"/>
        <i x="1923"/>
        <i x="1655"/>
        <i x="1360"/>
        <i x="477"/>
        <i x="1594"/>
        <i x="50"/>
        <i x="1066"/>
        <i x="2739"/>
        <i x="2247"/>
        <i x="1398"/>
        <i x="2204"/>
        <i x="512"/>
        <i x="665"/>
        <i x="2549"/>
        <i x="1859"/>
        <i x="1439"/>
        <i x="2256"/>
        <i x="1914"/>
        <i x="24"/>
        <i x="2117"/>
        <i x="1884"/>
        <i x="212"/>
        <i x="2686"/>
        <i x="731"/>
        <i x="1304"/>
        <i x="2374"/>
        <i x="1563"/>
        <i x="1717"/>
        <i x="1109"/>
        <i x="2219"/>
        <i x="1857"/>
        <i x="2367"/>
        <i x="2543"/>
        <i x="1797"/>
        <i x="302"/>
        <i x="501"/>
        <i x="2536"/>
        <i x="1644"/>
        <i x="2138"/>
        <i x="1098"/>
        <i x="604"/>
        <i x="235"/>
        <i x="2697"/>
        <i x="439"/>
        <i x="1127"/>
        <i x="2375"/>
        <i x="2110"/>
        <i x="1591"/>
        <i x="2143"/>
        <i x="2146"/>
        <i x="2728"/>
        <i x="2064"/>
        <i x="2310"/>
        <i x="1494"/>
        <i x="1068"/>
        <i x="1259"/>
        <i x="1312"/>
        <i x="2403"/>
        <i x="1082"/>
        <i x="2507"/>
        <i x="2699"/>
        <i x="1183"/>
        <i x="954"/>
        <i x="2645"/>
        <i x="1325"/>
        <i x="677"/>
        <i x="2314"/>
        <i x="1904"/>
        <i x="1928"/>
        <i x="299"/>
        <i x="6"/>
        <i x="1209"/>
        <i x="2538"/>
        <i x="1252"/>
        <i x="1115"/>
        <i x="2709"/>
        <i x="879"/>
        <i x="408"/>
        <i x="530"/>
        <i x="488"/>
        <i x="204"/>
        <i x="1913"/>
        <i x="2291"/>
        <i x="490"/>
        <i x="972"/>
        <i x="1649"/>
        <i x="410"/>
        <i x="2668"/>
        <i x="453"/>
        <i x="2714"/>
        <i x="1246"/>
        <i x="362"/>
        <i x="1477"/>
        <i x="2479"/>
        <i x="1660"/>
        <i x="2444"/>
        <i x="1451"/>
        <i x="2366"/>
        <i x="1208"/>
        <i x="947"/>
        <i x="1108"/>
        <i x="869"/>
        <i x="763"/>
        <i x="2429"/>
        <i x="2422"/>
        <i x="2221"/>
        <i x="2694"/>
        <i x="2663"/>
        <i x="366"/>
        <i x="1864"/>
        <i x="2665"/>
        <i x="1338"/>
        <i x="2423"/>
        <i x="2043"/>
        <i x="1055"/>
        <i x="1372"/>
        <i x="182"/>
        <i x="1443"/>
        <i x="1492"/>
        <i x="2553"/>
        <i x="2483"/>
        <i x="2733"/>
        <i x="2445"/>
        <i x="1400"/>
        <i x="331"/>
        <i x="2512"/>
        <i x="750"/>
        <i x="937"/>
        <i x="2102"/>
        <i x="2681"/>
        <i x="348"/>
        <i x="2519"/>
        <i x="16"/>
        <i x="1880"/>
        <i x="1192"/>
        <i x="1180"/>
        <i x="2435"/>
        <i x="2299"/>
        <i x="666"/>
        <i x="2032"/>
        <i x="1729"/>
        <i x="1121"/>
        <i x="533"/>
        <i x="1806"/>
        <i x="1726"/>
        <i x="876"/>
        <i x="2551"/>
        <i x="1278"/>
        <i x="462"/>
        <i x="2488"/>
        <i x="788"/>
        <i x="1484"/>
        <i x="2078"/>
        <i x="1908"/>
        <i x="2189"/>
        <i x="1683"/>
        <i x="983"/>
        <i x="1533"/>
        <i x="126"/>
        <i x="2231"/>
        <i x="1187"/>
        <i x="2302"/>
        <i x="2254"/>
        <i x="907"/>
        <i x="1664"/>
        <i x="1463"/>
        <i x="1551"/>
        <i x="1339"/>
        <i x="605"/>
        <i x="2116"/>
        <i x="1456"/>
        <i x="2436"/>
        <i x="2139"/>
        <i x="2269"/>
        <i x="2540"/>
        <i x="748"/>
        <i x="1673"/>
        <i x="2583"/>
        <i x="1461"/>
        <i x="1640"/>
        <i x="901"/>
        <i x="2703"/>
        <i x="1120"/>
        <i x="2343"/>
        <i x="2454"/>
        <i x="1090"/>
        <i x="1499"/>
        <i x="2495"/>
        <i x="776"/>
        <i x="2394"/>
        <i x="228"/>
        <i x="2655"/>
        <i x="2107"/>
        <i x="1473"/>
        <i x="1438"/>
        <i x="2713"/>
        <i x="792"/>
        <i x="1980"/>
        <i x="406"/>
        <i x="1737"/>
        <i x="2619"/>
        <i x="352"/>
        <i x="2748"/>
        <i x="401"/>
        <i x="1201"/>
        <i x="202"/>
        <i x="2591"/>
        <i x="2242"/>
        <i x="1397"/>
        <i x="121"/>
        <i x="2287"/>
        <i x="1336"/>
        <i x="386"/>
        <i x="1268"/>
        <i x="933"/>
        <i x="2428"/>
        <i x="2506"/>
        <i x="745"/>
        <i x="444"/>
        <i x="2527"/>
        <i x="2134"/>
        <i x="240"/>
        <i x="285"/>
        <i x="2466"/>
        <i x="2356"/>
        <i x="1971"/>
        <i x="1383"/>
        <i x="918"/>
        <i x="2329"/>
        <i x="2572"/>
        <i x="1745"/>
        <i x="1085"/>
        <i x="2486"/>
        <i x="991"/>
        <i x="1556"/>
        <i x="2704"/>
        <i x="2468"/>
        <i x="2125"/>
        <i x="1502"/>
        <i x="1856"/>
        <i x="1722"/>
        <i x="2592"/>
        <i x="2531"/>
        <i x="73"/>
        <i x="540"/>
        <i x="953"/>
        <i x="1744"/>
        <i x="2071"/>
        <i x="1106"/>
        <i x="2453"/>
        <i x="1751"/>
        <i x="131"/>
        <i x="1"/>
        <i x="955"/>
        <i x="2657"/>
        <i x="1097"/>
        <i x="360"/>
        <i x="1631"/>
        <i x="1227"/>
        <i x="2415"/>
        <i x="546"/>
        <i x="1434"/>
        <i x="1579"/>
        <i x="357"/>
        <i x="1749"/>
        <i x="2252"/>
        <i x="2122"/>
        <i x="1870"/>
        <i x="941"/>
        <i x="54"/>
        <i x="1875"/>
        <i x="2452"/>
        <i x="870"/>
        <i x="744"/>
        <i x="1803"/>
        <i x="2066"/>
        <i x="1986"/>
        <i x="2264"/>
        <i x="430"/>
        <i x="2223"/>
        <i x="2015"/>
        <i x="1553"/>
        <i x="951"/>
        <i x="562"/>
        <i x="1376"/>
        <i x="407"/>
        <i x="784"/>
        <i x="2611"/>
        <i x="2642"/>
        <i x="796"/>
        <i x="1648"/>
        <i x="2431"/>
        <i x="180"/>
        <i x="930"/>
        <i x="2595"/>
        <i x="2671"/>
        <i x="989"/>
        <i x="1191"/>
        <i x="2387"/>
        <i x="856"/>
        <i x="1794"/>
        <i x="1734"/>
        <i x="2114"/>
        <i x="1681"/>
        <i x="2446"/>
        <i x="2296"/>
        <i x="1264"/>
        <i x="2420"/>
        <i x="393"/>
        <i x="1084"/>
        <i x="2068"/>
        <i x="747"/>
        <i x="777"/>
        <i x="2336"/>
        <i x="1030"/>
        <i x="1444"/>
        <i x="1969"/>
        <i x="354"/>
        <i x="1984"/>
        <i x="1107"/>
        <i x="1542"/>
        <i x="2241"/>
        <i x="861"/>
        <i x="151"/>
        <i x="1196"/>
        <i x="64"/>
        <i x="2682"/>
        <i x="572"/>
        <i x="2369"/>
        <i x="2149"/>
        <i x="295"/>
        <i x="928"/>
        <i x="349"/>
        <i x="2448"/>
        <i x="2684"/>
        <i x="963"/>
        <i x="905"/>
        <i x="0"/>
        <i x="1508"/>
        <i x="2037"/>
        <i x="2152"/>
        <i x="1686"/>
        <i x="1038"/>
        <i x="1843"/>
        <i x="1315"/>
        <i x="2559"/>
        <i x="2654"/>
        <i x="2673"/>
        <i x="1879"/>
        <i x="2706"/>
        <i x="1860"/>
        <i x="1663"/>
        <i x="2412"/>
        <i x="67"/>
        <i x="2135"/>
        <i x="609"/>
        <i x="1938"/>
        <i x="2225"/>
        <i x="786"/>
        <i x="116"/>
        <i x="1431"/>
        <i x="767"/>
        <i x="1175"/>
        <i x="2547"/>
        <i x="2017"/>
        <i x="2077"/>
        <i x="2094"/>
        <i x="2690"/>
        <i x="1454"/>
        <i x="2011"/>
        <i x="949"/>
        <i x="536"/>
        <i x="2480"/>
        <i x="1425"/>
        <i x="1617"/>
        <i x="2489"/>
        <i x="2494"/>
        <i x="2346"/>
        <i x="178"/>
        <i x="1957"/>
        <i x="1948"/>
        <i x="1847"/>
        <i x="534"/>
        <i x="225"/>
        <i x="2490"/>
        <i x="1581"/>
        <i x="2621"/>
        <i x="1974"/>
        <i x="2687"/>
        <i x="234"/>
        <i x="478"/>
        <i x="2695"/>
        <i x="909"/>
        <i x="610"/>
        <i x="2672"/>
        <i x="2622"/>
        <i x="2676"/>
        <i x="1622"/>
        <i x="1558"/>
        <i x="1652"/>
        <i x="2580"/>
        <i x="914"/>
        <i x="2020"/>
        <i x="882"/>
        <i x="409"/>
        <i x="1711"/>
        <i x="2234"/>
        <i x="99"/>
        <i x="1041"/>
        <i x="119"/>
        <i x="1471"/>
        <i x="2523"/>
        <i x="1855"/>
        <i x="1087"/>
        <i x="1973"/>
        <i x="45"/>
        <i x="1985"/>
        <i x="962"/>
        <i x="62"/>
        <i x="1118"/>
        <i x="378"/>
        <i x="2467"/>
        <i x="2634"/>
        <i x="1810"/>
        <i x="2550"/>
        <i x="1292"/>
        <i x="1221"/>
        <i x="1871"/>
        <i x="61"/>
        <i x="2463"/>
        <i x="2662"/>
        <i x="2457"/>
        <i x="839"/>
        <i x="1112"/>
        <i x="1882"/>
        <i x="238"/>
        <i x="2275"/>
        <i x="601"/>
        <i x="334"/>
        <i x="1091"/>
        <i x="2249"/>
        <i x="824"/>
        <i x="690"/>
        <i x="123"/>
        <i x="1747"/>
        <i x="502"/>
        <i x="1801"/>
        <i x="452"/>
        <i x="2347"/>
        <i x="2270"/>
        <i x="1933"/>
        <i x="815"/>
        <i x="974"/>
        <i x="363"/>
        <i x="1791"/>
        <i x="2115"/>
        <i x="739"/>
        <i x="1394"/>
        <i x="2510"/>
        <i x="1057"/>
        <i x="2024"/>
        <i x="1377"/>
        <i x="769"/>
        <i x="520"/>
        <i x="2401"/>
        <i x="1854"/>
        <i x="1916"/>
        <i x="1253"/>
        <i x="2357"/>
        <i x="743"/>
        <i x="2552"/>
        <i x="2390"/>
        <i x="1654"/>
        <i x="1103"/>
        <i x="1079"/>
        <i x="2106"/>
        <i x="305"/>
        <i x="2533"/>
        <i x="2464"/>
        <i x="332"/>
        <i x="2526"/>
        <i x="475"/>
        <i x="1820"/>
        <i x="592"/>
        <i x="2295"/>
        <i x="322"/>
        <i x="2341"/>
        <i x="782"/>
        <i x="1182"/>
        <i x="405"/>
        <i x="2373"/>
        <i x="1102"/>
        <i x="591"/>
        <i x="2618"/>
        <i x="2215"/>
        <i x="1954"/>
        <i x="960"/>
        <i x="2257"/>
        <i x="2354"/>
        <i x="576"/>
        <i x="273"/>
        <i x="2711"/>
        <i x="2080"/>
        <i x="1889"/>
        <i x="1626"/>
        <i x="1552"/>
        <i x="2128"/>
        <i x="1541"/>
        <i x="1036"/>
        <i x="1178"/>
        <i x="515"/>
        <i x="843"/>
        <i x="1949"/>
        <i x="1804"/>
        <i x="2259"/>
        <i x="637"/>
        <i x="2674"/>
        <i x="778"/>
        <i x="2271"/>
        <i x="2637"/>
        <i x="2624"/>
        <i x="1931"/>
        <i x="2191"/>
        <i x="2005"/>
        <i x="2083"/>
        <i x="2244"/>
        <i x="300"/>
        <i x="1910"/>
        <i x="1284"/>
        <i x="1572"/>
        <i x="749"/>
        <i x="72"/>
        <i x="2485"/>
        <i x="1146"/>
        <i x="2363"/>
        <i x="958"/>
        <i x="2031"/>
        <i x="2696"/>
        <i x="353"/>
        <i x="1822"/>
        <i x="470"/>
        <i x="2608"/>
        <i x="847"/>
        <i x="135"/>
        <i x="12"/>
        <i x="1633"/>
        <i x="136"/>
        <i x="789"/>
        <i x="1790"/>
        <i x="2567"/>
        <i x="2596"/>
        <i x="1650"/>
        <i x="686"/>
        <i x="1405"/>
        <i x="2680"/>
        <i x="725"/>
        <i x="23"/>
        <i x="1582"/>
        <i x="2757"/>
        <i x="2331"/>
        <i x="440"/>
        <i x="2046"/>
        <i x="2339"/>
        <i x="2395"/>
        <i x="859"/>
        <i x="2330"/>
        <i x="2111"/>
        <i x="2542"/>
        <i x="2212"/>
        <i x="394"/>
        <i x="853"/>
        <i x="2554"/>
        <i x="2692"/>
        <i x="2096"/>
        <i x="1873"/>
        <i x="658"/>
        <i x="2416"/>
        <i x="1962"/>
        <i x="336"/>
        <i x="2140"/>
        <i x="2649"/>
        <i x="2666"/>
        <i x="2070"/>
        <i x="2520"/>
        <i x="480"/>
        <i x="2288"/>
        <i x="469"/>
        <i x="946"/>
        <i x="1724"/>
        <i x="2386"/>
        <i x="2578"/>
        <i x="585"/>
        <i x="1418"/>
        <i x="1796"/>
        <i x="2670"/>
        <i x="2615"/>
        <i x="616"/>
        <i x="2614"/>
        <i x="1446"/>
        <i x="230"/>
        <i x="2659"/>
        <i x="2040"/>
        <i x="2145"/>
        <i x="623"/>
        <i x="1978"/>
        <i x="2328"/>
        <i x="1122"/>
        <i x="468"/>
        <i x="309"/>
        <i x="1370"/>
        <i x="2491"/>
        <i x="2388"/>
        <i x="2182"/>
        <i x="875"/>
        <i x="447"/>
        <i x="2607"/>
        <i x="1830"/>
        <i x="1662"/>
        <i x="55"/>
        <i x="1503"/>
        <i x="2437"/>
        <i x="1679"/>
        <i x="2098"/>
        <i x="2500"/>
        <i x="1832"/>
        <i x="368"/>
        <i x="1800"/>
        <i x="873"/>
        <i x="2297"/>
        <i x="934"/>
        <i x="1590"/>
        <i x="877"/>
        <i x="2294"/>
        <i x="1231"/>
        <i x="1708"/>
        <i x="1073"/>
        <i x="959"/>
        <i x="2054"/>
        <i x="2348"/>
        <i x="134"/>
        <i x="2705"/>
        <i x="927"/>
        <i x="1932"/>
        <i x="1046"/>
        <i x="1975"/>
        <i x="899"/>
        <i x="1266"/>
        <i x="427"/>
        <i x="1668"/>
        <i x="2447"/>
        <i x="926"/>
        <i x="595"/>
        <i x="1568"/>
        <i x="359"/>
        <i x="129"/>
        <i x="2521"/>
        <i x="1220"/>
        <i x="1402"/>
        <i x="531"/>
        <i x="464"/>
        <i x="1269"/>
        <i x="117"/>
        <i x="703"/>
        <i x="2679"/>
        <i x="1685"/>
        <i x="1272"/>
        <i x="373"/>
        <i x="1836"/>
        <i x="338"/>
        <i x="670"/>
        <i x="896"/>
        <i x="2079"/>
        <i x="1265"/>
        <i x="1966"/>
        <i x="771"/>
        <i x="210"/>
        <i x="1132"/>
        <i x="2677"/>
        <i x="602"/>
        <i x="1094"/>
        <i x="2352"/>
        <i x="1661"/>
        <i x="2237"/>
        <i x="2048"/>
        <i x="1133"/>
        <i x="211"/>
        <i x="1083"/>
        <i x="1618"/>
        <i x="708"/>
        <i x="2590"/>
        <i x="181"/>
        <i x="921"/>
        <i x="1202"/>
        <i x="535"/>
        <i x="2546"/>
        <i x="2306"/>
        <i x="120"/>
        <i x="2693"/>
        <i x="2516"/>
        <i x="1379"/>
        <i x="1445"/>
        <i x="174"/>
        <i x="139"/>
        <i x="2656"/>
        <i x="943"/>
        <i x="1414"/>
        <i x="981"/>
        <i x="924"/>
        <i x="2651"/>
        <i x="1228"/>
        <i x="263"/>
        <i x="634"/>
        <i x="1639"/>
        <i x="221"/>
        <i x="823"/>
        <i x="1203"/>
        <i x="644"/>
        <i x="916"/>
        <i x="2359"/>
        <i x="2049"/>
        <i x="2478"/>
        <i x="1888"/>
        <i x="1656"/>
        <i x="1388"/>
        <i x="2653"/>
        <i x="1114"/>
        <i x="2398"/>
        <i x="2060"/>
        <i x="2499"/>
        <i x="2404"/>
        <i x="1834"/>
        <i x="5"/>
        <i x="925"/>
        <i x="339"/>
        <i x="1399"/>
        <i x="2476"/>
        <i x="1841"/>
        <i x="1144"/>
        <i x="2410"/>
        <i x="1282"/>
        <i x="111"/>
        <i x="1507"/>
        <i x="1560"/>
        <i x="292"/>
        <i x="1623"/>
        <i x="1608"/>
        <i x="1497"/>
        <i x="118"/>
        <i x="1078"/>
        <i x="785"/>
        <i x="2678"/>
        <i x="632"/>
        <i x="1808"/>
        <i x="1628"/>
        <i x="2084"/>
        <i x="2631"/>
        <i x="887"/>
        <i x="2101"/>
        <i x="880"/>
        <i x="2432"/>
        <i x="846"/>
        <i x="2047"/>
        <i x="2484"/>
        <i x="1725"/>
        <i x="483"/>
        <i x="1117"/>
        <i x="137"/>
        <i x="2426"/>
        <i x="1086"/>
        <i x="257"/>
        <i x="370"/>
        <i x="2279"/>
        <i x="2402"/>
        <i x="398"/>
        <i x="1469"/>
        <i x="975"/>
        <i x="2136"/>
        <i x="1359"/>
        <i x="1319"/>
        <i x="206"/>
        <i x="1293"/>
        <i x="1059"/>
        <i x="2065"/>
        <i x="1261"/>
        <i x="421"/>
        <i x="1543"/>
        <i x="889"/>
        <i x="2555"/>
        <i x="1828"/>
        <i x="2039"/>
        <i x="2587"/>
        <i x="833"/>
        <i x="1287"/>
        <i x="956"/>
        <i x="2086"/>
        <i x="1351"/>
        <i x="179"/>
        <i x="231"/>
        <i x="1562"/>
        <i x="1254"/>
        <i x="1002"/>
        <i x="2119"/>
        <i x="1205"/>
        <i x="611"/>
        <i x="2292"/>
        <i x="1241"/>
        <i x="1260"/>
        <i x="1289"/>
        <i x="726"/>
        <i x="985"/>
        <i x="358"/>
        <i x="699"/>
        <i x="2100"/>
        <i x="1500"/>
        <i x="2628"/>
        <i x="2568"/>
        <i x="2465"/>
        <i x="1878"/>
        <i x="1167"/>
        <i x="2280"/>
        <i x="1204"/>
        <i x="606"/>
        <i x="2050"/>
        <i x="736"/>
        <i x="1279"/>
        <i x="329"/>
        <i x="1130"/>
        <i x="1153"/>
        <i x="2575"/>
        <i x="978"/>
        <i x="2630"/>
        <i x="443"/>
        <i x="347"/>
        <i x="1548"/>
        <i x="1024"/>
        <i x="2405"/>
        <i x="2148"/>
        <i x="1515"/>
        <i x="1716"/>
        <i x="60"/>
        <i x="58"/>
        <i x="1833"/>
        <i x="100"/>
        <i x="2076"/>
        <i x="1111"/>
        <i x="2112"/>
        <i x="650"/>
        <i x="581"/>
        <i x="2285"/>
        <i x="1067"/>
        <i x="825"/>
        <i x="980"/>
        <i x="2142"/>
        <i x="13"/>
        <i x="1616"/>
        <i x="2104"/>
        <i x="1534"/>
        <i x="612"/>
        <i x="290"/>
        <i x="2019"/>
        <i x="1919"/>
        <i x="1263"/>
        <i x="561"/>
        <i x="2335"/>
        <i x="485"/>
        <i x="1983"/>
        <i x="886"/>
        <i x="579"/>
        <i x="2179"/>
        <i x="2616"/>
        <i x="1459"/>
        <i x="2557"/>
        <i x="2588"/>
        <i x="2474"/>
        <i x="1886"/>
        <i x="830"/>
        <i x="1907"/>
        <i x="391"/>
        <i x="2154"/>
        <i x="635"/>
        <i x="1007"/>
        <i x="1170"/>
        <i x="476"/>
        <i x="1135"/>
        <i x="3"/>
        <i x="1390"/>
        <i x="2664"/>
        <i x="631"/>
        <i x="2067"/>
        <i x="69"/>
        <i x="990"/>
        <i x="2584"/>
        <i x="2511"/>
        <i x="445"/>
        <i x="701"/>
        <i x="692"/>
        <i x="817"/>
        <i x="716"/>
        <i x="2691"/>
        <i x="327"/>
        <i x="717"/>
        <i x="2014"/>
        <i x="1142"/>
        <i x="1262"/>
        <i x="607"/>
        <i x="2685"/>
        <i x="1229"/>
        <i x="1050"/>
        <i x="2710"/>
        <i x="986"/>
        <i x="593"/>
        <i x="272"/>
        <i x="1069"/>
        <i x="1570"/>
        <i x="1071"/>
        <i x="1218"/>
        <i x="1940"/>
        <i x="1635"/>
        <i x="436"/>
        <i x="730"/>
        <i x="207"/>
        <i x="2639"/>
        <i x="2026"/>
        <i x="415"/>
        <i x="101"/>
        <i x="1003"/>
        <i x="2496"/>
        <i x="2539"/>
        <i x="166"/>
        <i x="1987"/>
        <i x="484"/>
        <i x="714"/>
        <i x="773"/>
        <i x="2042"/>
        <i x="1674"/>
        <i x="599"/>
        <i x="307"/>
        <i x="923"/>
        <i x="112"/>
        <i x="148"/>
        <i x="2532"/>
        <i x="418"/>
        <i x="1496"/>
        <i x="1210"/>
        <i x="718"/>
        <i x="1092"/>
        <i x="1941"/>
        <i x="995"/>
        <i x="2438"/>
        <i x="2396"/>
        <i x="2392"/>
        <i x="260"/>
        <i x="2571"/>
        <i x="1881"/>
        <i x="259"/>
        <i x="1416"/>
        <i x="834"/>
        <i x="564"/>
        <i x="614"/>
        <i x="1792"/>
        <i x="191"/>
        <i x="2"/>
        <i x="849"/>
        <i x="2644"/>
        <i x="1934"/>
        <i x="627"/>
        <i x="53"/>
        <i x="1911"/>
        <i x="2124"/>
        <i x="1544"/>
        <i x="1089"/>
        <i x="1805"/>
        <i x="2522"/>
        <i x="2508"/>
        <i x="1798"/>
        <i x="1587"/>
        <i x="437"/>
        <i x="1255"/>
        <i x="2099"/>
        <i x="1014"/>
        <i x="1680"/>
        <i x="2503"/>
        <i x="2281"/>
        <i x="416"/>
        <i x="2290"/>
        <i x="171"/>
        <i x="1140"/>
        <i x="735"/>
        <i x="1026"/>
        <i x="167"/>
        <i x="1689"/>
        <i x="660"/>
        <i x="1017"/>
        <i x="2407"/>
        <i x="2545"/>
        <i x="1257"/>
        <i x="46"/>
        <i x="2440"/>
        <i x="713"/>
        <i x="1281"/>
        <i x="1058"/>
        <i x="1906"/>
        <i x="2594"/>
        <i x="1116"/>
        <i x="1104"/>
        <i x="1274"/>
        <i x="2120"/>
        <i x="10"/>
        <i x="1676"/>
        <i x="425"/>
        <i x="1491"/>
        <i x="2345"/>
        <i x="2760"/>
        <i x="2344"/>
        <i x="1909"/>
        <i x="304"/>
        <i x="1922"/>
        <i x="2602"/>
        <i x="2589"/>
        <i x="310"/>
        <i x="356"/>
        <i x="2442"/>
        <i x="1008"/>
        <i x="2028"/>
        <i x="2603"/>
        <i x="1031"/>
        <i x="2528"/>
        <i x="2683"/>
        <i x="246"/>
        <i x="1162"/>
        <i x="527"/>
        <i x="145"/>
        <i x="1124"/>
        <i x="929"/>
        <i x="271"/>
        <i x="2509"/>
        <i x="1894"/>
        <i x="2293"/>
        <i x="1614"/>
        <i x="70"/>
        <i x="2133"/>
        <i x="127"/>
        <i x="2576"/>
        <i x="1126"/>
        <i x="1953"/>
        <i x="2643"/>
        <i x="219"/>
        <i x="283"/>
        <i x="1506"/>
        <i x="412"/>
        <i x="1816"/>
        <i x="2702"/>
        <i x="2675"/>
        <i x="287"/>
        <i x="2605"/>
        <i x="141"/>
        <i x="1217"/>
        <i x="2758"/>
        <i x="2008"/>
        <i x="598"/>
        <i x="2273"/>
        <i x="1964"/>
        <i x="2606"/>
        <i x="224"/>
        <i x="15"/>
        <i x="214"/>
        <i x="618"/>
        <i x="2178"/>
        <i x="1212"/>
        <i x="1687"/>
        <i x="256"/>
        <i x="1509"/>
        <i x="2565"/>
        <i x="1164"/>
        <i x="1447"/>
        <i x="2459"/>
        <i x="122"/>
        <i x="83"/>
        <i x="2123"/>
        <i x="411"/>
        <i x="51"/>
        <i x="2113"/>
        <i x="2497"/>
        <i x="1677"/>
        <i x="1147"/>
        <i x="2660"/>
        <i x="1148"/>
        <i x="2502"/>
        <i x="254"/>
        <i x="2472"/>
        <i x="325"/>
        <i x="529"/>
        <i x="429"/>
        <i x="693"/>
        <i x="1516"/>
        <i x="1216"/>
        <i x="851"/>
        <i x="1037"/>
        <i x="1020"/>
        <i x="1065"/>
        <i x="2157"/>
        <i x="14"/>
        <i x="2144"/>
        <i x="1101"/>
        <i x="400"/>
        <i x="419"/>
        <i x="84"/>
        <i x="449"/>
        <i x="2647"/>
        <i x="1028"/>
        <i x="249"/>
        <i x="2501"/>
        <i x="737"/>
        <i x="461"/>
        <i x="1466"/>
        <i x="1368"/>
        <i x="2399"/>
        <i x="1242"/>
        <i x="639"/>
        <i x="2579"/>
        <i x="1812"/>
        <i x="1583"/>
        <i x="567"/>
        <i x="2638"/>
        <i x="2085"/>
        <i x="308"/>
        <i x="1759"/>
        <i x="2389"/>
        <i x="1297"/>
        <i x="821"/>
        <i x="620"/>
        <i x="1168"/>
        <i x="2301"/>
        <i x="1901"/>
        <i x="1355"/>
        <i x="1748"/>
        <i x="279"/>
        <i x="2581"/>
        <i x="2036"/>
        <i x="1825"/>
        <i x="526"/>
        <i x="1305"/>
        <i x="140"/>
        <i x="1921"/>
        <i x="2708"/>
        <i x="277"/>
        <i x="872"/>
        <i x="1213"/>
        <i x="971"/>
        <i x="2450"/>
        <i x="1950"/>
        <i x="721"/>
        <i x="1362"/>
        <i x="1290"/>
        <i x="1574"/>
        <i x="2233"/>
        <i x="2585"/>
        <i x="146"/>
        <i x="2298"/>
        <i x="133"/>
        <i x="1457"/>
        <i x="1165"/>
        <i x="2349"/>
        <i x="891"/>
        <i x="857"/>
        <i x="1323"/>
        <i x="2305"/>
        <i x="1512"/>
        <i x="1051"/>
        <i x="1584"/>
        <i x="1750"/>
        <i x="845"/>
        <i x="2141"/>
        <i x="1452"/>
        <i x="569"/>
        <i x="640"/>
        <i x="2736"/>
        <i x="18"/>
        <i x="1981"/>
        <i x="278"/>
        <i x="1893"/>
        <i x="486"/>
        <i x="442"/>
        <i x="521"/>
        <i x="276"/>
        <i x="2300"/>
        <i x="472"/>
        <i x="396"/>
        <i x="1743"/>
        <i x="17"/>
        <i x="1245"/>
        <i x="19"/>
        <i x="107"/>
        <i x="1561"/>
        <i x="1129"/>
        <i x="2232"/>
        <i x="881"/>
        <i x="2641"/>
        <i x="333"/>
        <i x="1013"/>
        <i x="984"/>
        <i x="1011"/>
        <i x="1895"/>
        <i x="1392"/>
        <i x="2057"/>
        <i x="2513"/>
        <i x="157"/>
        <i x="152"/>
        <i x="719"/>
        <i x="617"/>
        <i x="1678"/>
        <i x="1353"/>
        <i x="1131"/>
        <i x="2646"/>
        <i x="831"/>
        <i x="965"/>
        <i x="629"/>
        <i x="2562"/>
        <i x="838"/>
        <i x="466"/>
        <i x="404"/>
        <i x="66"/>
        <i x="2524"/>
        <i x="397"/>
        <i x="1946"/>
        <i x="422"/>
        <i x="537"/>
        <i x="528"/>
        <i x="722"/>
        <i x="2481"/>
        <i x="1291"/>
        <i x="432"/>
        <i x="1307"/>
        <i x="615"/>
        <i x="245"/>
        <i x="1578"/>
        <i x="48"/>
        <i x="371"/>
        <i x="169"/>
        <i x="375"/>
        <i x="1230"/>
        <i x="109"/>
        <i x="1675"/>
        <i x="2593"/>
        <i x="706"/>
        <i x="450"/>
        <i x="1573"/>
        <i x="1391"/>
        <i x="1234"/>
        <i x="1945"/>
        <i x="659"/>
        <i x="1110"/>
        <i x="2340"/>
        <i x="999"/>
        <i x="1136"/>
        <i x="313"/>
        <i x="482"/>
        <i x="96"/>
        <i x="1034"/>
        <i x="2525"/>
        <i x="890"/>
        <i x="144"/>
        <i x="2061"/>
        <i x="643"/>
        <i x="1756"/>
        <i x="2564"/>
        <i x="1467"/>
        <i x="1062"/>
        <i x="1300"/>
        <i x="2118"/>
        <i x="2617"/>
        <i x="1197"/>
        <i x="885"/>
        <i x="2648"/>
        <i x="364"/>
        <i x="2351"/>
        <i x="2030"/>
        <i x="1354"/>
        <i x="2433"/>
        <i x="2574"/>
        <i x="931"/>
        <i x="243"/>
        <i x="420"/>
        <i x="2027"/>
        <i x="724"/>
        <i x="1752"/>
        <i x="1495"/>
        <i x="255"/>
        <i x="1621"/>
        <i x="1310"/>
        <i x="454"/>
        <i x="2051"/>
        <i x="1239"/>
        <i x="622"/>
        <i x="2406"/>
        <i x="479"/>
        <i x="431"/>
        <i x="390"/>
        <i x="59"/>
        <i x="2307"/>
        <i x="587"/>
        <i x="438"/>
        <i x="1352"/>
        <i x="9"/>
        <i x="274"/>
        <i x="1308"/>
        <i x="2469"/>
        <i x="774"/>
        <i x="732"/>
        <i x="2022"/>
        <i x="1295"/>
        <i x="2131"/>
        <i x="729"/>
        <i x="2103"/>
        <i x="303"/>
        <i x="2563"/>
        <i x="205"/>
        <i x="2159"/>
        <i x="1939"/>
        <i x="247"/>
        <i x="381"/>
        <i x="2518"/>
        <i x="1200"/>
        <i x="961"/>
        <i x="783"/>
        <i x="229"/>
        <i x="1100"/>
        <i x="2025"/>
        <i x="284"/>
        <i x="467"/>
        <i x="1171"/>
        <i x="1223"/>
        <i x="1025"/>
        <i x="1793"/>
        <i x="888"/>
        <i x="837"/>
        <i x="1298"/>
        <i x="707"/>
        <i x="948"/>
        <i x="2283"/>
        <i x="2529"/>
        <i x="213"/>
        <i x="1005"/>
        <i x="1053"/>
        <i x="626"/>
        <i x="1465"/>
        <i x="128"/>
        <i x="538"/>
        <i x="306"/>
        <i x="31"/>
        <i x="998"/>
        <i x="492"/>
        <i x="1899"/>
        <i x="269"/>
        <i x="2055"/>
        <i x="1321"/>
        <i x="374"/>
        <i x="2109"/>
        <i x="1787"/>
        <i x="2355"/>
        <i x="952"/>
        <i x="188"/>
        <i x="40"/>
        <i x="852"/>
        <i x="403"/>
        <i x="417"/>
        <i x="1207"/>
        <i x="738"/>
        <i x="218"/>
        <i x="2530"/>
        <i x="1288"/>
        <i x="298"/>
        <i x="968"/>
        <i x="720"/>
        <i x="2441"/>
        <i x="524"/>
        <i x="850"/>
        <i x="741"/>
        <i x="280"/>
        <i x="2350"/>
        <i x="2408"/>
        <i x="267"/>
        <i x="1105"/>
        <i x="2158"/>
        <i x="517"/>
        <i x="2632"/>
        <i x="106"/>
        <i x="1302"/>
        <i x="1955"/>
        <i x="57"/>
        <i x="2560"/>
        <i x="1785"/>
        <i x="164"/>
        <i x="987"/>
        <i x="2303"/>
        <i x="1039"/>
        <i x="2021"/>
        <i x="649"/>
        <i x="2044"/>
        <i x="1163"/>
        <i x="473"/>
        <i x="2455"/>
        <i x="323"/>
        <i x="858"/>
        <i x="376"/>
        <i x="818"/>
        <i x="1198"/>
        <i x="1063"/>
        <i x="1280"/>
        <i x="704"/>
        <i x="1233"/>
        <i x="1620"/>
        <i x="1619"/>
        <i x="1897"/>
        <i x="1303"/>
        <i x="1152"/>
        <i x="883"/>
        <i x="1134"/>
        <i x="865"/>
        <i x="651"/>
        <i x="1947"/>
        <i x="570"/>
        <i x="426"/>
        <i x="2108"/>
        <i x="969"/>
        <i x="2342"/>
        <i x="844"/>
        <i x="1564"/>
        <i x="2053"/>
        <i x="82"/>
        <i x="574"/>
        <i x="855"/>
        <i x="252"/>
        <i x="395"/>
        <i x="2308"/>
        <i x="1566"/>
        <i x="2353"/>
        <i x="994"/>
        <i x="2661"/>
        <i x="56"/>
        <i x="399"/>
        <i x="532"/>
        <i x="114"/>
        <i x="543"/>
        <i x="1887"/>
        <i x="4"/>
        <i x="2035"/>
        <i x="2633"/>
        <i x="711"/>
        <i x="385"/>
        <i x="1322"/>
        <i x="481"/>
        <i x="413"/>
        <i x="379"/>
        <i x="547"/>
        <i x="1357"/>
        <i x="159"/>
        <i x="810"/>
        <i x="997"/>
        <i x="619"/>
        <i x="860"/>
        <i x="544"/>
        <i x="590"/>
        <i x="957"/>
        <i x="1629"/>
        <i x="1468"/>
        <i x="75"/>
        <i x="1313"/>
        <i x="293"/>
        <i x="1762"/>
        <i x="1682"/>
        <i x="1956"/>
        <i x="1346"/>
        <i x="2151"/>
        <i x="1580"/>
        <i x="669"/>
        <i x="113"/>
        <i x="2029"/>
        <i x="1151"/>
        <i x="1157"/>
        <i x="1248"/>
        <i x="1056"/>
        <i x="1226"/>
        <i x="1450"/>
        <i x="1448"/>
        <i x="1364"/>
        <i x="138"/>
        <i x="33"/>
        <i x="573"/>
        <i x="2230"/>
        <i x="1243"/>
        <i x="1311"/>
        <i x="1206"/>
        <i x="2601"/>
        <i x="268"/>
        <i x="1632"/>
        <i x="132"/>
        <i x="588"/>
        <i x="26"/>
        <i x="2409"/>
        <i x="165"/>
        <i x="696"/>
        <i x="2761"/>
        <i x="446"/>
        <i x="1006"/>
        <i x="63"/>
        <i x="1128"/>
        <i x="519"/>
        <i x="842"/>
        <i x="525"/>
        <i x="94"/>
        <i x="1935"/>
        <i x="1064"/>
        <i x="428"/>
        <i x="1460"/>
        <i x="1569"/>
        <i x="294"/>
        <i x="2599"/>
        <i x="1010"/>
        <i x="1099"/>
        <i x="1155"/>
        <i x="1936"/>
        <i x="1952"/>
        <i x="715"/>
        <i x="2338"/>
        <i x="878"/>
        <i x="1642"/>
        <i x="7"/>
        <i x="175"/>
        <i x="628"/>
        <i x="1219"/>
        <i x="1636"/>
        <i x="1232"/>
        <i x="1154"/>
        <i x="976"/>
        <i x="871"/>
        <i x="1712"/>
        <i x="491"/>
        <i x="1755"/>
        <i x="1514"/>
        <i x="1018"/>
        <i x="318"/>
        <i x="1350"/>
        <i x="1892"/>
        <i x="71"/>
        <i x="2012"/>
        <i x="828"/>
        <i x="1753"/>
        <i x="1634"/>
        <i x="1174"/>
        <i x="296"/>
        <i x="874"/>
        <i x="108"/>
        <i x="1211"/>
        <i x="1630"/>
        <i x="2573"/>
        <i x="1060"/>
        <i x="563"/>
        <i x="451"/>
        <i x="2613"/>
        <i x="1576"/>
        <i x="2258"/>
        <i x="1356"/>
        <i x="559"/>
        <i x="1244"/>
        <i x="1638"/>
        <i x="47"/>
        <i x="2358"/>
        <i x="656"/>
        <i x="1035"/>
        <i x="1627"/>
        <i x="884"/>
        <i x="1361"/>
        <i x="2105"/>
        <i x="553"/>
        <i x="1589"/>
        <i x="365"/>
        <i x="1158"/>
        <i x="1449"/>
        <i x="558"/>
        <i x="700"/>
        <i x="65"/>
        <i x="220"/>
        <i x="1624"/>
        <i x="549"/>
        <i x="705"/>
        <i x="170"/>
        <i x="661"/>
        <i x="993"/>
        <i x="153"/>
        <i x="1156"/>
        <i x="1214"/>
        <i x="2018"/>
        <i x="835"/>
        <i x="458"/>
        <i x="1075"/>
        <i x="710"/>
        <i x="197"/>
        <i x="1761"/>
        <i x="77"/>
        <i x="522"/>
        <i x="539"/>
        <i x="1029"/>
        <i x="1786"/>
        <i x="286"/>
        <i x="98"/>
        <i x="582"/>
        <i x="1318"/>
        <i x="78"/>
        <i x="577"/>
        <i x="698"/>
        <i x="158"/>
        <i x="463"/>
        <i x="471"/>
        <i x="265"/>
        <i x="456"/>
        <i x="222"/>
        <i x="110"/>
        <i x="1049"/>
        <i x="2379"/>
        <i x="314"/>
        <i x="647"/>
        <i x="335"/>
        <i x="1741"/>
        <i x="829"/>
        <i x="389"/>
        <i x="261"/>
        <i x="264"/>
        <i x="1161"/>
        <i x="232"/>
        <i x="578"/>
        <i x="1436"/>
        <i x="1637"/>
        <i x="697"/>
        <i x="115"/>
        <i x="44"/>
        <i x="551"/>
        <i x="848"/>
        <i x="1567"/>
        <i x="291"/>
        <i x="977"/>
        <i x="185"/>
        <i x="2598"/>
        <i x="79"/>
        <i x="571"/>
        <i x="36"/>
        <i x="1571"/>
        <i x="248"/>
        <i x="1713"/>
        <i x="1366"/>
        <i x="1814"/>
        <i x="337"/>
        <i x="38"/>
        <i x="88"/>
        <i x="289"/>
        <i x="1271"/>
        <i x="864"/>
        <i x="621"/>
        <i x="1235"/>
        <i x="523"/>
        <i x="728"/>
        <i x="217"/>
        <i x="1898"/>
        <i x="2337"/>
        <i x="448"/>
        <i x="382"/>
        <i x="1316"/>
        <i x="630"/>
        <i x="1225"/>
        <i x="1735"/>
        <i x="155"/>
        <i x="457"/>
        <i x="236"/>
        <i x="242"/>
        <i x="1150"/>
        <i x="1891"/>
        <i x="1143"/>
        <i x="2056"/>
        <i x="1042"/>
        <i x="1367"/>
        <i x="695"/>
        <i x="694"/>
        <i x="2023"/>
        <i x="1942"/>
        <i x="1012"/>
        <i x="1937"/>
        <i x="1565"/>
        <i x="1358"/>
        <i x="2156"/>
        <i x="1159"/>
        <i x="2206"/>
        <i x="384"/>
        <i x="1249"/>
        <i x="2600"/>
        <i x="866"/>
        <i x="2132"/>
        <i x="226"/>
        <i x="281"/>
        <i x="227"/>
        <i x="2482"/>
        <i x="1027"/>
        <i x="1019"/>
        <i x="143"/>
        <i x="625"/>
        <i x="1498"/>
        <i x="568"/>
        <i x="459"/>
        <i x="251"/>
        <i x="1462"/>
        <i x="372"/>
        <i x="1166"/>
        <i x="460"/>
        <i x="37"/>
        <i x="1301"/>
        <i x="2153"/>
        <i x="819"/>
        <i x="68"/>
        <i x="550"/>
        <i x="2381"/>
        <i x="455"/>
        <i x="548"/>
        <i x="1754"/>
        <i x="377"/>
        <i x="1145"/>
        <i x="655"/>
        <i x="1137"/>
        <i x="215"/>
        <i x="556"/>
        <i x="200"/>
        <i x="2155"/>
        <i x="1306"/>
        <i x="223"/>
        <i x="150"/>
        <i x="149"/>
        <i x="95"/>
        <i x="988"/>
        <i x="668"/>
        <i x="664"/>
        <i x="557"/>
        <i x="244"/>
        <i x="1138"/>
        <i x="1238"/>
        <i x="1141"/>
        <i x="1959"/>
        <i x="1317"/>
        <i x="1023"/>
        <i x="2260"/>
        <i x="1575"/>
        <i x="216"/>
        <i x="1625"/>
        <i x="369"/>
        <i x="1343"/>
        <i x="762"/>
        <i x="2059"/>
        <i x="854"/>
        <i x="1371"/>
        <i x="253"/>
        <i x="1045"/>
        <i x="177"/>
        <i x="982"/>
        <i x="1250"/>
        <i x="93"/>
        <i x="330"/>
        <i x="545"/>
        <i x="979"/>
        <i x="176"/>
        <i x="1944"/>
        <i x="324"/>
        <i x="554"/>
        <i x="1577"/>
        <i x="814"/>
        <i x="1943"/>
        <i x="275"/>
        <i x="727"/>
        <i x="142"/>
        <i x="147"/>
        <i x="90"/>
        <i x="81"/>
        <i x="1247"/>
        <i x="317"/>
        <i x="542"/>
        <i x="652"/>
        <i x="198"/>
        <i x="91"/>
        <i x="1299"/>
        <i x="1021"/>
        <i x="2636"/>
        <i x="1345"/>
        <i x="648"/>
        <i x="2604"/>
        <i x="1022"/>
        <i x="41"/>
        <i x="1240"/>
        <i x="646"/>
        <i x="2610"/>
        <i x="642"/>
        <i x="194"/>
        <i x="441"/>
        <i x="662"/>
        <i x="105"/>
        <i x="27"/>
        <i x="822"/>
        <i x="321"/>
        <i x="1237"/>
        <i x="1044"/>
        <i x="34"/>
        <i x="654"/>
        <i x="1224"/>
        <i x="583"/>
        <i x="28"/>
        <i x="1160"/>
        <i x="266"/>
        <i x="29"/>
        <i x="560"/>
        <i x="645"/>
        <i x="1040"/>
        <i x="1149"/>
        <i x="624"/>
        <i x="1032"/>
        <i x="663"/>
        <i x="190"/>
        <i x="552"/>
        <i x="633"/>
        <i x="826"/>
        <i x="168"/>
        <i x="25"/>
        <i x="2535"/>
        <i x="250"/>
        <i x="575"/>
        <i x="580"/>
        <i x="160"/>
        <i x="1015"/>
        <i x="586"/>
        <i x="97"/>
        <i x="39"/>
        <i x="867"/>
        <i x="1951"/>
        <i x="20"/>
        <i x="1347"/>
        <i x="319"/>
        <i x="320"/>
        <i x="1365"/>
        <i x="1363"/>
        <i x="820"/>
        <i x="326"/>
        <i x="237"/>
        <i x="201"/>
        <i x="161"/>
        <i x="32"/>
        <i x="187"/>
        <i x="87"/>
        <i x="584"/>
        <i x="258"/>
        <i x="315"/>
        <i x="555"/>
        <i x="1001"/>
        <i x="288"/>
        <i x="328"/>
        <i x="49"/>
        <i x="1000"/>
        <i x="1236"/>
        <i x="832"/>
        <i x="239"/>
        <i x="1047"/>
        <i x="1016"/>
        <i x="163"/>
        <i x="1004"/>
        <i x="92"/>
        <i x="241"/>
        <i x="1538"/>
        <i x="465"/>
        <i x="195"/>
        <i x="270"/>
        <i x="199"/>
        <i x="1139"/>
        <i x="653"/>
        <i x="233"/>
        <i x="1641"/>
        <i x="189"/>
        <i x="193"/>
        <i x="262"/>
        <i x="209"/>
        <i x="184"/>
        <i x="86"/>
        <i x="1009"/>
        <i x="2203"/>
        <i x="688"/>
        <i x="192"/>
        <i x="85"/>
        <i x="1123"/>
        <i x="1033"/>
        <i x="2385"/>
        <i x="414"/>
        <i x="35"/>
        <i x="172"/>
        <i x="657"/>
        <i x="104"/>
        <i x="1961"/>
        <i x="489"/>
        <i x="162"/>
        <i x="80"/>
        <i x="316"/>
        <i x="827"/>
        <i x="2582"/>
        <i x="173"/>
        <i x="130"/>
        <i x="1536"/>
        <i x="89"/>
        <i x="2082"/>
        <i x="2458"/>
        <i x="42"/>
        <i x="1173"/>
        <i x="196"/>
        <i x="1809"/>
        <i x="30"/>
        <i x="186"/>
        <i x="1119"/>
        <i x="43"/>
        <i x="1960"/>
        <i x="103"/>
        <i x="1048"/>
        <i x="52"/>
        <i x="733"/>
        <i x="589"/>
        <i x="276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 sourceName="Sales">
  <pivotTables>
    <pivotTable tabId="7" name="PivotTable6"/>
  </pivotTables>
  <data>
    <tabular pivotCacheId="1">
      <items count="2764">
        <i x="2211" s="1"/>
        <i x="1270" s="1"/>
        <i x="2009" s="1"/>
        <i x="1529" s="1"/>
        <i x="1789" s="1"/>
        <i x="2172" s="1"/>
        <i x="2010" s="1"/>
        <i x="1526" s="1"/>
        <i x="1531" s="1"/>
        <i x="1535" s="1"/>
        <i x="1518" s="1"/>
        <i x="1765" s="1"/>
        <i x="1690" s="1"/>
        <i x="712" s="1"/>
        <i x="22" s="1"/>
        <i x="1524" s="1"/>
        <i x="1771" s="1"/>
        <i x="740" s="1"/>
        <i x="1704" s="1"/>
        <i x="2313" s="1"/>
        <i x="1611" s="1"/>
        <i x="1537" s="1"/>
        <i x="1481" s="1"/>
        <i x="1699" s="1"/>
        <i x="1612" s="1"/>
        <i x="1694" s="1"/>
        <i x="1607" s="1"/>
        <i x="2716" s="1"/>
        <i x="893" s="1"/>
        <i x="1692" s="1"/>
        <i x="1774" s="1"/>
        <i x="1996" s="1"/>
        <i x="1697" s="1"/>
        <i x="1599" s="1"/>
        <i x="1770" s="1"/>
        <i x="2210" s="1"/>
        <i x="1763" s="1"/>
        <i x="768" s="1"/>
        <i x="2729" s="1"/>
        <i x="2003" s="1"/>
        <i x="1995" s="1"/>
        <i x="2368" s="1"/>
        <i x="636" s="1"/>
        <i x="1528" s="1"/>
        <i x="1522" s="1"/>
        <i x="1489" s="1"/>
        <i x="806" s="1"/>
        <i x="2173" s="1"/>
        <i x="840" s="1"/>
        <i x="1593" s="1"/>
        <i x="1521" s="1"/>
        <i x="1598" s="1"/>
        <i x="1992" s="1"/>
        <i x="2175" s="1"/>
        <i x="1702" s="1"/>
        <i x="2362" s="1"/>
        <i x="2165" s="1"/>
        <i x="2170" s="1"/>
        <i x="2222" s="1"/>
        <i x="1835" s="1"/>
        <i x="1181" s="1"/>
        <i x="1510" s="1"/>
        <i x="1766" s="1"/>
        <i x="1715" s="1"/>
        <i x="1700" s="1"/>
        <i x="1420" s="1"/>
        <i x="2505" s="1"/>
        <i x="312" s="1"/>
        <i x="2004" s="1"/>
        <i x="2188" s="1"/>
        <i x="1442" s="1"/>
        <i x="510" s="1"/>
        <i x="1530" s="1"/>
        <i x="2177" s="1"/>
        <i x="2163" s="1"/>
        <i x="1596" s="1"/>
        <i x="2315" s="1"/>
        <i x="1333" s="1"/>
        <i x="2738" s="1"/>
        <i x="1485" s="1"/>
        <i x="2418" s="1"/>
        <i x="2460" s="1"/>
        <i x="1597" s="1"/>
        <i x="1782" s="1"/>
        <i x="812" s="1"/>
        <i x="939" s="1"/>
        <i x="1695" s="1"/>
        <i x="1532" s="1"/>
        <i x="1903" s="1"/>
        <i x="1601" s="1"/>
        <i x="1994" s="1"/>
        <i x="505" s="1"/>
        <i x="434" s="1"/>
        <i x="1705" s="1"/>
        <i x="813" s="1"/>
        <i x="2160" s="1"/>
        <i x="1976" s="1"/>
        <i x="1999" s="1"/>
        <i x="1525" s="1"/>
        <i x="742" s="1"/>
        <i x="2750" s="1"/>
        <i x="2236" s="1"/>
        <i x="1520" s="1"/>
        <i x="2726" s="1"/>
        <i x="124" s="1"/>
        <i x="1846" s="1"/>
        <i x="1777" s="1"/>
        <i x="2184" s="1"/>
        <i x="1764" s="1"/>
        <i x="1296" s="1"/>
        <i x="1693" s="1"/>
        <i x="2722" s="1"/>
        <i x="1540" s="1"/>
        <i x="2456" s="1"/>
        <i x="1419" s="1"/>
        <i x="1849" s="1"/>
        <i x="913" s="1"/>
        <i x="1709" s="1"/>
        <i x="1474" s="1"/>
        <i x="1527" s="1"/>
        <i x="2250" s="1"/>
        <i x="1781" s="1"/>
        <i x="709" s="1"/>
        <i x="917" s="1"/>
        <i x="513" s="1"/>
        <i x="2164" s="1"/>
        <i x="902" s="1"/>
        <i x="2196" s="1"/>
        <i x="2312" s="1"/>
        <i x="1698" s="1"/>
        <i x="1401" s="1"/>
        <i x="1885" s="1"/>
        <i x="1327" s="1"/>
        <i x="1337" s="1"/>
        <i x="2323" s="1"/>
        <i x="596" s="1"/>
        <i x="1848" s="1"/>
        <i x="836" s="1"/>
        <i x="1403" s="1"/>
        <i x="1222" s="1"/>
        <i x="1413" s="1"/>
        <i x="1768" s="1"/>
        <i x="802" s="1"/>
        <i x="1328" s="1"/>
        <i x="518" s="1"/>
        <i x="1472" s="1"/>
        <i x="1997" s="1"/>
        <i x="1411" s="1"/>
        <i x="863" s="1"/>
        <i x="1430" s="1"/>
        <i x="516" s="1"/>
        <i x="2268" s="1"/>
        <i x="679" s="1"/>
        <i x="2162" s="1"/>
        <i x="1373" s="1"/>
        <i x="2207" s="1"/>
        <i x="74" s="1"/>
        <i x="2251" s="1"/>
        <i x="689" s="1"/>
        <i x="1696" s="1"/>
        <i x="1710" s="1"/>
        <i x="1651" s="1"/>
        <i x="600" s="1"/>
        <i x="2002" s="1"/>
        <i x="342" s="1"/>
        <i x="508" s="1"/>
        <i x="1329" s="1"/>
        <i x="1659" s="1"/>
        <i x="2715" s="1"/>
        <i x="1688" s="1"/>
        <i x="1988" s="1"/>
        <i x="1482" s="1"/>
        <i x="2311" s="1"/>
        <i x="1727" s="1"/>
        <i x="1185" s="1"/>
        <i x="1432" s="1"/>
        <i x="1179" s="1"/>
        <i x="1850" s="1"/>
        <i x="566" s="1"/>
        <i x="2397" s="1"/>
        <i x="2737" s="1"/>
        <i x="2425" s="1"/>
        <i x="1776" s="1"/>
        <i x="1513" s="1"/>
        <i x="2001" s="1"/>
        <i x="1780" s="1"/>
        <i x="2161" s="1"/>
        <i x="2193" s="1"/>
        <i x="1784" s="1"/>
        <i x="906" s="1"/>
        <i x="1517" s="1"/>
        <i x="2383" s="1"/>
        <i x="2218" s="1"/>
        <i x="2033" s="1"/>
        <i x="2724" s="1"/>
        <i x="2740" s="1"/>
        <i x="2276" s="1"/>
        <i x="503" s="1"/>
        <i x="680" s="1"/>
        <i x="897" s="1"/>
        <i x="1740" s="1"/>
        <i x="1778" s="1"/>
        <i x="1523" s="1"/>
        <i x="1993" s="1"/>
        <i x="892" s="1"/>
        <i x="1707" s="1"/>
        <i x="2318" s="1"/>
        <i x="541" s="1"/>
        <i x="1868" s="1"/>
        <i x="21" s="1"/>
        <i x="1475" s="1"/>
        <i x="1194" s="1"/>
        <i x="1427" s="1"/>
        <i x="1862" s="1"/>
        <i x="2721" s="1"/>
        <i x="1490" s="1"/>
        <i x="641" s="1"/>
        <i x="282" s="1"/>
        <i x="1721" s="1"/>
        <i x="2751" s="1"/>
        <i x="1545" s="1"/>
        <i x="1772" s="1"/>
        <i x="996" s="1"/>
        <i x="754" s="1"/>
        <i x="1739" s="1"/>
        <i x="790" s="1"/>
        <i x="2282" s="1"/>
        <i x="350" s="1"/>
        <i x="2731" s="1"/>
        <i x="2400" s="1"/>
        <i x="2419" s="1"/>
        <i x="1691" s="1"/>
        <i x="794" s="1"/>
        <i x="772" s="1"/>
        <i x="2074" s="1"/>
        <i x="675" s="1"/>
        <i x="1731" s="1"/>
        <i x="673" s="1"/>
        <i x="898" s="1"/>
        <i x="506" s="1"/>
        <i x="757" s="1"/>
        <i x="1340" s="1"/>
        <i x="504" s="1"/>
        <i x="900" s="1"/>
        <i x="1396" s="1"/>
        <i x="1842" s="1"/>
        <i x="1929" s="1"/>
        <i x="1706" s="1"/>
        <i x="2180" s="1"/>
        <i x="1915" s="1"/>
        <i x="487" s="1"/>
        <i x="2167" s="1"/>
        <i x="383" s="1"/>
        <i x="2174" s="1"/>
        <i x="1723" s="1"/>
        <i x="1088" s="1"/>
        <i x="1991" s="1"/>
        <i x="1998" s="1"/>
        <i x="1043" s="1"/>
        <i x="2205" s="1"/>
        <i x="1077" s="1"/>
        <i x="1773" s="1"/>
        <i x="1831" s="1"/>
        <i x="2688" s="1"/>
        <i x="1818" s="1"/>
        <i x="2091" s="1"/>
        <i x="1670" s="1"/>
        <i x="2166" s="1"/>
        <i x="2176" s="1"/>
        <i x="807" s="1"/>
        <i x="932" s="1"/>
        <i x="1767" s="1"/>
        <i x="1349" s="1"/>
        <i x="507" s="1"/>
        <i x="1480" s="1"/>
        <i x="1441" s="1"/>
        <i x="911" s="1"/>
        <i x="2186" s="1"/>
        <i x="1595" s="1"/>
        <i x="2081" s="1"/>
        <i x="2309" s="1"/>
        <i x="1335" s="1"/>
        <i x="787" s="1"/>
        <i x="682" s="1"/>
        <i x="1384" s="1"/>
        <i x="1783" s="1"/>
        <i x="2238" s="1"/>
        <i x="1877" s="1"/>
        <i x="1769" s="1"/>
        <i x="1256" s="1"/>
        <i x="1483" s="1"/>
        <i x="1703" s="1"/>
        <i x="2235" s="1"/>
        <i x="2284" s="1"/>
        <i x="1853" s="1"/>
        <i x="967" s="1"/>
        <i x="514" s="1"/>
        <i x="1795" s="1"/>
        <i x="1760" s="1"/>
        <i x="797" s="1"/>
        <i x="671" s="1"/>
        <i x="1728" s="1"/>
        <i x="565" s="1"/>
        <i x="2325" s="1"/>
        <i x="2194" s="1"/>
        <i x="2382" s="1"/>
        <i x="2735" s="1"/>
        <i x="597" s="1"/>
        <i x="361" s="1"/>
        <i x="345" s="1"/>
        <i x="1369" s="1"/>
        <i x="2239" s="1"/>
        <i x="1861" s="1"/>
        <i x="1421" s="1"/>
        <i x="2265" s="1"/>
        <i x="1186" s="1"/>
        <i x="1672" s="1"/>
        <i x="1294" s="1"/>
        <i x="678" s="1"/>
        <i x="1646" s="1"/>
        <i x="1719" s="1"/>
        <i x="1389" s="1"/>
        <i x="1779" s="1"/>
        <i x="2443" s="1"/>
        <i x="1990" s="1"/>
        <i x="2052" s="1"/>
        <i x="1195" s="1"/>
        <i x="2063" s="1"/>
        <i x="992" s="1"/>
        <i x="2707" s="1"/>
        <i x="1188" s="1"/>
        <i x="920" s="1"/>
        <i x="2075" s="1"/>
        <i x="2185" s="1"/>
        <i x="752" s="1"/>
        <i x="2609" s="1"/>
        <i x="1320" s="1"/>
        <i x="2719" s="1"/>
        <i x="1096" s="1"/>
        <i x="1720" s="1"/>
        <i x="2718" s="1"/>
        <i x="1876" s="1"/>
        <i x="1386" s="1"/>
        <i x="756" s="1"/>
        <i x="1387" s="1"/>
        <i x="1341" s="1"/>
        <i x="2216" s="1"/>
        <i x="1404" s="1"/>
        <i x="2073" s="1"/>
        <i x="1275" s="1"/>
        <i x="355" s="1"/>
        <i x="862" s="1"/>
        <i x="1385" s="1"/>
        <i x="1989" s="1"/>
        <i x="1603" s="1"/>
        <i x="2753" s="1"/>
        <i x="766" s="1"/>
        <i x="2169" s="1"/>
        <i x="801" s="1"/>
        <i x="2752" s="1"/>
        <i x="1924" s="1"/>
        <i x="2000" s="1"/>
        <i x="2240" s="1"/>
        <i x="765" s="1"/>
        <i x="2208" s="1"/>
        <i x="1519" s="1"/>
        <i x="2197" s="1"/>
        <i x="1080" s="1"/>
        <i x="2361" s="1"/>
        <i x="1775" s="1"/>
        <i x="1838" s="1"/>
        <i x="2199" s="1"/>
        <i x="1586" s="1"/>
        <i x="2213" s="1"/>
        <i x="2322" s="1"/>
        <i x="1395" s="1"/>
        <i x="1863" s="1"/>
        <i x="2069" s="1"/>
        <i x="2007" s="1"/>
        <i x="1470" s="1"/>
        <i x="2321" s="1"/>
        <i x="2743" s="1"/>
        <i x="1412" s="1"/>
        <i x="2202" s="1"/>
        <i x="683" s="1"/>
        <i x="1592" s="1"/>
        <i x="2168" s="1"/>
        <i x="755" s="1"/>
        <i x="1422" s="1"/>
        <i x="1606" s="1"/>
        <i x="156" s="1"/>
        <i x="1874" s="1"/>
        <i x="2171" s="1"/>
        <i x="2625" s="1"/>
        <i x="1176" s="1"/>
        <i x="500" s="1"/>
        <i x="1872" s="1"/>
        <i x="497" s="1"/>
        <i x="638" s="1"/>
        <i x="2620" s="1"/>
        <i x="2669" s="1"/>
        <i x="387" s="1"/>
        <i x="2477" s="1"/>
        <i x="2198" s="1"/>
        <i x="1920" s="1"/>
        <i x="1958" s="1"/>
        <i x="1488" s="1"/>
        <i x="343" s="1"/>
        <i x="2316" s="1"/>
        <i x="1602" s="1"/>
        <i x="2326" s="1"/>
        <i x="1169" s="1"/>
        <i x="1701" s="1"/>
        <i x="808" s="1"/>
        <i x="803" s="1"/>
        <i x="1076" s="1"/>
        <i x="2626" s="1"/>
        <i x="2365" s="1"/>
        <i x="2278" s="1"/>
        <i x="973" s="1"/>
        <i x="1839" s="1"/>
        <i x="1645" s="1"/>
        <i x="1799" s="1"/>
        <i x="1714" s="1"/>
        <i x="1285" s="1"/>
        <i x="2272" s="1"/>
        <i x="509" s="1"/>
        <i x="2332" s="1"/>
        <i x="759" s="1"/>
        <i x="341" s="1"/>
        <i x="950" s="1"/>
        <i x="895" s="1"/>
        <i x="1539" s="1"/>
        <i x="2746" s="1"/>
        <i x="2220" s="1"/>
        <i x="2072" s="1"/>
        <i x="311" s="1"/>
        <i x="2041" s="1"/>
        <i x="904" s="1"/>
        <i x="102" s="1"/>
        <i x="1851" s="1"/>
        <i x="2730" s="1"/>
        <i x="2417" s="1"/>
        <i x="775" s="1"/>
        <i x="2183" s="1"/>
        <i x="1615" s="1"/>
        <i x="1476" s="1"/>
        <i x="2627" s="1"/>
        <i x="608" s="1"/>
        <i x="1276" s="1"/>
        <i x="685" s="1"/>
        <i x="1332" s="1"/>
        <i x="2725" s="1"/>
        <i x="1927" s="1"/>
        <i x="1613" s="1"/>
        <i x="2744" s="1"/>
        <i x="1549" s="1"/>
        <i x="1550" s="1"/>
        <i x="1912" s="1"/>
        <i x="1965" s="1"/>
        <i x="793" s="1"/>
        <i x="1061" s="1"/>
        <i x="1423" s="1"/>
        <i x="2137" s="1"/>
        <i x="1757" s="1"/>
        <i x="753" s="1"/>
        <i x="2414" s="1"/>
        <i x="2320" s="1"/>
        <i x="2439" s="1"/>
        <i x="1215" s="1"/>
        <i x="1424" s="1"/>
        <i x="2586" s="1"/>
        <i x="811" s="1"/>
        <i x="1736" s="1"/>
        <i x="2261" s="1"/>
        <i x="2319" s="1"/>
        <i x="910" s="1"/>
        <i x="2717" s="1"/>
        <i x="1125" s="1"/>
        <i x="2727" s="1"/>
        <i x="922" s="1"/>
        <i x="674" s="1"/>
        <i x="1199" s="1"/>
        <i x="912" s="1"/>
        <i x="2498" s="1"/>
        <i x="2147" s="1"/>
        <i x="1732" s="1"/>
        <i x="203" s="1"/>
        <i x="903" s="1"/>
        <i x="1902" s="1"/>
        <i x="1811" s="1"/>
        <i x="2487" s="1"/>
        <i x="1837" s="1"/>
        <i x="2360" s="1"/>
        <i x="2317" s="1"/>
        <i x="1865" s="1"/>
        <i x="1917" s="1"/>
        <i x="2635" s="1"/>
        <i x="1251" s="1"/>
        <i x="1378" s="1"/>
        <i x="942" s="1"/>
        <i x="2534" s="1"/>
        <i x="1858" s="1"/>
        <i x="2255" s="1"/>
        <i x="1344" s="1"/>
        <i x="2413" s="1"/>
        <i x="1277" s="1"/>
        <i x="2150" s="1"/>
        <i x="1547" s="1"/>
        <i x="2334" s="1"/>
        <i x="2754" s="1"/>
        <i x="2376" s="1"/>
        <i x="603" s="1"/>
        <i x="2517" s="1"/>
        <i x="2195" s="1"/>
        <i x="2434" s="1"/>
        <i x="1869" s="1"/>
        <i x="1324" s="1"/>
        <i x="346" s="1"/>
        <i x="2652" s="1"/>
        <i x="2013" s="1"/>
        <i x="1417" s="1"/>
        <i x="2421" s="1"/>
        <i x="799" s="1"/>
        <i x="1408" s="1"/>
        <i x="2277" s="1"/>
        <i x="1819" s="1"/>
        <i x="1428" s="1"/>
        <i x="2427" s="1"/>
        <i x="402" s="1"/>
        <i x="424" s="1"/>
        <i x="183" s="1"/>
        <i x="2058" s="1"/>
        <i x="125" s="1"/>
        <i x="2130" s="1"/>
        <i x="2393" s="1"/>
        <i x="1963" s="1"/>
        <i x="2370" s="1"/>
        <i x="1967" s="1"/>
        <i x="1331" s="1"/>
        <i x="2034" s="1"/>
        <i x="1918" s="1"/>
        <i x="970" s="1"/>
        <i x="2333" s="1"/>
        <i x="1972" s="1"/>
        <i x="800" s="1"/>
        <i x="938" s="1"/>
        <i x="1415" s="1"/>
        <i x="1815" s="1"/>
        <i x="1867" s="1"/>
        <i x="2224" s="1"/>
        <i x="1905" s="1"/>
        <i x="2093" s="1"/>
        <i x="2449" s="1"/>
        <i x="804" s="1"/>
        <i x="2569" s="1"/>
        <i x="2090" s="1"/>
        <i x="1802" s="1"/>
        <i x="2089" s="1"/>
        <i x="1511" s="1"/>
        <i x="2745" s="1"/>
        <i x="1382" s="1"/>
        <i x="1925" s="1"/>
        <i x="894" s="1"/>
        <i x="1052" s="1"/>
        <i x="1375" s="1"/>
        <i x="2612" s="1"/>
        <i x="1970" s="1"/>
        <i x="908" s="1"/>
        <i x="1982" s="1"/>
        <i x="1440" s="1"/>
        <i x="1193" s="1"/>
        <i x="1866" s="1"/>
        <i x="2556" s="1"/>
        <i x="936" s="1"/>
        <i x="944" s="1"/>
        <i x="2327" s="1"/>
        <i x="2095" s="1"/>
        <i x="1487" s="1"/>
        <i x="841" s="1"/>
        <i x="2712" s="1"/>
        <i x="423" s="1"/>
        <i x="2462" s="1"/>
        <i x="2537" s="1"/>
        <i x="340" s="1"/>
        <i x="1665" s="1"/>
        <i x="2324" s="1"/>
        <i x="2377" s="1"/>
        <i x="2623" s="1"/>
        <i x="2214" s="1"/>
        <i x="791" s="1"/>
        <i x="493" s="1"/>
        <i x="2371" s="1"/>
        <i x="1840" s="1"/>
        <i x="1283" s="1"/>
        <i x="935" s="1"/>
        <i x="2732" s="1"/>
        <i x="1643" s="1"/>
        <i x="2701" s="1"/>
        <i x="2097" s="1"/>
        <i x="2088" s="1"/>
        <i x="780" s="1"/>
        <i x="1653" s="1"/>
        <i x="2192" s="1"/>
        <i x="1829" s="1"/>
        <i x="1393" s="1"/>
        <i x="2742" s="1"/>
        <i x="1807" s="1"/>
        <i x="770" s="1"/>
        <i x="2755" s="1"/>
        <i x="1334" s="1"/>
        <i x="435" s="1"/>
        <i x="1380" s="1"/>
        <i x="2475" s="1"/>
        <i x="761" s="1"/>
        <i x="1585" s="1"/>
        <i x="2364" s="1"/>
        <i x="798" s="1"/>
        <i x="1758" s="1"/>
        <i x="1788" s="1"/>
        <i x="2263" s="1"/>
        <i x="1348" s="1"/>
        <i x="1557" s="1"/>
        <i x="2227" s="1"/>
        <i x="613" s="1"/>
        <i x="2461" s="1"/>
        <i x="2566" s="1"/>
        <i x="2424" s="1"/>
        <i x="2747" s="1"/>
        <i x="2629" s="1"/>
        <i x="496" s="1"/>
        <i x="1824" s="1"/>
        <i x="2762" s="1"/>
        <i x="1410" s="1"/>
        <i x="2246" s="1"/>
        <i x="1072" s="1"/>
        <i x="2411" s="1"/>
        <i x="1900" s="1"/>
        <i x="499" s="1"/>
        <i x="2087" s="1"/>
        <i x="388" s="1"/>
        <i x="764" s="1"/>
        <i x="1381" s="1"/>
        <i x="1604" s="1"/>
        <i x="367" s="1"/>
        <i x="392" s="1"/>
        <i x="594" s="1"/>
        <i x="760" s="1"/>
        <i x="2245" s="1"/>
        <i x="2006" s="1"/>
        <i x="1671" s="1"/>
        <i x="2723" s="1"/>
        <i x="2473" s="1"/>
        <i x="2226" s="1"/>
        <i x="751" s="1"/>
        <i x="1823" s="1"/>
        <i x="1433" s="1"/>
        <i x="1667" s="1"/>
        <i x="1054" s="1"/>
        <i x="2514" s="1"/>
        <i x="1458" s="1"/>
        <i x="1074" s="1"/>
        <i x="702" s="1"/>
        <i x="795" s="1"/>
        <i x="1852" s="1"/>
        <i x="1733" s="1"/>
        <i x="1890" s="1"/>
        <i x="2286" s="1"/>
        <i x="8" s="1"/>
        <i x="1647" s="1"/>
        <i x="1968" s="1"/>
        <i x="1093" s="1"/>
        <i x="2493" s="1"/>
        <i x="1189" s="1"/>
        <i x="2243" s="1"/>
        <i x="1605" s="1"/>
        <i x="2127" s="1"/>
        <i x="1684" s="1"/>
        <i x="1190" s="1"/>
        <i x="1738" s="1"/>
        <i x="474" s="1"/>
        <i x="2741" s="1"/>
        <i x="1314" s="1"/>
        <i x="2558" s="1"/>
        <i x="1546" s="1"/>
        <i x="2734" s="1"/>
        <i x="2248" s="1"/>
        <i x="758" s="1"/>
        <i x="1658" s="1"/>
        <i x="1330" s="1"/>
        <i x="667" s="1"/>
        <i x="2304" s="1"/>
        <i x="816" s="1"/>
        <i x="1267" s="1"/>
        <i x="2650" s="1"/>
        <i x="746" s="1"/>
        <i x="2667" s="1"/>
        <i x="1844" s="1"/>
        <i x="2190" s="1"/>
        <i x="915" s="1"/>
        <i x="2062" s="1"/>
        <i x="723" s="1"/>
        <i x="2689" s="1"/>
        <i x="809" s="1"/>
        <i x="1501" s="1"/>
        <i x="380" s="1"/>
        <i x="1342" s="1"/>
        <i x="1486" s="1"/>
        <i x="919" s="1"/>
        <i x="2391" s="1"/>
        <i x="1730" s="1"/>
        <i x="1184" s="1"/>
        <i x="1609" s="1"/>
        <i x="2451" s="1"/>
        <i x="76" s="1"/>
        <i x="779" s="1"/>
        <i x="2756" s="1"/>
        <i x="1070" s="1"/>
        <i x="2470" s="1"/>
        <i x="1883" s="1"/>
        <i x="964" s="1"/>
        <i x="1493" s="1"/>
        <i x="2274" s="1"/>
        <i x="781" s="1"/>
        <i x="1273" s="1"/>
        <i x="1478" s="1"/>
        <i x="2372" s="1"/>
        <i x="868" s="1"/>
        <i x="2759" s="1"/>
        <i x="2121" s="1"/>
        <i x="945" s="1"/>
        <i x="1095" s="1"/>
        <i x="1813" s="1"/>
        <i x="2700" s="1"/>
        <i x="433" s="1"/>
        <i x="2038" s="1"/>
        <i x="1453" s="1"/>
        <i x="351" s="1"/>
        <i x="297" s="1"/>
        <i x="2544" s="1"/>
        <i x="1588" s="1"/>
        <i x="684" s="1"/>
        <i x="1559" s="1"/>
        <i x="966" s="1"/>
        <i x="2209" s="1"/>
        <i x="672" s="1"/>
        <i x="1657" s="1"/>
        <i x="734" s="1"/>
        <i x="1081" s="1"/>
        <i x="1177" s="1"/>
        <i x="1172" s="1"/>
        <i x="2092" s="1"/>
        <i x="1409" s="1"/>
        <i x="1437" s="1"/>
        <i x="687" s="1"/>
        <i x="1464" s="1"/>
        <i x="2045" s="1"/>
        <i x="1666" s="1"/>
        <i x="2749" s="1"/>
        <i x="208" s="1"/>
        <i x="2266" s="1"/>
        <i x="1817" s="1"/>
        <i x="2384" s="1"/>
        <i x="691" s="1"/>
        <i x="1977" s="1"/>
        <i x="1426" s="1"/>
        <i x="2253" s="1"/>
        <i x="2380" s="1"/>
        <i x="2471" s="1"/>
        <i x="154" s="1"/>
        <i x="344" s="1"/>
        <i x="1455" s="1"/>
        <i x="2720" s="1"/>
        <i x="498" s="1"/>
        <i x="1926" s="1"/>
        <i x="2267" s="1"/>
        <i x="495" s="1"/>
        <i x="1505" s="1"/>
        <i x="1554" s="1"/>
        <i x="1610" s="1"/>
        <i x="940" s="1"/>
        <i x="2570" s="1"/>
        <i x="1429" s="1"/>
        <i x="1326" s="1"/>
        <i x="2228" s="1"/>
        <i x="2541" s="1"/>
        <i x="2201" s="1"/>
        <i x="2181" s="1"/>
        <i x="2577" s="1"/>
        <i x="1113" s="1"/>
        <i x="676" s="1"/>
        <i x="1669" s="1"/>
        <i x="2200" s="1"/>
        <i x="2229" s="1"/>
        <i x="1821" s="1"/>
        <i x="1827" s="1"/>
        <i x="11" s="1"/>
        <i x="1979" s="1"/>
        <i x="2640" s="1"/>
        <i x="2378" s="1"/>
        <i x="2187" s="1"/>
        <i x="1435" s="1"/>
        <i x="2430" s="1"/>
        <i x="1258" s="1"/>
        <i x="1896" s="1"/>
        <i x="1826" s="1"/>
        <i x="1286" s="1"/>
        <i x="2289" s="1"/>
        <i x="1742" s="1"/>
        <i x="1600" s="1"/>
        <i x="1718" s="1"/>
        <i x="1845" s="1"/>
        <i x="2217" s="1"/>
        <i x="2561" s="1"/>
        <i x="2504" s="1"/>
        <i x="805" s="1"/>
        <i x="2515" s="1"/>
        <i x="494" s="1"/>
        <i x="1374" s="1"/>
        <i x="2698" s="1"/>
        <i x="511" s="1"/>
        <i x="2129" s="1"/>
        <i x="1504" s="1"/>
        <i x="1407" s="1"/>
        <i x="2016" s="1"/>
        <i x="2548" s="1"/>
        <i x="2492" s="1"/>
        <i x="1309" s="1"/>
        <i x="1930" s="1"/>
        <i x="1746" s="1"/>
        <i x="681" s="1"/>
        <i x="2658" s="1"/>
        <i x="1406" s="1"/>
        <i x="1555" s="1"/>
        <i x="1479" s="1"/>
        <i x="2126" s="1"/>
        <i x="2597" s="1"/>
        <i x="301" s="1"/>
        <i x="2262" s="1"/>
        <i x="1923" s="1"/>
        <i x="1655" s="1"/>
        <i x="1360" s="1"/>
        <i x="477" s="1"/>
        <i x="1594" s="1"/>
        <i x="50" s="1"/>
        <i x="1066" s="1"/>
        <i x="2739" s="1"/>
        <i x="2247" s="1"/>
        <i x="1398" s="1"/>
        <i x="2204" s="1"/>
        <i x="512" s="1"/>
        <i x="665" s="1"/>
        <i x="2549" s="1"/>
        <i x="1859" s="1"/>
        <i x="1439" s="1"/>
        <i x="2256" s="1"/>
        <i x="1914" s="1"/>
        <i x="24" s="1"/>
        <i x="2117" s="1"/>
        <i x="1884" s="1"/>
        <i x="212" s="1"/>
        <i x="2686" s="1"/>
        <i x="731" s="1"/>
        <i x="1304" s="1"/>
        <i x="2374" s="1"/>
        <i x="1563" s="1"/>
        <i x="1717" s="1"/>
        <i x="1109" s="1"/>
        <i x="2219" s="1"/>
        <i x="1857" s="1"/>
        <i x="2367" s="1"/>
        <i x="2543" s="1"/>
        <i x="1797" s="1"/>
        <i x="302" s="1"/>
        <i x="501" s="1"/>
        <i x="2536" s="1"/>
        <i x="1644" s="1"/>
        <i x="2138" s="1"/>
        <i x="1098" s="1"/>
        <i x="604" s="1"/>
        <i x="235" s="1"/>
        <i x="2697" s="1"/>
        <i x="439" s="1"/>
        <i x="1127" s="1"/>
        <i x="2375" s="1"/>
        <i x="2110" s="1"/>
        <i x="1591" s="1"/>
        <i x="2143" s="1"/>
        <i x="2146" s="1"/>
        <i x="2728" s="1"/>
        <i x="2064" s="1"/>
        <i x="2310" s="1"/>
        <i x="1494" s="1"/>
        <i x="1068" s="1"/>
        <i x="1259" s="1"/>
        <i x="1312" s="1"/>
        <i x="2403" s="1"/>
        <i x="1082" s="1"/>
        <i x="2507" s="1"/>
        <i x="2699" s="1"/>
        <i x="1183" s="1"/>
        <i x="954" s="1"/>
        <i x="2645" s="1"/>
        <i x="1325" s="1"/>
        <i x="677" s="1"/>
        <i x="2314" s="1"/>
        <i x="1904" s="1"/>
        <i x="1928" s="1"/>
        <i x="299" s="1"/>
        <i x="6" s="1"/>
        <i x="1209" s="1"/>
        <i x="2538" s="1"/>
        <i x="1252" s="1"/>
        <i x="1115" s="1"/>
        <i x="2709" s="1"/>
        <i x="879" s="1"/>
        <i x="408" s="1"/>
        <i x="530" s="1"/>
        <i x="488" s="1"/>
        <i x="204" s="1"/>
        <i x="1913" s="1"/>
        <i x="2291" s="1"/>
        <i x="490" s="1"/>
        <i x="972" s="1"/>
        <i x="1649" s="1"/>
        <i x="410" s="1"/>
        <i x="2668" s="1"/>
        <i x="453" s="1"/>
        <i x="2714" s="1"/>
        <i x="1246" s="1"/>
        <i x="362" s="1"/>
        <i x="1477" s="1"/>
        <i x="2479" s="1"/>
        <i x="1660" s="1"/>
        <i x="2444" s="1"/>
        <i x="1451" s="1"/>
        <i x="2366" s="1"/>
        <i x="1208" s="1"/>
        <i x="947" s="1"/>
        <i x="1108" s="1"/>
        <i x="869" s="1"/>
        <i x="763" s="1"/>
        <i x="2429" s="1"/>
        <i x="2422" s="1"/>
        <i x="2221" s="1"/>
        <i x="2694" s="1"/>
        <i x="2663" s="1"/>
        <i x="366" s="1"/>
        <i x="1864" s="1"/>
        <i x="2665" s="1"/>
        <i x="1338" s="1"/>
        <i x="2423" s="1"/>
        <i x="2043" s="1"/>
        <i x="1055" s="1"/>
        <i x="1372" s="1"/>
        <i x="182" s="1"/>
        <i x="1443" s="1"/>
        <i x="1492" s="1"/>
        <i x="2553" s="1"/>
        <i x="2483" s="1"/>
        <i x="2733" s="1"/>
        <i x="2445" s="1"/>
        <i x="1400" s="1"/>
        <i x="331" s="1"/>
        <i x="2512" s="1"/>
        <i x="750" s="1"/>
        <i x="937" s="1"/>
        <i x="2102" s="1"/>
        <i x="2681" s="1"/>
        <i x="348" s="1"/>
        <i x="2519" s="1"/>
        <i x="16" s="1"/>
        <i x="1880" s="1"/>
        <i x="1192" s="1"/>
        <i x="1180" s="1"/>
        <i x="2435" s="1"/>
        <i x="2299" s="1"/>
        <i x="666" s="1"/>
        <i x="2032" s="1"/>
        <i x="1729" s="1"/>
        <i x="1121" s="1"/>
        <i x="533" s="1"/>
        <i x="1806" s="1"/>
        <i x="1726" s="1"/>
        <i x="876" s="1"/>
        <i x="2551" s="1"/>
        <i x="1278" s="1"/>
        <i x="462" s="1"/>
        <i x="2488" s="1"/>
        <i x="788" s="1"/>
        <i x="1484" s="1"/>
        <i x="2078" s="1"/>
        <i x="1908" s="1"/>
        <i x="2189" s="1"/>
        <i x="1683" s="1"/>
        <i x="983" s="1"/>
        <i x="1533" s="1"/>
        <i x="126" s="1"/>
        <i x="2231" s="1"/>
        <i x="1187" s="1"/>
        <i x="2302" s="1"/>
        <i x="2254" s="1"/>
        <i x="907" s="1"/>
        <i x="1664" s="1"/>
        <i x="1463" s="1"/>
        <i x="1551" s="1"/>
        <i x="1339" s="1"/>
        <i x="605" s="1"/>
        <i x="2116" s="1"/>
        <i x="1456" s="1"/>
        <i x="2436" s="1"/>
        <i x="2139" s="1"/>
        <i x="2269" s="1"/>
        <i x="2540" s="1"/>
        <i x="748" s="1"/>
        <i x="1673" s="1"/>
        <i x="2583" s="1"/>
        <i x="1461" s="1"/>
        <i x="1640" s="1"/>
        <i x="901" s="1"/>
        <i x="2703" s="1"/>
        <i x="1120" s="1"/>
        <i x="2343" s="1"/>
        <i x="2454" s="1"/>
        <i x="1090" s="1"/>
        <i x="1499" s="1"/>
        <i x="2495" s="1"/>
        <i x="776" s="1"/>
        <i x="2394" s="1"/>
        <i x="228" s="1"/>
        <i x="2655" s="1"/>
        <i x="2107" s="1"/>
        <i x="1473" s="1"/>
        <i x="1438" s="1"/>
        <i x="2713" s="1"/>
        <i x="792" s="1"/>
        <i x="1980" s="1"/>
        <i x="406" s="1"/>
        <i x="1737" s="1"/>
        <i x="2619" s="1"/>
        <i x="352" s="1"/>
        <i x="2748" s="1"/>
        <i x="401" s="1"/>
        <i x="1201" s="1"/>
        <i x="202" s="1"/>
        <i x="2591" s="1"/>
        <i x="2242" s="1"/>
        <i x="1397" s="1"/>
        <i x="121" s="1"/>
        <i x="2287" s="1"/>
        <i x="1336" s="1"/>
        <i x="386" s="1"/>
        <i x="1268" s="1"/>
        <i x="933" s="1"/>
        <i x="2428" s="1"/>
        <i x="2506" s="1"/>
        <i x="745" s="1"/>
        <i x="444" s="1"/>
        <i x="2527" s="1"/>
        <i x="2134" s="1"/>
        <i x="240" s="1"/>
        <i x="285" s="1"/>
        <i x="2466" s="1"/>
        <i x="2356" s="1"/>
        <i x="1971" s="1"/>
        <i x="1383" s="1"/>
        <i x="918" s="1"/>
        <i x="2329" s="1"/>
        <i x="2572" s="1"/>
        <i x="1745" s="1"/>
        <i x="1085" s="1"/>
        <i x="2486" s="1"/>
        <i x="991" s="1"/>
        <i x="1556" s="1"/>
        <i x="2704" s="1"/>
        <i x="2468" s="1"/>
        <i x="2125" s="1"/>
        <i x="1502" s="1"/>
        <i x="1856" s="1"/>
        <i x="1722" s="1"/>
        <i x="2592" s="1"/>
        <i x="2531" s="1"/>
        <i x="73" s="1"/>
        <i x="540" s="1"/>
        <i x="953" s="1"/>
        <i x="1744" s="1"/>
        <i x="2071" s="1"/>
        <i x="1106" s="1"/>
        <i x="2453" s="1"/>
        <i x="1751" s="1"/>
        <i x="131" s="1"/>
        <i x="1" s="1"/>
        <i x="955" s="1"/>
        <i x="2657" s="1"/>
        <i x="1097" s="1"/>
        <i x="360" s="1"/>
        <i x="1631" s="1"/>
        <i x="1227" s="1"/>
        <i x="2415" s="1"/>
        <i x="546" s="1"/>
        <i x="1434" s="1"/>
        <i x="1579" s="1"/>
        <i x="357" s="1"/>
        <i x="1749" s="1"/>
        <i x="2252" s="1"/>
        <i x="2122" s="1"/>
        <i x="1870" s="1"/>
        <i x="941" s="1"/>
        <i x="54" s="1"/>
        <i x="1875" s="1"/>
        <i x="2452" s="1"/>
        <i x="870" s="1"/>
        <i x="744" s="1"/>
        <i x="1803" s="1"/>
        <i x="2066" s="1"/>
        <i x="1986" s="1"/>
        <i x="2264" s="1"/>
        <i x="430" s="1"/>
        <i x="2223" s="1"/>
        <i x="2015" s="1"/>
        <i x="1553" s="1"/>
        <i x="951" s="1"/>
        <i x="562" s="1"/>
        <i x="1376" s="1"/>
        <i x="407" s="1"/>
        <i x="784" s="1"/>
        <i x="2611" s="1"/>
        <i x="2642" s="1"/>
        <i x="796" s="1"/>
        <i x="1648" s="1"/>
        <i x="2431" s="1"/>
        <i x="180" s="1"/>
        <i x="930" s="1"/>
        <i x="2595" s="1"/>
        <i x="2671" s="1"/>
        <i x="989" s="1"/>
        <i x="1191" s="1"/>
        <i x="2387" s="1"/>
        <i x="856" s="1"/>
        <i x="1794" s="1"/>
        <i x="1734" s="1"/>
        <i x="2114" s="1"/>
        <i x="1681" s="1"/>
        <i x="2446" s="1"/>
        <i x="2296" s="1"/>
        <i x="1264" s="1"/>
        <i x="2420" s="1"/>
        <i x="393" s="1"/>
        <i x="1084" s="1"/>
        <i x="2068" s="1"/>
        <i x="747" s="1"/>
        <i x="777" s="1"/>
        <i x="2336" s="1"/>
        <i x="1030" s="1"/>
        <i x="1444" s="1"/>
        <i x="1969" s="1"/>
        <i x="354" s="1"/>
        <i x="1984" s="1"/>
        <i x="1107" s="1"/>
        <i x="1542" s="1"/>
        <i x="2241" s="1"/>
        <i x="861" s="1"/>
        <i x="151" s="1"/>
        <i x="1196" s="1"/>
        <i x="64" s="1"/>
        <i x="2682" s="1"/>
        <i x="572" s="1"/>
        <i x="2369" s="1"/>
        <i x="2149" s="1"/>
        <i x="295" s="1"/>
        <i x="928" s="1"/>
        <i x="349" s="1"/>
        <i x="2448" s="1"/>
        <i x="2684" s="1"/>
        <i x="963" s="1"/>
        <i x="905" s="1"/>
        <i x="0" s="1"/>
        <i x="1508" s="1"/>
        <i x="2037" s="1"/>
        <i x="2152" s="1"/>
        <i x="1686" s="1"/>
        <i x="1038" s="1"/>
        <i x="1843" s="1"/>
        <i x="1315" s="1"/>
        <i x="2559" s="1"/>
        <i x="2654" s="1"/>
        <i x="2673" s="1"/>
        <i x="1879" s="1"/>
        <i x="2706" s="1"/>
        <i x="1860" s="1"/>
        <i x="1663" s="1"/>
        <i x="2412" s="1"/>
        <i x="67" s="1"/>
        <i x="2135" s="1"/>
        <i x="609" s="1"/>
        <i x="1938" s="1"/>
        <i x="2225" s="1"/>
        <i x="786" s="1"/>
        <i x="116" s="1"/>
        <i x="1431" s="1"/>
        <i x="767" s="1"/>
        <i x="1175" s="1"/>
        <i x="2547" s="1"/>
        <i x="2017" s="1"/>
        <i x="2077" s="1"/>
        <i x="2094" s="1"/>
        <i x="2690" s="1"/>
        <i x="1454" s="1"/>
        <i x="2011" s="1"/>
        <i x="949" s="1"/>
        <i x="536" s="1"/>
        <i x="2480" s="1"/>
        <i x="1425" s="1"/>
        <i x="1617" s="1"/>
        <i x="2489" s="1"/>
        <i x="2494" s="1"/>
        <i x="2346" s="1"/>
        <i x="178" s="1"/>
        <i x="1957" s="1"/>
        <i x="1948" s="1"/>
        <i x="1847" s="1"/>
        <i x="534" s="1"/>
        <i x="225" s="1"/>
        <i x="2490" s="1"/>
        <i x="1581" s="1"/>
        <i x="2621" s="1"/>
        <i x="1974" s="1"/>
        <i x="2687" s="1"/>
        <i x="234" s="1"/>
        <i x="478" s="1"/>
        <i x="2695" s="1"/>
        <i x="909" s="1"/>
        <i x="610" s="1"/>
        <i x="2672" s="1"/>
        <i x="2622" s="1"/>
        <i x="2676" s="1"/>
        <i x="1622" s="1"/>
        <i x="1558" s="1"/>
        <i x="1652" s="1"/>
        <i x="2580" s="1"/>
        <i x="914" s="1"/>
        <i x="2020" s="1"/>
        <i x="882" s="1"/>
        <i x="409" s="1"/>
        <i x="1711" s="1"/>
        <i x="2234" s="1"/>
        <i x="99" s="1"/>
        <i x="1041" s="1"/>
        <i x="119" s="1"/>
        <i x="1471" s="1"/>
        <i x="2523" s="1"/>
        <i x="1855" s="1"/>
        <i x="1087" s="1"/>
        <i x="1973" s="1"/>
        <i x="45" s="1"/>
        <i x="1985" s="1"/>
        <i x="962" s="1"/>
        <i x="62" s="1"/>
        <i x="1118" s="1"/>
        <i x="378" s="1"/>
        <i x="2467" s="1"/>
        <i x="2634" s="1"/>
        <i x="1810" s="1"/>
        <i x="2550" s="1"/>
        <i x="1292" s="1"/>
        <i x="1221" s="1"/>
        <i x="1871" s="1"/>
        <i x="61" s="1"/>
        <i x="2463" s="1"/>
        <i x="2662" s="1"/>
        <i x="2457" s="1"/>
        <i x="839" s="1"/>
        <i x="1112" s="1"/>
        <i x="1882" s="1"/>
        <i x="238" s="1"/>
        <i x="2275" s="1"/>
        <i x="601" s="1"/>
        <i x="334" s="1"/>
        <i x="1091" s="1"/>
        <i x="2249" s="1"/>
        <i x="824" s="1"/>
        <i x="690" s="1"/>
        <i x="123" s="1"/>
        <i x="1747" s="1"/>
        <i x="502" s="1"/>
        <i x="1801" s="1"/>
        <i x="452" s="1"/>
        <i x="2347" s="1"/>
        <i x="2270" s="1"/>
        <i x="1933" s="1"/>
        <i x="815" s="1"/>
        <i x="974" s="1"/>
        <i x="363" s="1"/>
        <i x="1791" s="1"/>
        <i x="2115" s="1"/>
        <i x="739" s="1"/>
        <i x="1394" s="1"/>
        <i x="2510" s="1"/>
        <i x="1057" s="1"/>
        <i x="2024" s="1"/>
        <i x="1377" s="1"/>
        <i x="769" s="1"/>
        <i x="520" s="1"/>
        <i x="2401" s="1"/>
        <i x="1854" s="1"/>
        <i x="1916" s="1"/>
        <i x="1253" s="1"/>
        <i x="2357" s="1"/>
        <i x="743" s="1"/>
        <i x="2552" s="1"/>
        <i x="2390" s="1"/>
        <i x="1654" s="1"/>
        <i x="1103" s="1"/>
        <i x="1079" s="1"/>
        <i x="2106" s="1"/>
        <i x="305" s="1"/>
        <i x="2533" s="1"/>
        <i x="2464" s="1"/>
        <i x="332" s="1"/>
        <i x="2526" s="1"/>
        <i x="475" s="1"/>
        <i x="1820" s="1"/>
        <i x="592" s="1"/>
        <i x="2295" s="1"/>
        <i x="322" s="1"/>
        <i x="2341" s="1"/>
        <i x="782" s="1"/>
        <i x="1182" s="1"/>
        <i x="405" s="1"/>
        <i x="2373" s="1"/>
        <i x="1102" s="1"/>
        <i x="591" s="1"/>
        <i x="2618" s="1"/>
        <i x="2215" s="1"/>
        <i x="1954" s="1"/>
        <i x="960" s="1"/>
        <i x="2257" s="1"/>
        <i x="2354" s="1"/>
        <i x="576" s="1"/>
        <i x="273" s="1"/>
        <i x="2711" s="1"/>
        <i x="2080" s="1"/>
        <i x="1889" s="1"/>
        <i x="1626" s="1"/>
        <i x="1552" s="1"/>
        <i x="2128" s="1"/>
        <i x="1541" s="1"/>
        <i x="1036" s="1"/>
        <i x="1178" s="1"/>
        <i x="515" s="1"/>
        <i x="843" s="1"/>
        <i x="1949" s="1"/>
        <i x="1804" s="1"/>
        <i x="2259" s="1"/>
        <i x="637" s="1"/>
        <i x="2674" s="1"/>
        <i x="778" s="1"/>
        <i x="2271" s="1"/>
        <i x="2637" s="1"/>
        <i x="2624" s="1"/>
        <i x="1931" s="1"/>
        <i x="2191" s="1"/>
        <i x="2005" s="1"/>
        <i x="2083" s="1"/>
        <i x="2244" s="1"/>
        <i x="300" s="1"/>
        <i x="1910" s="1"/>
        <i x="1284" s="1"/>
        <i x="1572" s="1"/>
        <i x="749" s="1"/>
        <i x="72" s="1"/>
        <i x="2485" s="1"/>
        <i x="1146" s="1"/>
        <i x="2363" s="1"/>
        <i x="958" s="1"/>
        <i x="2031" s="1"/>
        <i x="2696" s="1"/>
        <i x="353" s="1"/>
        <i x="1822" s="1"/>
        <i x="470" s="1"/>
        <i x="2608" s="1"/>
        <i x="847" s="1"/>
        <i x="135" s="1"/>
        <i x="12" s="1"/>
        <i x="1633" s="1"/>
        <i x="136" s="1"/>
        <i x="789" s="1"/>
        <i x="1790" s="1"/>
        <i x="2567" s="1"/>
        <i x="2596" s="1"/>
        <i x="1650" s="1"/>
        <i x="686" s="1"/>
        <i x="1405" s="1"/>
        <i x="2680" s="1"/>
        <i x="725" s="1"/>
        <i x="23" s="1"/>
        <i x="1582" s="1"/>
        <i x="2757" s="1"/>
        <i x="2331" s="1"/>
        <i x="440" s="1"/>
        <i x="2046" s="1"/>
        <i x="2339" s="1"/>
        <i x="2395" s="1"/>
        <i x="859" s="1"/>
        <i x="2330" s="1"/>
        <i x="2111" s="1"/>
        <i x="2542" s="1"/>
        <i x="2212" s="1"/>
        <i x="394" s="1"/>
        <i x="853" s="1"/>
        <i x="2554" s="1"/>
        <i x="2692" s="1"/>
        <i x="2096" s="1"/>
        <i x="1873" s="1"/>
        <i x="658" s="1"/>
        <i x="2416" s="1"/>
        <i x="1962" s="1"/>
        <i x="336" s="1"/>
        <i x="2140" s="1"/>
        <i x="2649" s="1"/>
        <i x="2666" s="1"/>
        <i x="2070" s="1"/>
        <i x="2520" s="1"/>
        <i x="480" s="1"/>
        <i x="2288" s="1"/>
        <i x="469" s="1"/>
        <i x="946" s="1"/>
        <i x="1724" s="1"/>
        <i x="2386" s="1"/>
        <i x="2578" s="1"/>
        <i x="585" s="1"/>
        <i x="1418" s="1"/>
        <i x="1796" s="1"/>
        <i x="2670" s="1"/>
        <i x="2615" s="1"/>
        <i x="616" s="1"/>
        <i x="2614" s="1"/>
        <i x="1446" s="1"/>
        <i x="230" s="1"/>
        <i x="2659" s="1"/>
        <i x="2040" s="1"/>
        <i x="2145" s="1"/>
        <i x="623" s="1"/>
        <i x="1978" s="1"/>
        <i x="2328" s="1"/>
        <i x="1122" s="1"/>
        <i x="468" s="1"/>
        <i x="309" s="1"/>
        <i x="1370" s="1"/>
        <i x="2491" s="1"/>
        <i x="2388" s="1"/>
        <i x="2182" s="1"/>
        <i x="875" s="1"/>
        <i x="447" s="1"/>
        <i x="2607" s="1"/>
        <i x="1830" s="1"/>
        <i x="1662" s="1"/>
        <i x="55" s="1"/>
        <i x="1503" s="1"/>
        <i x="2437" s="1"/>
        <i x="1679" s="1"/>
        <i x="2098" s="1"/>
        <i x="2500" s="1"/>
        <i x="1832" s="1"/>
        <i x="368" s="1"/>
        <i x="1800" s="1"/>
        <i x="873" s="1"/>
        <i x="2297" s="1"/>
        <i x="934" s="1"/>
        <i x="1590" s="1"/>
        <i x="877" s="1"/>
        <i x="2294" s="1"/>
        <i x="1231" s="1"/>
        <i x="1708" s="1"/>
        <i x="1073" s="1"/>
        <i x="959" s="1"/>
        <i x="2054" s="1"/>
        <i x="2348" s="1"/>
        <i x="134" s="1"/>
        <i x="2705" s="1"/>
        <i x="927" s="1"/>
        <i x="1932" s="1"/>
        <i x="1046" s="1"/>
        <i x="1975" s="1"/>
        <i x="899" s="1"/>
        <i x="1266" s="1"/>
        <i x="427" s="1"/>
        <i x="1668" s="1"/>
        <i x="2447" s="1"/>
        <i x="926" s="1"/>
        <i x="595" s="1"/>
        <i x="1568" s="1"/>
        <i x="359" s="1"/>
        <i x="129" s="1"/>
        <i x="2521" s="1"/>
        <i x="1220" s="1"/>
        <i x="1402" s="1"/>
        <i x="531" s="1"/>
        <i x="464" s="1"/>
        <i x="1269" s="1"/>
        <i x="117" s="1"/>
        <i x="703" s="1"/>
        <i x="2679" s="1"/>
        <i x="1685" s="1"/>
        <i x="1272" s="1"/>
        <i x="373" s="1"/>
        <i x="1836" s="1"/>
        <i x="338" s="1"/>
        <i x="670" s="1"/>
        <i x="896" s="1"/>
        <i x="2079" s="1"/>
        <i x="1265" s="1"/>
        <i x="1966" s="1"/>
        <i x="771" s="1"/>
        <i x="210" s="1"/>
        <i x="1132" s="1"/>
        <i x="2677" s="1"/>
        <i x="602" s="1"/>
        <i x="1094" s="1"/>
        <i x="2352" s="1"/>
        <i x="1661" s="1"/>
        <i x="2237" s="1"/>
        <i x="2048" s="1"/>
        <i x="1133" s="1"/>
        <i x="211" s="1"/>
        <i x="1083" s="1"/>
        <i x="1618" s="1"/>
        <i x="708" s="1"/>
        <i x="2590" s="1"/>
        <i x="181" s="1"/>
        <i x="921" s="1"/>
        <i x="1202" s="1"/>
        <i x="535" s="1"/>
        <i x="2546" s="1"/>
        <i x="2306" s="1"/>
        <i x="120" s="1"/>
        <i x="2693" s="1"/>
        <i x="2516" s="1"/>
        <i x="1379" s="1"/>
        <i x="1445" s="1"/>
        <i x="174" s="1"/>
        <i x="139" s="1"/>
        <i x="2656" s="1"/>
        <i x="943" s="1"/>
        <i x="1414" s="1"/>
        <i x="981" s="1"/>
        <i x="924" s="1"/>
        <i x="2651" s="1"/>
        <i x="1228" s="1"/>
        <i x="263" s="1"/>
        <i x="634" s="1"/>
        <i x="1639" s="1"/>
        <i x="221" s="1"/>
        <i x="823" s="1"/>
        <i x="1203" s="1"/>
        <i x="644" s="1"/>
        <i x="916" s="1"/>
        <i x="2359" s="1"/>
        <i x="2049" s="1"/>
        <i x="2478" s="1"/>
        <i x="1888" s="1"/>
        <i x="1656" s="1"/>
        <i x="1388" s="1"/>
        <i x="2653" s="1"/>
        <i x="1114" s="1"/>
        <i x="2398" s="1"/>
        <i x="2060" s="1"/>
        <i x="2499" s="1"/>
        <i x="2404" s="1"/>
        <i x="1834" s="1"/>
        <i x="5" s="1"/>
        <i x="925" s="1"/>
        <i x="339" s="1"/>
        <i x="1399" s="1"/>
        <i x="2476" s="1"/>
        <i x="1841" s="1"/>
        <i x="1144" s="1"/>
        <i x="2410" s="1"/>
        <i x="1282" s="1"/>
        <i x="111" s="1"/>
        <i x="1507" s="1"/>
        <i x="1560" s="1"/>
        <i x="292" s="1"/>
        <i x="1623" s="1"/>
        <i x="1608" s="1"/>
        <i x="1497" s="1"/>
        <i x="118" s="1"/>
        <i x="1078" s="1"/>
        <i x="785" s="1"/>
        <i x="2678" s="1"/>
        <i x="632" s="1"/>
        <i x="1808" s="1"/>
        <i x="1628" s="1"/>
        <i x="2084" s="1"/>
        <i x="2631" s="1"/>
        <i x="887" s="1"/>
        <i x="2101" s="1"/>
        <i x="880" s="1"/>
        <i x="2432" s="1"/>
        <i x="846" s="1"/>
        <i x="2047" s="1"/>
        <i x="2484" s="1"/>
        <i x="1725" s="1"/>
        <i x="483" s="1"/>
        <i x="1117" s="1"/>
        <i x="137" s="1"/>
        <i x="2426" s="1"/>
        <i x="1086" s="1"/>
        <i x="257" s="1"/>
        <i x="370" s="1"/>
        <i x="2279" s="1"/>
        <i x="2402" s="1"/>
        <i x="398" s="1"/>
        <i x="1469" s="1"/>
        <i x="975" s="1"/>
        <i x="2136" s="1"/>
        <i x="1359" s="1"/>
        <i x="1319" s="1"/>
        <i x="206" s="1"/>
        <i x="1293" s="1"/>
        <i x="1059" s="1"/>
        <i x="2065" s="1"/>
        <i x="1261" s="1"/>
        <i x="421" s="1"/>
        <i x="1543" s="1"/>
        <i x="889" s="1"/>
        <i x="2555" s="1"/>
        <i x="1828" s="1"/>
        <i x="2039" s="1"/>
        <i x="2587" s="1"/>
        <i x="833" s="1"/>
        <i x="1287" s="1"/>
        <i x="956" s="1"/>
        <i x="2086" s="1"/>
        <i x="1351" s="1"/>
        <i x="179" s="1"/>
        <i x="231" s="1"/>
        <i x="1562" s="1"/>
        <i x="1254" s="1"/>
        <i x="1002" s="1"/>
        <i x="2119" s="1"/>
        <i x="1205" s="1"/>
        <i x="611" s="1"/>
        <i x="2292" s="1"/>
        <i x="1241" s="1"/>
        <i x="1260" s="1"/>
        <i x="1289" s="1"/>
        <i x="726" s="1"/>
        <i x="985" s="1"/>
        <i x="358" s="1"/>
        <i x="699" s="1"/>
        <i x="2100" s="1"/>
        <i x="1500" s="1"/>
        <i x="2628" s="1"/>
        <i x="2568" s="1"/>
        <i x="2465" s="1"/>
        <i x="1878" s="1"/>
        <i x="1167" s="1"/>
        <i x="2280" s="1"/>
        <i x="1204" s="1"/>
        <i x="606" s="1"/>
        <i x="2050" s="1"/>
        <i x="736" s="1"/>
        <i x="1279" s="1"/>
        <i x="329" s="1"/>
        <i x="1130" s="1"/>
        <i x="1153" s="1"/>
        <i x="2575" s="1"/>
        <i x="978" s="1"/>
        <i x="2630" s="1"/>
        <i x="443" s="1"/>
        <i x="347" s="1"/>
        <i x="1548" s="1"/>
        <i x="1024" s="1"/>
        <i x="2405" s="1"/>
        <i x="2148" s="1"/>
        <i x="1515" s="1"/>
        <i x="1716" s="1"/>
        <i x="60" s="1"/>
        <i x="58" s="1"/>
        <i x="1833" s="1"/>
        <i x="100" s="1"/>
        <i x="2076" s="1"/>
        <i x="1111" s="1"/>
        <i x="2112" s="1"/>
        <i x="650" s="1"/>
        <i x="581" s="1"/>
        <i x="2285" s="1"/>
        <i x="1067" s="1"/>
        <i x="825" s="1"/>
        <i x="980" s="1"/>
        <i x="2142" s="1"/>
        <i x="13" s="1"/>
        <i x="1616" s="1"/>
        <i x="2104" s="1"/>
        <i x="1534" s="1"/>
        <i x="612" s="1"/>
        <i x="290" s="1"/>
        <i x="2019" s="1"/>
        <i x="1919" s="1"/>
        <i x="1263" s="1"/>
        <i x="561" s="1"/>
        <i x="2335" s="1"/>
        <i x="485" s="1"/>
        <i x="1983" s="1"/>
        <i x="886" s="1"/>
        <i x="579" s="1"/>
        <i x="2179" s="1"/>
        <i x="2616" s="1"/>
        <i x="1459" s="1"/>
        <i x="2557" s="1"/>
        <i x="2588" s="1"/>
        <i x="2474" s="1"/>
        <i x="1886" s="1"/>
        <i x="830" s="1"/>
        <i x="1907" s="1"/>
        <i x="391" s="1"/>
        <i x="2154" s="1"/>
        <i x="635" s="1"/>
        <i x="1007" s="1"/>
        <i x="1170" s="1"/>
        <i x="476" s="1"/>
        <i x="1135" s="1"/>
        <i x="3" s="1"/>
        <i x="1390" s="1"/>
        <i x="2664" s="1"/>
        <i x="631" s="1"/>
        <i x="2067" s="1"/>
        <i x="69" s="1"/>
        <i x="990" s="1"/>
        <i x="2584" s="1"/>
        <i x="2511" s="1"/>
        <i x="445" s="1"/>
        <i x="701" s="1"/>
        <i x="692" s="1"/>
        <i x="817" s="1"/>
        <i x="716" s="1"/>
        <i x="2691" s="1"/>
        <i x="327" s="1"/>
        <i x="717" s="1"/>
        <i x="2014" s="1"/>
        <i x="1142" s="1"/>
        <i x="1262" s="1"/>
        <i x="607" s="1"/>
        <i x="2685" s="1"/>
        <i x="1229" s="1"/>
        <i x="1050" s="1"/>
        <i x="2710" s="1"/>
        <i x="986" s="1"/>
        <i x="593" s="1"/>
        <i x="272" s="1"/>
        <i x="1069" s="1"/>
        <i x="1570" s="1"/>
        <i x="1071" s="1"/>
        <i x="1218" s="1"/>
        <i x="1940" s="1"/>
        <i x="1635" s="1"/>
        <i x="436" s="1"/>
        <i x="730" s="1"/>
        <i x="207" s="1"/>
        <i x="2639" s="1"/>
        <i x="2026" s="1"/>
        <i x="415" s="1"/>
        <i x="101" s="1"/>
        <i x="1003" s="1"/>
        <i x="2496" s="1"/>
        <i x="2539" s="1"/>
        <i x="166" s="1"/>
        <i x="1987" s="1"/>
        <i x="484" s="1"/>
        <i x="714" s="1"/>
        <i x="773" s="1"/>
        <i x="2042" s="1"/>
        <i x="1674" s="1"/>
        <i x="599" s="1"/>
        <i x="307" s="1"/>
        <i x="923" s="1"/>
        <i x="112" s="1"/>
        <i x="148" s="1"/>
        <i x="2532" s="1"/>
        <i x="418" s="1"/>
        <i x="1496" s="1"/>
        <i x="1210" s="1"/>
        <i x="718" s="1"/>
        <i x="1092" s="1"/>
        <i x="1941" s="1"/>
        <i x="995" s="1"/>
        <i x="2438" s="1"/>
        <i x="2396" s="1"/>
        <i x="2392" s="1"/>
        <i x="260" s="1"/>
        <i x="2571" s="1"/>
        <i x="1881" s="1"/>
        <i x="259" s="1"/>
        <i x="1416" s="1"/>
        <i x="834" s="1"/>
        <i x="564" s="1"/>
        <i x="614" s="1"/>
        <i x="1792" s="1"/>
        <i x="191" s="1"/>
        <i x="2" s="1"/>
        <i x="849" s="1"/>
        <i x="2644" s="1"/>
        <i x="1934" s="1"/>
        <i x="627" s="1"/>
        <i x="53" s="1"/>
        <i x="1911" s="1"/>
        <i x="2124" s="1"/>
        <i x="1544" s="1"/>
        <i x="1089" s="1"/>
        <i x="1805" s="1"/>
        <i x="2522" s="1"/>
        <i x="2508" s="1"/>
        <i x="1798" s="1"/>
        <i x="1587" s="1"/>
        <i x="437" s="1"/>
        <i x="1255" s="1"/>
        <i x="2099" s="1"/>
        <i x="1014" s="1"/>
        <i x="1680" s="1"/>
        <i x="2503" s="1"/>
        <i x="2281" s="1"/>
        <i x="416" s="1"/>
        <i x="2290" s="1"/>
        <i x="171" s="1"/>
        <i x="1140" s="1"/>
        <i x="735" s="1"/>
        <i x="1026" s="1"/>
        <i x="167" s="1"/>
        <i x="1689" s="1"/>
        <i x="660" s="1"/>
        <i x="1017" s="1"/>
        <i x="2407" s="1"/>
        <i x="2545" s="1"/>
        <i x="1257" s="1"/>
        <i x="46" s="1"/>
        <i x="2440" s="1"/>
        <i x="713" s="1"/>
        <i x="1281" s="1"/>
        <i x="1058" s="1"/>
        <i x="1906" s="1"/>
        <i x="2594" s="1"/>
        <i x="1116" s="1"/>
        <i x="1104" s="1"/>
        <i x="1274" s="1"/>
        <i x="2120" s="1"/>
        <i x="10" s="1"/>
        <i x="1676" s="1"/>
        <i x="425" s="1"/>
        <i x="1491" s="1"/>
        <i x="2345" s="1"/>
        <i x="2760" s="1"/>
        <i x="2344" s="1"/>
        <i x="1909" s="1"/>
        <i x="304" s="1"/>
        <i x="1922" s="1"/>
        <i x="2602" s="1"/>
        <i x="2589" s="1"/>
        <i x="310" s="1"/>
        <i x="356" s="1"/>
        <i x="2442" s="1"/>
        <i x="1008" s="1"/>
        <i x="2028" s="1"/>
        <i x="2603" s="1"/>
        <i x="1031" s="1"/>
        <i x="2528" s="1"/>
        <i x="2683" s="1"/>
        <i x="246" s="1"/>
        <i x="1162" s="1"/>
        <i x="527" s="1"/>
        <i x="145" s="1"/>
        <i x="1124" s="1"/>
        <i x="929" s="1"/>
        <i x="271" s="1"/>
        <i x="2509" s="1"/>
        <i x="1894" s="1"/>
        <i x="2293" s="1"/>
        <i x="1614" s="1"/>
        <i x="70" s="1"/>
        <i x="2133" s="1"/>
        <i x="127" s="1"/>
        <i x="2576" s="1"/>
        <i x="1126" s="1"/>
        <i x="1953" s="1"/>
        <i x="2643" s="1"/>
        <i x="219" s="1"/>
        <i x="283" s="1"/>
        <i x="1506" s="1"/>
        <i x="412" s="1"/>
        <i x="1816" s="1"/>
        <i x="2702" s="1"/>
        <i x="2675" s="1"/>
        <i x="287" s="1"/>
        <i x="2605" s="1"/>
        <i x="141" s="1"/>
        <i x="1217" s="1"/>
        <i x="2758" s="1"/>
        <i x="2008" s="1"/>
        <i x="598" s="1"/>
        <i x="2273" s="1"/>
        <i x="1964" s="1"/>
        <i x="2606" s="1"/>
        <i x="224" s="1"/>
        <i x="15" s="1"/>
        <i x="214" s="1"/>
        <i x="618" s="1"/>
        <i x="2178" s="1"/>
        <i x="1212" s="1"/>
        <i x="1687" s="1"/>
        <i x="256" s="1"/>
        <i x="1509" s="1"/>
        <i x="2565" s="1"/>
        <i x="1164" s="1"/>
        <i x="1447" s="1"/>
        <i x="2459" s="1"/>
        <i x="122" s="1"/>
        <i x="83" s="1"/>
        <i x="2123" s="1"/>
        <i x="411" s="1"/>
        <i x="51" s="1"/>
        <i x="2113" s="1"/>
        <i x="2497" s="1"/>
        <i x="1677" s="1"/>
        <i x="1147" s="1"/>
        <i x="2660" s="1"/>
        <i x="1148" s="1"/>
        <i x="2502" s="1"/>
        <i x="254" s="1"/>
        <i x="2472" s="1"/>
        <i x="325" s="1"/>
        <i x="529" s="1"/>
        <i x="429" s="1"/>
        <i x="693" s="1"/>
        <i x="1516" s="1"/>
        <i x="1216" s="1"/>
        <i x="851" s="1"/>
        <i x="1037" s="1"/>
        <i x="1020" s="1"/>
        <i x="1065" s="1"/>
        <i x="2157" s="1"/>
        <i x="14" s="1"/>
        <i x="2144" s="1"/>
        <i x="1101" s="1"/>
        <i x="400" s="1"/>
        <i x="419" s="1"/>
        <i x="84" s="1"/>
        <i x="449" s="1"/>
        <i x="2647" s="1"/>
        <i x="1028" s="1"/>
        <i x="249" s="1"/>
        <i x="2501" s="1"/>
        <i x="737" s="1"/>
        <i x="461" s="1"/>
        <i x="1466" s="1"/>
        <i x="1368" s="1"/>
        <i x="2399" s="1"/>
        <i x="1242" s="1"/>
        <i x="639" s="1"/>
        <i x="2579" s="1"/>
        <i x="1812" s="1"/>
        <i x="1583" s="1"/>
        <i x="567" s="1"/>
        <i x="2638" s="1"/>
        <i x="2085" s="1"/>
        <i x="308" s="1"/>
        <i x="1759" s="1"/>
        <i x="2389" s="1"/>
        <i x="1297" s="1"/>
        <i x="821" s="1"/>
        <i x="620" s="1"/>
        <i x="1168" s="1"/>
        <i x="2301" s="1"/>
        <i x="1901" s="1"/>
        <i x="1355" s="1"/>
        <i x="1748" s="1"/>
        <i x="279" s="1"/>
        <i x="2581" s="1"/>
        <i x="2036" s="1"/>
        <i x="1825" s="1"/>
        <i x="526" s="1"/>
        <i x="1305" s="1"/>
        <i x="140" s="1"/>
        <i x="1921" s="1"/>
        <i x="2708" s="1"/>
        <i x="277" s="1"/>
        <i x="872" s="1"/>
        <i x="1213" s="1"/>
        <i x="971" s="1"/>
        <i x="2450" s="1"/>
        <i x="1950" s="1"/>
        <i x="721" s="1"/>
        <i x="1362" s="1"/>
        <i x="1290" s="1"/>
        <i x="1574" s="1"/>
        <i x="2233" s="1"/>
        <i x="2585" s="1"/>
        <i x="146" s="1"/>
        <i x="2298" s="1"/>
        <i x="133" s="1"/>
        <i x="1457" s="1"/>
        <i x="1165" s="1"/>
        <i x="2349" s="1"/>
        <i x="891" s="1"/>
        <i x="857" s="1"/>
        <i x="1323" s="1"/>
        <i x="2305" s="1"/>
        <i x="1512" s="1"/>
        <i x="1051" s="1"/>
        <i x="1584" s="1"/>
        <i x="1750" s="1"/>
        <i x="845" s="1"/>
        <i x="2141" s="1"/>
        <i x="1452" s="1"/>
        <i x="569" s="1"/>
        <i x="640" s="1"/>
        <i x="2736" s="1"/>
        <i x="18" s="1"/>
        <i x="1981" s="1"/>
        <i x="278" s="1"/>
        <i x="1893" s="1"/>
        <i x="486" s="1"/>
        <i x="442" s="1"/>
        <i x="521" s="1"/>
        <i x="276" s="1"/>
        <i x="2300" s="1"/>
        <i x="472" s="1"/>
        <i x="396" s="1"/>
        <i x="1743" s="1"/>
        <i x="17" s="1"/>
        <i x="1245" s="1"/>
        <i x="19" s="1"/>
        <i x="107" s="1"/>
        <i x="1561" s="1"/>
        <i x="1129" s="1"/>
        <i x="2232" s="1"/>
        <i x="881" s="1"/>
        <i x="2641" s="1"/>
        <i x="333" s="1"/>
        <i x="1013" s="1"/>
        <i x="984" s="1"/>
        <i x="1011" s="1"/>
        <i x="1895" s="1"/>
        <i x="1392" s="1"/>
        <i x="2057" s="1"/>
        <i x="2513" s="1"/>
        <i x="157" s="1"/>
        <i x="152" s="1"/>
        <i x="719" s="1"/>
        <i x="617" s="1"/>
        <i x="1678" s="1"/>
        <i x="1353" s="1"/>
        <i x="1131" s="1"/>
        <i x="2646" s="1"/>
        <i x="831" s="1"/>
        <i x="965" s="1"/>
        <i x="629" s="1"/>
        <i x="2562" s="1"/>
        <i x="838" s="1"/>
        <i x="466" s="1"/>
        <i x="404" s="1"/>
        <i x="66" s="1"/>
        <i x="2524" s="1"/>
        <i x="397" s="1"/>
        <i x="1946" s="1"/>
        <i x="422" s="1"/>
        <i x="537" s="1"/>
        <i x="528" s="1"/>
        <i x="722" s="1"/>
        <i x="2481" s="1"/>
        <i x="1291" s="1"/>
        <i x="432" s="1"/>
        <i x="1307" s="1"/>
        <i x="615" s="1"/>
        <i x="245" s="1"/>
        <i x="1578" s="1"/>
        <i x="48" s="1"/>
        <i x="371" s="1"/>
        <i x="169" s="1"/>
        <i x="375" s="1"/>
        <i x="1230" s="1"/>
        <i x="109" s="1"/>
        <i x="1675" s="1"/>
        <i x="2593" s="1"/>
        <i x="706" s="1"/>
        <i x="450" s="1"/>
        <i x="1573" s="1"/>
        <i x="1391" s="1"/>
        <i x="1234" s="1"/>
        <i x="1945" s="1"/>
        <i x="659" s="1"/>
        <i x="1110" s="1"/>
        <i x="2340" s="1"/>
        <i x="999" s="1"/>
        <i x="1136" s="1"/>
        <i x="313" s="1"/>
        <i x="482" s="1"/>
        <i x="96" s="1"/>
        <i x="1034" s="1"/>
        <i x="2525" s="1"/>
        <i x="890" s="1"/>
        <i x="144" s="1"/>
        <i x="2061" s="1"/>
        <i x="643" s="1"/>
        <i x="1756" s="1"/>
        <i x="2564" s="1"/>
        <i x="1467" s="1"/>
        <i x="1062" s="1"/>
        <i x="1300" s="1"/>
        <i x="2118" s="1"/>
        <i x="2617" s="1"/>
        <i x="1197" s="1"/>
        <i x="885" s="1"/>
        <i x="2648" s="1"/>
        <i x="364" s="1"/>
        <i x="2351" s="1"/>
        <i x="2030" s="1"/>
        <i x="1354" s="1"/>
        <i x="2433" s="1"/>
        <i x="2574" s="1"/>
        <i x="931" s="1"/>
        <i x="243" s="1"/>
        <i x="420" s="1"/>
        <i x="2027" s="1"/>
        <i x="724" s="1"/>
        <i x="1752" s="1"/>
        <i x="1495" s="1"/>
        <i x="255" s="1"/>
        <i x="1621" s="1"/>
        <i x="1310" s="1"/>
        <i x="454" s="1"/>
        <i x="2051" s="1"/>
        <i x="1239" s="1"/>
        <i x="622" s="1"/>
        <i x="2406" s="1"/>
        <i x="479" s="1"/>
        <i x="431" s="1"/>
        <i x="390" s="1"/>
        <i x="59" s="1"/>
        <i x="2307" s="1"/>
        <i x="587" s="1"/>
        <i x="438" s="1"/>
        <i x="1352" s="1"/>
        <i x="9" s="1"/>
        <i x="274" s="1"/>
        <i x="1308" s="1"/>
        <i x="2469" s="1"/>
        <i x="774" s="1"/>
        <i x="732" s="1"/>
        <i x="2022" s="1"/>
        <i x="1295" s="1"/>
        <i x="2131" s="1"/>
        <i x="729" s="1"/>
        <i x="2103" s="1"/>
        <i x="303" s="1"/>
        <i x="2563" s="1"/>
        <i x="205" s="1"/>
        <i x="2159" s="1"/>
        <i x="1939" s="1"/>
        <i x="247" s="1"/>
        <i x="381" s="1"/>
        <i x="2518" s="1"/>
        <i x="1200" s="1"/>
        <i x="961" s="1"/>
        <i x="783" s="1"/>
        <i x="229" s="1"/>
        <i x="1100" s="1"/>
        <i x="2025" s="1"/>
        <i x="284" s="1"/>
        <i x="467" s="1"/>
        <i x="1171" s="1"/>
        <i x="1223" s="1"/>
        <i x="1025" s="1"/>
        <i x="1793" s="1"/>
        <i x="888" s="1"/>
        <i x="837" s="1"/>
        <i x="1298" s="1"/>
        <i x="707" s="1"/>
        <i x="948" s="1"/>
        <i x="2283" s="1"/>
        <i x="2529" s="1"/>
        <i x="213" s="1"/>
        <i x="1005" s="1"/>
        <i x="1053" s="1"/>
        <i x="626" s="1"/>
        <i x="1465" s="1"/>
        <i x="128" s="1"/>
        <i x="538" s="1"/>
        <i x="306" s="1"/>
        <i x="31" s="1"/>
        <i x="998" s="1"/>
        <i x="492" s="1"/>
        <i x="1899" s="1"/>
        <i x="269" s="1"/>
        <i x="2055" s="1"/>
        <i x="1321" s="1"/>
        <i x="374" s="1"/>
        <i x="2109" s="1"/>
        <i x="1787" s="1"/>
        <i x="2355" s="1"/>
        <i x="952" s="1"/>
        <i x="188" s="1"/>
        <i x="40" s="1"/>
        <i x="852" s="1"/>
        <i x="403" s="1"/>
        <i x="417" s="1"/>
        <i x="1207" s="1"/>
        <i x="738" s="1"/>
        <i x="218" s="1"/>
        <i x="2530" s="1"/>
        <i x="1288" s="1"/>
        <i x="298" s="1"/>
        <i x="968" s="1"/>
        <i x="720" s="1"/>
        <i x="2441" s="1"/>
        <i x="524" s="1"/>
        <i x="850" s="1"/>
        <i x="741" s="1"/>
        <i x="280" s="1"/>
        <i x="2350" s="1"/>
        <i x="2408" s="1"/>
        <i x="267" s="1"/>
        <i x="1105" s="1"/>
        <i x="2158" s="1"/>
        <i x="517" s="1"/>
        <i x="2632" s="1"/>
        <i x="106" s="1"/>
        <i x="1302" s="1"/>
        <i x="1955" s="1"/>
        <i x="57" s="1"/>
        <i x="2560" s="1"/>
        <i x="1785" s="1"/>
        <i x="164" s="1"/>
        <i x="987" s="1"/>
        <i x="2303" s="1"/>
        <i x="1039" s="1"/>
        <i x="2021" s="1"/>
        <i x="649" s="1"/>
        <i x="2044" s="1"/>
        <i x="1163" s="1"/>
        <i x="473" s="1"/>
        <i x="2455" s="1"/>
        <i x="323" s="1"/>
        <i x="858" s="1"/>
        <i x="376" s="1"/>
        <i x="818" s="1"/>
        <i x="1198" s="1"/>
        <i x="1063" s="1"/>
        <i x="1280" s="1"/>
        <i x="704" s="1"/>
        <i x="1233" s="1"/>
        <i x="1620" s="1"/>
        <i x="1619" s="1"/>
        <i x="1897" s="1"/>
        <i x="1303" s="1"/>
        <i x="1152" s="1"/>
        <i x="883" s="1"/>
        <i x="1134" s="1"/>
        <i x="865" s="1"/>
        <i x="651" s="1"/>
        <i x="1947" s="1"/>
        <i x="570" s="1"/>
        <i x="426" s="1"/>
        <i x="2108" s="1"/>
        <i x="969" s="1"/>
        <i x="2342" s="1"/>
        <i x="844" s="1"/>
        <i x="1564" s="1"/>
        <i x="2053" s="1"/>
        <i x="82" s="1"/>
        <i x="574" s="1"/>
        <i x="855" s="1"/>
        <i x="252" s="1"/>
        <i x="395" s="1"/>
        <i x="2308" s="1"/>
        <i x="1566" s="1"/>
        <i x="2353" s="1"/>
        <i x="994" s="1"/>
        <i x="2661" s="1"/>
        <i x="56" s="1"/>
        <i x="399" s="1"/>
        <i x="532" s="1"/>
        <i x="114" s="1"/>
        <i x="543" s="1"/>
        <i x="1887" s="1"/>
        <i x="4" s="1"/>
        <i x="2035" s="1"/>
        <i x="2633" s="1"/>
        <i x="711" s="1"/>
        <i x="385" s="1"/>
        <i x="1322" s="1"/>
        <i x="481" s="1"/>
        <i x="413" s="1"/>
        <i x="379" s="1"/>
        <i x="547" s="1"/>
        <i x="1357" s="1"/>
        <i x="159" s="1"/>
        <i x="810" s="1"/>
        <i x="997" s="1"/>
        <i x="619" s="1"/>
        <i x="860" s="1"/>
        <i x="544" s="1"/>
        <i x="590" s="1"/>
        <i x="957" s="1"/>
        <i x="1629" s="1"/>
        <i x="1468" s="1"/>
        <i x="75" s="1"/>
        <i x="1313" s="1"/>
        <i x="293" s="1"/>
        <i x="1762" s="1"/>
        <i x="1682" s="1"/>
        <i x="1956" s="1"/>
        <i x="1346" s="1"/>
        <i x="2151" s="1"/>
        <i x="1580" s="1"/>
        <i x="669" s="1"/>
        <i x="113" s="1"/>
        <i x="2029" s="1"/>
        <i x="1151" s="1"/>
        <i x="1157" s="1"/>
        <i x="1248" s="1"/>
        <i x="1056" s="1"/>
        <i x="1226" s="1"/>
        <i x="1450" s="1"/>
        <i x="1448" s="1"/>
        <i x="1364" s="1"/>
        <i x="138" s="1"/>
        <i x="33" s="1"/>
        <i x="573" s="1"/>
        <i x="2230" s="1"/>
        <i x="1243" s="1"/>
        <i x="1311" s="1"/>
        <i x="1206" s="1"/>
        <i x="2601" s="1"/>
        <i x="268" s="1"/>
        <i x="1632" s="1"/>
        <i x="132" s="1"/>
        <i x="588" s="1"/>
        <i x="26" s="1"/>
        <i x="2409" s="1"/>
        <i x="165" s="1"/>
        <i x="696" s="1"/>
        <i x="2761" s="1"/>
        <i x="446" s="1"/>
        <i x="1006" s="1"/>
        <i x="63" s="1"/>
        <i x="1128" s="1"/>
        <i x="519" s="1"/>
        <i x="842" s="1"/>
        <i x="525" s="1"/>
        <i x="94" s="1"/>
        <i x="1935" s="1"/>
        <i x="1064" s="1"/>
        <i x="428" s="1"/>
        <i x="1460" s="1"/>
        <i x="1569" s="1"/>
        <i x="294" s="1"/>
        <i x="2599" s="1"/>
        <i x="1010" s="1"/>
        <i x="1099" s="1"/>
        <i x="1155" s="1"/>
        <i x="1936" s="1"/>
        <i x="1952" s="1"/>
        <i x="715" s="1"/>
        <i x="2338" s="1"/>
        <i x="878" s="1"/>
        <i x="1642" s="1"/>
        <i x="7" s="1"/>
        <i x="175" s="1"/>
        <i x="628" s="1"/>
        <i x="1219" s="1"/>
        <i x="1636" s="1"/>
        <i x="1232" s="1"/>
        <i x="1154" s="1"/>
        <i x="976" s="1"/>
        <i x="871" s="1"/>
        <i x="1712" s="1"/>
        <i x="491" s="1"/>
        <i x="1755" s="1"/>
        <i x="1514" s="1"/>
        <i x="1018" s="1"/>
        <i x="318" s="1"/>
        <i x="1350" s="1"/>
        <i x="1892" s="1"/>
        <i x="71" s="1"/>
        <i x="2012" s="1"/>
        <i x="828" s="1"/>
        <i x="1753" s="1"/>
        <i x="1634" s="1"/>
        <i x="1174" s="1"/>
        <i x="296" s="1"/>
        <i x="874" s="1"/>
        <i x="108" s="1"/>
        <i x="1211" s="1"/>
        <i x="1630" s="1"/>
        <i x="2573" s="1"/>
        <i x="1060" s="1"/>
        <i x="563" s="1"/>
        <i x="451" s="1"/>
        <i x="2613" s="1"/>
        <i x="1576" s="1"/>
        <i x="2258" s="1"/>
        <i x="1356" s="1"/>
        <i x="559" s="1"/>
        <i x="1244" s="1"/>
        <i x="1638" s="1"/>
        <i x="47" s="1"/>
        <i x="2358" s="1"/>
        <i x="656" s="1"/>
        <i x="1035" s="1"/>
        <i x="1627" s="1"/>
        <i x="884" s="1"/>
        <i x="1361" s="1"/>
        <i x="2105" s="1"/>
        <i x="553" s="1"/>
        <i x="1589" s="1"/>
        <i x="365" s="1"/>
        <i x="1158" s="1"/>
        <i x="1449" s="1"/>
        <i x="558" s="1"/>
        <i x="700" s="1"/>
        <i x="65" s="1"/>
        <i x="220" s="1"/>
        <i x="1624" s="1"/>
        <i x="549" s="1"/>
        <i x="705" s="1"/>
        <i x="170" s="1"/>
        <i x="661" s="1"/>
        <i x="993" s="1"/>
        <i x="153" s="1"/>
        <i x="1156" s="1"/>
        <i x="1214" s="1"/>
        <i x="2018" s="1"/>
        <i x="835" s="1"/>
        <i x="458" s="1"/>
        <i x="1075" s="1"/>
        <i x="710" s="1"/>
        <i x="197" s="1"/>
        <i x="1761" s="1"/>
        <i x="77" s="1"/>
        <i x="522" s="1"/>
        <i x="539" s="1"/>
        <i x="1029" s="1"/>
        <i x="1786" s="1"/>
        <i x="286" s="1"/>
        <i x="98" s="1"/>
        <i x="582" s="1"/>
        <i x="1318" s="1"/>
        <i x="78" s="1"/>
        <i x="577" s="1"/>
        <i x="698" s="1"/>
        <i x="158" s="1"/>
        <i x="463" s="1"/>
        <i x="471" s="1"/>
        <i x="265" s="1"/>
        <i x="456" s="1"/>
        <i x="222" s="1"/>
        <i x="110" s="1"/>
        <i x="1049" s="1"/>
        <i x="2379" s="1"/>
        <i x="314" s="1"/>
        <i x="647" s="1"/>
        <i x="335" s="1"/>
        <i x="1741" s="1"/>
        <i x="829" s="1"/>
        <i x="389" s="1"/>
        <i x="261" s="1"/>
        <i x="264" s="1"/>
        <i x="1161" s="1"/>
        <i x="232" s="1"/>
        <i x="578" s="1"/>
        <i x="1436" s="1"/>
        <i x="1637" s="1"/>
        <i x="697" s="1"/>
        <i x="115" s="1"/>
        <i x="44" s="1"/>
        <i x="551" s="1"/>
        <i x="848" s="1"/>
        <i x="1567" s="1"/>
        <i x="291" s="1"/>
        <i x="977" s="1"/>
        <i x="185" s="1"/>
        <i x="2598" s="1"/>
        <i x="79" s="1"/>
        <i x="571" s="1"/>
        <i x="36" s="1"/>
        <i x="1571" s="1"/>
        <i x="248" s="1"/>
        <i x="1713" s="1"/>
        <i x="1366" s="1"/>
        <i x="1814" s="1"/>
        <i x="337" s="1"/>
        <i x="38" s="1"/>
        <i x="88" s="1"/>
        <i x="289" s="1"/>
        <i x="1271" s="1"/>
        <i x="864" s="1"/>
        <i x="621" s="1"/>
        <i x="1235" s="1"/>
        <i x="523" s="1"/>
        <i x="728" s="1"/>
        <i x="217" s="1"/>
        <i x="1898" s="1"/>
        <i x="2337" s="1"/>
        <i x="448" s="1"/>
        <i x="382" s="1"/>
        <i x="1316" s="1"/>
        <i x="630" s="1"/>
        <i x="1225" s="1"/>
        <i x="1735" s="1"/>
        <i x="155" s="1"/>
        <i x="457" s="1"/>
        <i x="236" s="1"/>
        <i x="242" s="1"/>
        <i x="1150" s="1"/>
        <i x="1891" s="1"/>
        <i x="1143" s="1"/>
        <i x="2056" s="1"/>
        <i x="1042" s="1"/>
        <i x="1367" s="1"/>
        <i x="695" s="1"/>
        <i x="694" s="1"/>
        <i x="2023" s="1"/>
        <i x="1942" s="1"/>
        <i x="1012" s="1"/>
        <i x="1937" s="1"/>
        <i x="1565" s="1"/>
        <i x="1358" s="1"/>
        <i x="2156" s="1"/>
        <i x="1159" s="1"/>
        <i x="2206" s="1"/>
        <i x="384" s="1"/>
        <i x="1249" s="1"/>
        <i x="2600" s="1"/>
        <i x="866" s="1"/>
        <i x="2132" s="1"/>
        <i x="226" s="1"/>
        <i x="281" s="1"/>
        <i x="227" s="1"/>
        <i x="2482" s="1"/>
        <i x="1027" s="1"/>
        <i x="1019" s="1"/>
        <i x="143" s="1"/>
        <i x="625" s="1"/>
        <i x="1498" s="1"/>
        <i x="568" s="1"/>
        <i x="459" s="1"/>
        <i x="251" s="1"/>
        <i x="1462" s="1"/>
        <i x="372" s="1"/>
        <i x="1166" s="1"/>
        <i x="460" s="1"/>
        <i x="37" s="1"/>
        <i x="1301" s="1"/>
        <i x="2153" s="1"/>
        <i x="819" s="1"/>
        <i x="68" s="1"/>
        <i x="550" s="1"/>
        <i x="2381" s="1"/>
        <i x="455" s="1"/>
        <i x="548" s="1"/>
        <i x="1754" s="1"/>
        <i x="377" s="1"/>
        <i x="1145" s="1"/>
        <i x="655" s="1"/>
        <i x="1137" s="1"/>
        <i x="215" s="1"/>
        <i x="556" s="1"/>
        <i x="200" s="1"/>
        <i x="2155" s="1"/>
        <i x="1306" s="1"/>
        <i x="223" s="1"/>
        <i x="150" s="1"/>
        <i x="149" s="1"/>
        <i x="95" s="1"/>
        <i x="988" s="1"/>
        <i x="668" s="1"/>
        <i x="664" s="1"/>
        <i x="557" s="1"/>
        <i x="244" s="1"/>
        <i x="1138" s="1"/>
        <i x="1238" s="1"/>
        <i x="1141" s="1"/>
        <i x="1959" s="1"/>
        <i x="1317" s="1"/>
        <i x="1023" s="1"/>
        <i x="2260" s="1"/>
        <i x="1575" s="1"/>
        <i x="216" s="1"/>
        <i x="1625" s="1"/>
        <i x="369" s="1"/>
        <i x="1343" s="1"/>
        <i x="762" s="1"/>
        <i x="2059" s="1"/>
        <i x="854" s="1"/>
        <i x="1371" s="1"/>
        <i x="253" s="1"/>
        <i x="1045" s="1"/>
        <i x="177" s="1"/>
        <i x="982" s="1"/>
        <i x="1250" s="1"/>
        <i x="93" s="1"/>
        <i x="330" s="1"/>
        <i x="545" s="1"/>
        <i x="979" s="1"/>
        <i x="176" s="1"/>
        <i x="1944" s="1"/>
        <i x="324" s="1"/>
        <i x="554" s="1"/>
        <i x="1577" s="1"/>
        <i x="814" s="1"/>
        <i x="1943" s="1"/>
        <i x="275" s="1"/>
        <i x="727" s="1"/>
        <i x="142" s="1"/>
        <i x="147" s="1"/>
        <i x="90" s="1"/>
        <i x="81" s="1"/>
        <i x="1247" s="1"/>
        <i x="317" s="1"/>
        <i x="542" s="1"/>
        <i x="652" s="1"/>
        <i x="198" s="1"/>
        <i x="91" s="1"/>
        <i x="1299" s="1"/>
        <i x="1021" s="1"/>
        <i x="2636" s="1"/>
        <i x="1345" s="1"/>
        <i x="648" s="1"/>
        <i x="2604" s="1"/>
        <i x="1022" s="1"/>
        <i x="41" s="1"/>
        <i x="1240" s="1"/>
        <i x="646" s="1"/>
        <i x="2610" s="1"/>
        <i x="642" s="1"/>
        <i x="194" s="1"/>
        <i x="441" s="1"/>
        <i x="662" s="1"/>
        <i x="105" s="1"/>
        <i x="27" s="1"/>
        <i x="822" s="1"/>
        <i x="321" s="1"/>
        <i x="1237" s="1"/>
        <i x="1044" s="1"/>
        <i x="34" s="1"/>
        <i x="654" s="1"/>
        <i x="1224" s="1"/>
        <i x="583" s="1"/>
        <i x="28" s="1"/>
        <i x="1160" s="1"/>
        <i x="266" s="1"/>
        <i x="29" s="1"/>
        <i x="560" s="1"/>
        <i x="645" s="1"/>
        <i x="1040" s="1"/>
        <i x="1149" s="1"/>
        <i x="624" s="1"/>
        <i x="1032" s="1"/>
        <i x="663" s="1"/>
        <i x="190" s="1"/>
        <i x="552" s="1"/>
        <i x="633" s="1"/>
        <i x="826" s="1"/>
        <i x="168" s="1"/>
        <i x="25" s="1"/>
        <i x="2535" s="1"/>
        <i x="250" s="1"/>
        <i x="575" s="1"/>
        <i x="580" s="1"/>
        <i x="160" s="1"/>
        <i x="1015" s="1"/>
        <i x="586" s="1"/>
        <i x="97" s="1"/>
        <i x="39" s="1"/>
        <i x="867" s="1"/>
        <i x="1951" s="1"/>
        <i x="20" s="1"/>
        <i x="1347" s="1"/>
        <i x="319" s="1"/>
        <i x="320" s="1"/>
        <i x="1365" s="1"/>
        <i x="1363" s="1"/>
        <i x="820" s="1"/>
        <i x="326" s="1"/>
        <i x="237" s="1"/>
        <i x="201" s="1"/>
        <i x="161" s="1"/>
        <i x="32" s="1"/>
        <i x="187" s="1"/>
        <i x="87" s="1"/>
        <i x="584" s="1"/>
        <i x="258" s="1"/>
        <i x="315" s="1"/>
        <i x="555" s="1"/>
        <i x="1001" s="1"/>
        <i x="288" s="1"/>
        <i x="328" s="1"/>
        <i x="49" s="1"/>
        <i x="1000" s="1"/>
        <i x="1236" s="1"/>
        <i x="832" s="1"/>
        <i x="239" s="1"/>
        <i x="1047" s="1"/>
        <i x="1016" s="1"/>
        <i x="163" s="1"/>
        <i x="1004" s="1"/>
        <i x="92" s="1"/>
        <i x="241" s="1"/>
        <i x="1538" s="1"/>
        <i x="465" s="1"/>
        <i x="195" s="1"/>
        <i x="270" s="1"/>
        <i x="199" s="1"/>
        <i x="1139" s="1"/>
        <i x="653" s="1"/>
        <i x="233" s="1"/>
        <i x="1641" s="1"/>
        <i x="189" s="1"/>
        <i x="193" s="1"/>
        <i x="262" s="1"/>
        <i x="209" s="1"/>
        <i x="184" s="1"/>
        <i x="86" s="1"/>
        <i x="1009" s="1"/>
        <i x="2203" s="1"/>
        <i x="688" s="1"/>
        <i x="192" s="1"/>
        <i x="85" s="1"/>
        <i x="1123" s="1"/>
        <i x="1033" s="1"/>
        <i x="2385" s="1"/>
        <i x="414" s="1"/>
        <i x="35" s="1"/>
        <i x="172" s="1"/>
        <i x="657" s="1"/>
        <i x="104" s="1"/>
        <i x="1961" s="1"/>
        <i x="489" s="1"/>
        <i x="162" s="1"/>
        <i x="80" s="1"/>
        <i x="316" s="1"/>
        <i x="827" s="1"/>
        <i x="2582" s="1"/>
        <i x="173" s="1"/>
        <i x="130" s="1"/>
        <i x="1536" s="1"/>
        <i x="89" s="1"/>
        <i x="2082" s="1"/>
        <i x="2458" s="1"/>
        <i x="42" s="1"/>
        <i x="1173" s="1"/>
        <i x="196" s="1"/>
        <i x="1809" s="1"/>
        <i x="30" s="1"/>
        <i x="186" s="1"/>
        <i x="1119" s="1"/>
        <i x="43" s="1"/>
        <i x="1960" s="1"/>
        <i x="103" s="1"/>
        <i x="1048" s="1"/>
        <i x="52" s="1"/>
        <i x="733" s="1"/>
        <i x="589" s="1"/>
        <i x="276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fit" cache="Slicer_Profit" caption="Profit" startItem="12" rowHeight="241300"/>
  <slicer name="Sales" cache="Slicer_Sales" caption="Sales" startItem="2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24"/>
  <sheetViews>
    <sheetView tabSelected="1" workbookViewId="0">
      <selection activeCell="G22" sqref="G22"/>
    </sheetView>
  </sheetViews>
  <sheetFormatPr defaultRowHeight="15" x14ac:dyDescent="0.25"/>
  <cols>
    <col min="1" max="1" width="20.42578125" customWidth="1"/>
    <col min="3" max="4" width="23.140625" customWidth="1"/>
    <col min="5" max="5" width="16.5703125" customWidth="1"/>
    <col min="6" max="6" width="12.85546875" style="5" customWidth="1"/>
    <col min="7" max="8" width="12.7109375" style="5" customWidth="1"/>
    <col min="9" max="9" width="24.42578125" customWidth="1"/>
    <col min="10" max="10" width="22.42578125" customWidth="1"/>
    <col min="12" max="12" width="11" customWidth="1"/>
  </cols>
  <sheetData>
    <row r="1" spans="1:12" x14ac:dyDescent="0.25">
      <c r="A1" s="1" t="s">
        <v>0</v>
      </c>
      <c r="B1" s="1" t="s">
        <v>1</v>
      </c>
      <c r="C1" s="1" t="s">
        <v>2</v>
      </c>
      <c r="D1" s="2" t="s">
        <v>387</v>
      </c>
      <c r="E1" s="1" t="s">
        <v>3</v>
      </c>
      <c r="F1" s="4" t="s">
        <v>4</v>
      </c>
      <c r="G1" s="4" t="s">
        <v>5</v>
      </c>
      <c r="H1" s="6" t="s">
        <v>388</v>
      </c>
      <c r="I1" s="2" t="s">
        <v>385</v>
      </c>
      <c r="J1" s="2" t="s">
        <v>386</v>
      </c>
      <c r="K1" s="2" t="s">
        <v>389</v>
      </c>
      <c r="L1" s="2" t="s">
        <v>390</v>
      </c>
    </row>
    <row r="2" spans="1:12" x14ac:dyDescent="0.25">
      <c r="A2" t="s">
        <v>6</v>
      </c>
      <c r="C2" t="s">
        <v>261</v>
      </c>
      <c r="D2" t="str">
        <f>PROPER(TRIM(C2))</f>
        <v>Motorcycles</v>
      </c>
      <c r="E2" t="s">
        <v>268</v>
      </c>
      <c r="F2" s="5">
        <v>2871</v>
      </c>
      <c r="G2" s="5">
        <v>574.20000000000005</v>
      </c>
      <c r="H2" s="5" t="e">
        <f ca="1">XLOOKUP(E2,Lookup_Table!A:A,Lookup_Table!B:B)</f>
        <v>#NAME?</v>
      </c>
      <c r="I2" t="str">
        <f>IF(F2&gt;50000,"High Sales","Low Sales")</f>
        <v>Low Sales</v>
      </c>
      <c r="J2" t="str">
        <f>IF(AND(F2&gt;30000,G2&gt;5000),"Good Performance","Average Performance")</f>
        <v>Average Performance</v>
      </c>
      <c r="K2">
        <f>YEAR(A2)</f>
        <v>2003</v>
      </c>
      <c r="L2" t="str">
        <f>TEXT(A2,"mmmm")</f>
        <v>February</v>
      </c>
    </row>
    <row r="3" spans="1:12" x14ac:dyDescent="0.25">
      <c r="A3" t="s">
        <v>7</v>
      </c>
      <c r="B3" t="s">
        <v>258</v>
      </c>
      <c r="C3" t="s">
        <v>261</v>
      </c>
      <c r="D3" t="str">
        <f t="shared" ref="D3:D66" si="0">PROPER(TRIM(C3))</f>
        <v>Motorcycles</v>
      </c>
      <c r="E3" t="s">
        <v>268</v>
      </c>
      <c r="F3" s="5">
        <v>2765.9</v>
      </c>
      <c r="G3" s="5">
        <v>553.18000000000006</v>
      </c>
      <c r="I3" t="str">
        <f t="shared" ref="I3:I66" si="1">IF(F3&gt;50000,"High Sales","Low Sales")</f>
        <v>Low Sales</v>
      </c>
      <c r="J3" t="str">
        <f t="shared" ref="J3:J66" si="2">IF(AND(F3&gt;30000,G3&gt;5000),"Good Performance","Average Performance")</f>
        <v>Average Performance</v>
      </c>
      <c r="K3">
        <f t="shared" ref="K3:K66" si="3">YEAR(A3)</f>
        <v>2003</v>
      </c>
      <c r="L3" t="str">
        <f t="shared" ref="L3:L66" si="4">TEXT(A3,"mmmm")</f>
        <v>May</v>
      </c>
    </row>
    <row r="4" spans="1:12" x14ac:dyDescent="0.25">
      <c r="A4" t="s">
        <v>8</v>
      </c>
      <c r="B4" t="s">
        <v>258</v>
      </c>
      <c r="C4" t="s">
        <v>261</v>
      </c>
      <c r="D4" t="str">
        <f t="shared" si="0"/>
        <v>Motorcycles</v>
      </c>
      <c r="E4" t="s">
        <v>268</v>
      </c>
      <c r="F4" s="5">
        <v>3884.34</v>
      </c>
      <c r="G4" s="5">
        <v>776.86800000000005</v>
      </c>
      <c r="I4" t="str">
        <f>IF(F4&gt;50000,"High Sales","Low Sales")</f>
        <v>Low Sales</v>
      </c>
      <c r="J4" t="str">
        <f t="shared" si="2"/>
        <v>Average Performance</v>
      </c>
      <c r="K4">
        <f t="shared" si="3"/>
        <v>2003</v>
      </c>
      <c r="L4" t="str">
        <f t="shared" si="4"/>
        <v>July</v>
      </c>
    </row>
    <row r="5" spans="1:12" x14ac:dyDescent="0.25">
      <c r="A5" t="s">
        <v>9</v>
      </c>
      <c r="C5" t="s">
        <v>261</v>
      </c>
      <c r="D5" t="str">
        <f t="shared" si="0"/>
        <v>Motorcycles</v>
      </c>
      <c r="E5" t="s">
        <v>268</v>
      </c>
      <c r="F5" s="5">
        <v>3746.7</v>
      </c>
      <c r="G5" s="5">
        <v>749.34</v>
      </c>
      <c r="I5" t="str">
        <f t="shared" si="1"/>
        <v>Low Sales</v>
      </c>
      <c r="J5" t="str">
        <f t="shared" si="2"/>
        <v>Average Performance</v>
      </c>
      <c r="K5">
        <f t="shared" si="3"/>
        <v>2003</v>
      </c>
      <c r="L5" t="str">
        <f t="shared" si="4"/>
        <v>August</v>
      </c>
    </row>
    <row r="6" spans="1:12" x14ac:dyDescent="0.25">
      <c r="A6" t="s">
        <v>10</v>
      </c>
      <c r="C6" t="s">
        <v>261</v>
      </c>
      <c r="D6" t="str">
        <f t="shared" si="0"/>
        <v>Motorcycles</v>
      </c>
      <c r="E6" t="s">
        <v>268</v>
      </c>
      <c r="F6" s="5">
        <v>5205.2700000000004</v>
      </c>
      <c r="G6" s="5">
        <v>1041.0540000000001</v>
      </c>
      <c r="I6" t="str">
        <f t="shared" si="1"/>
        <v>Low Sales</v>
      </c>
      <c r="J6" t="str">
        <f t="shared" si="2"/>
        <v>Average Performance</v>
      </c>
      <c r="K6">
        <f t="shared" si="3"/>
        <v>2003</v>
      </c>
      <c r="L6" t="str">
        <f t="shared" si="4"/>
        <v>October</v>
      </c>
    </row>
    <row r="7" spans="1:12" x14ac:dyDescent="0.25">
      <c r="A7" t="s">
        <v>11</v>
      </c>
      <c r="C7" t="s">
        <v>261</v>
      </c>
      <c r="D7" t="str">
        <f t="shared" si="0"/>
        <v>Motorcycles</v>
      </c>
      <c r="E7" t="s">
        <v>268</v>
      </c>
      <c r="F7" s="5">
        <v>3479.76</v>
      </c>
      <c r="G7" s="5">
        <v>695.95200000000011</v>
      </c>
      <c r="I7" t="str">
        <f t="shared" si="1"/>
        <v>Low Sales</v>
      </c>
      <c r="J7" t="str">
        <f t="shared" si="2"/>
        <v>Average Performance</v>
      </c>
      <c r="K7">
        <f t="shared" si="3"/>
        <v>2003</v>
      </c>
      <c r="L7" t="str">
        <f t="shared" si="4"/>
        <v>October</v>
      </c>
    </row>
    <row r="8" spans="1:12" x14ac:dyDescent="0.25">
      <c r="A8" t="s">
        <v>12</v>
      </c>
      <c r="B8" t="s">
        <v>258</v>
      </c>
      <c r="C8" t="s">
        <v>261</v>
      </c>
      <c r="D8" t="str">
        <f t="shared" si="0"/>
        <v>Motorcycles</v>
      </c>
      <c r="E8" t="s">
        <v>268</v>
      </c>
      <c r="F8" s="5">
        <v>2497.77</v>
      </c>
      <c r="G8" s="5">
        <v>499.55399999999997</v>
      </c>
      <c r="I8" t="str">
        <f t="shared" si="1"/>
        <v>Low Sales</v>
      </c>
      <c r="J8" t="str">
        <f t="shared" si="2"/>
        <v>Average Performance</v>
      </c>
      <c r="K8">
        <f t="shared" si="3"/>
        <v>2003</v>
      </c>
      <c r="L8" t="str">
        <f t="shared" si="4"/>
        <v>November</v>
      </c>
    </row>
    <row r="9" spans="1:12" x14ac:dyDescent="0.25">
      <c r="A9" t="s">
        <v>13</v>
      </c>
      <c r="B9" t="s">
        <v>258</v>
      </c>
      <c r="C9" t="s">
        <v>261</v>
      </c>
      <c r="D9" t="str">
        <f t="shared" si="0"/>
        <v>Motorcycles</v>
      </c>
      <c r="E9" t="s">
        <v>268</v>
      </c>
      <c r="F9" s="5">
        <v>5512.32</v>
      </c>
      <c r="G9" s="5">
        <v>1102.4639999999999</v>
      </c>
      <c r="I9" t="str">
        <f t="shared" si="1"/>
        <v>Low Sales</v>
      </c>
      <c r="J9" t="str">
        <f t="shared" si="2"/>
        <v>Average Performance</v>
      </c>
      <c r="K9">
        <f t="shared" si="3"/>
        <v>2003</v>
      </c>
      <c r="L9" t="str">
        <f t="shared" si="4"/>
        <v>November</v>
      </c>
    </row>
    <row r="10" spans="1:12" x14ac:dyDescent="0.25">
      <c r="A10" t="s">
        <v>14</v>
      </c>
      <c r="C10" t="s">
        <v>261</v>
      </c>
      <c r="D10" t="str">
        <f t="shared" si="0"/>
        <v>Motorcycles</v>
      </c>
      <c r="E10" t="s">
        <v>268</v>
      </c>
      <c r="F10" s="5">
        <v>2168.54</v>
      </c>
      <c r="G10" s="5">
        <v>433.70800000000003</v>
      </c>
      <c r="I10" t="str">
        <f t="shared" si="1"/>
        <v>Low Sales</v>
      </c>
      <c r="J10" t="str">
        <f t="shared" si="2"/>
        <v>Average Performance</v>
      </c>
      <c r="K10">
        <f t="shared" si="3"/>
        <v>2003</v>
      </c>
      <c r="L10" t="str">
        <f t="shared" si="4"/>
        <v>December</v>
      </c>
    </row>
    <row r="11" spans="1:12" x14ac:dyDescent="0.25">
      <c r="A11" t="s">
        <v>15</v>
      </c>
      <c r="B11" t="s">
        <v>258</v>
      </c>
      <c r="C11" t="s">
        <v>261</v>
      </c>
      <c r="D11" t="str">
        <f t="shared" si="0"/>
        <v>Motorcycles</v>
      </c>
      <c r="E11" t="s">
        <v>268</v>
      </c>
      <c r="F11" s="5">
        <v>4708.4399999999996</v>
      </c>
      <c r="G11" s="5">
        <v>941.68799999999999</v>
      </c>
      <c r="I11" t="str">
        <f t="shared" si="1"/>
        <v>Low Sales</v>
      </c>
      <c r="J11" t="str">
        <f t="shared" si="2"/>
        <v>Average Performance</v>
      </c>
      <c r="K11">
        <f t="shared" si="3"/>
        <v>2004</v>
      </c>
      <c r="L11" t="str">
        <f t="shared" si="4"/>
        <v>January</v>
      </c>
    </row>
    <row r="12" spans="1:12" x14ac:dyDescent="0.25">
      <c r="A12" t="s">
        <v>16</v>
      </c>
      <c r="B12" t="s">
        <v>259</v>
      </c>
      <c r="C12" t="s">
        <v>261</v>
      </c>
      <c r="D12" t="str">
        <f t="shared" si="0"/>
        <v>Motorcycles</v>
      </c>
      <c r="E12" t="s">
        <v>268</v>
      </c>
      <c r="F12" s="5">
        <v>3965.66</v>
      </c>
      <c r="G12" s="5">
        <v>793.13200000000006</v>
      </c>
      <c r="I12" t="str">
        <f t="shared" si="1"/>
        <v>Low Sales</v>
      </c>
      <c r="J12" t="str">
        <f t="shared" si="2"/>
        <v>Average Performance</v>
      </c>
      <c r="K12">
        <f t="shared" si="3"/>
        <v>2004</v>
      </c>
      <c r="L12" t="str">
        <f t="shared" si="4"/>
        <v>February</v>
      </c>
    </row>
    <row r="13" spans="1:12" x14ac:dyDescent="0.25">
      <c r="A13" t="s">
        <v>17</v>
      </c>
      <c r="C13" t="s">
        <v>261</v>
      </c>
      <c r="D13" t="str">
        <f t="shared" si="0"/>
        <v>Motorcycles</v>
      </c>
      <c r="E13" t="s">
        <v>268</v>
      </c>
      <c r="F13" s="5">
        <v>2333.12</v>
      </c>
      <c r="G13" s="5">
        <v>466.62400000000002</v>
      </c>
      <c r="I13" t="str">
        <f t="shared" si="1"/>
        <v>Low Sales</v>
      </c>
      <c r="J13" t="str">
        <f t="shared" si="2"/>
        <v>Average Performance</v>
      </c>
      <c r="K13">
        <f t="shared" si="3"/>
        <v>2004</v>
      </c>
      <c r="L13" t="str">
        <f t="shared" si="4"/>
        <v>April</v>
      </c>
    </row>
    <row r="14" spans="1:12" x14ac:dyDescent="0.25">
      <c r="A14" t="s">
        <v>18</v>
      </c>
      <c r="C14" t="s">
        <v>261</v>
      </c>
      <c r="D14" t="str">
        <f t="shared" si="0"/>
        <v>Motorcycles</v>
      </c>
      <c r="E14" t="s">
        <v>268</v>
      </c>
      <c r="F14" s="5">
        <v>3188.64</v>
      </c>
      <c r="G14" s="5">
        <v>637.72800000000007</v>
      </c>
      <c r="I14" t="str">
        <f t="shared" si="1"/>
        <v>Low Sales</v>
      </c>
      <c r="J14" t="str">
        <f t="shared" si="2"/>
        <v>Average Performance</v>
      </c>
      <c r="K14">
        <f t="shared" si="3"/>
        <v>2004</v>
      </c>
      <c r="L14" t="str">
        <f t="shared" si="4"/>
        <v>May</v>
      </c>
    </row>
    <row r="15" spans="1:12" x14ac:dyDescent="0.25">
      <c r="A15" t="s">
        <v>19</v>
      </c>
      <c r="C15" t="s">
        <v>261</v>
      </c>
      <c r="D15" t="str">
        <f t="shared" si="0"/>
        <v>Motorcycles</v>
      </c>
      <c r="E15" t="s">
        <v>268</v>
      </c>
      <c r="F15" s="5">
        <v>3676.76</v>
      </c>
      <c r="G15" s="5">
        <v>735.35200000000009</v>
      </c>
      <c r="I15" t="str">
        <f t="shared" si="1"/>
        <v>Low Sales</v>
      </c>
      <c r="J15" t="str">
        <f t="shared" si="2"/>
        <v>Average Performance</v>
      </c>
      <c r="K15">
        <f t="shared" si="3"/>
        <v>2004</v>
      </c>
      <c r="L15" t="str">
        <f t="shared" si="4"/>
        <v>June</v>
      </c>
    </row>
    <row r="16" spans="1:12" x14ac:dyDescent="0.25">
      <c r="A16" t="s">
        <v>20</v>
      </c>
      <c r="B16" t="s">
        <v>258</v>
      </c>
      <c r="C16" t="s">
        <v>261</v>
      </c>
      <c r="D16" t="str">
        <f t="shared" si="0"/>
        <v>Motorcycles</v>
      </c>
      <c r="E16" t="s">
        <v>268</v>
      </c>
      <c r="F16" s="5">
        <v>4177.3500000000004</v>
      </c>
      <c r="G16" s="5">
        <v>835.47000000000014</v>
      </c>
      <c r="I16" t="str">
        <f t="shared" si="1"/>
        <v>Low Sales</v>
      </c>
      <c r="J16" t="str">
        <f t="shared" si="2"/>
        <v>Average Performance</v>
      </c>
      <c r="K16">
        <f t="shared" si="3"/>
        <v>2004</v>
      </c>
      <c r="L16" t="str">
        <f t="shared" si="4"/>
        <v>July</v>
      </c>
    </row>
    <row r="17" spans="1:12" x14ac:dyDescent="0.25">
      <c r="A17" t="s">
        <v>21</v>
      </c>
      <c r="C17" t="s">
        <v>261</v>
      </c>
      <c r="D17" t="str">
        <f t="shared" si="0"/>
        <v>Motorcycles</v>
      </c>
      <c r="E17" t="s">
        <v>268</v>
      </c>
      <c r="F17" s="5">
        <v>4099.68</v>
      </c>
      <c r="G17" s="5">
        <v>819.93600000000015</v>
      </c>
      <c r="I17" t="str">
        <f t="shared" si="1"/>
        <v>Low Sales</v>
      </c>
      <c r="J17" t="str">
        <f t="shared" si="2"/>
        <v>Average Performance</v>
      </c>
      <c r="K17">
        <f t="shared" si="3"/>
        <v>2004</v>
      </c>
      <c r="L17" t="str">
        <f t="shared" si="4"/>
        <v>August</v>
      </c>
    </row>
    <row r="18" spans="1:12" x14ac:dyDescent="0.25">
      <c r="A18" t="s">
        <v>22</v>
      </c>
      <c r="B18" t="s">
        <v>258</v>
      </c>
      <c r="C18" t="s">
        <v>261</v>
      </c>
      <c r="D18" t="str">
        <f t="shared" si="0"/>
        <v>Motorcycles</v>
      </c>
      <c r="E18" t="s">
        <v>268</v>
      </c>
      <c r="F18" s="5">
        <v>2597.39</v>
      </c>
      <c r="G18" s="5">
        <v>519.47799999999995</v>
      </c>
      <c r="I18" t="str">
        <f t="shared" si="1"/>
        <v>Low Sales</v>
      </c>
      <c r="J18" t="str">
        <f t="shared" si="2"/>
        <v>Average Performance</v>
      </c>
      <c r="K18">
        <f t="shared" si="3"/>
        <v>2004</v>
      </c>
      <c r="L18" t="str">
        <f t="shared" si="4"/>
        <v>September</v>
      </c>
    </row>
    <row r="19" spans="1:12" x14ac:dyDescent="0.25">
      <c r="A19" t="s">
        <v>23</v>
      </c>
      <c r="B19" t="s">
        <v>258</v>
      </c>
      <c r="C19" t="s">
        <v>261</v>
      </c>
      <c r="D19" t="str">
        <f t="shared" si="0"/>
        <v>Motorcycles</v>
      </c>
      <c r="E19" t="s">
        <v>268</v>
      </c>
      <c r="F19" s="5">
        <v>4394.38</v>
      </c>
      <c r="G19" s="5">
        <v>878.87600000000009</v>
      </c>
      <c r="I19" t="str">
        <f t="shared" si="1"/>
        <v>Low Sales</v>
      </c>
      <c r="J19" t="str">
        <f t="shared" si="2"/>
        <v>Average Performance</v>
      </c>
      <c r="K19">
        <f t="shared" si="3"/>
        <v>2004</v>
      </c>
      <c r="L19" t="str">
        <f t="shared" si="4"/>
        <v>October</v>
      </c>
    </row>
    <row r="20" spans="1:12" x14ac:dyDescent="0.25">
      <c r="A20" t="s">
        <v>24</v>
      </c>
      <c r="C20" t="s">
        <v>261</v>
      </c>
      <c r="D20" t="str">
        <f t="shared" si="0"/>
        <v>Motorcycles</v>
      </c>
      <c r="E20" t="s">
        <v>268</v>
      </c>
      <c r="F20" s="5">
        <v>4358.04</v>
      </c>
      <c r="G20" s="5">
        <v>871.60800000000006</v>
      </c>
      <c r="I20" t="str">
        <f t="shared" si="1"/>
        <v>Low Sales</v>
      </c>
      <c r="J20" t="str">
        <f t="shared" si="2"/>
        <v>Average Performance</v>
      </c>
      <c r="K20">
        <f t="shared" si="3"/>
        <v>2004</v>
      </c>
      <c r="L20" t="str">
        <f t="shared" si="4"/>
        <v>November</v>
      </c>
    </row>
    <row r="21" spans="1:12" x14ac:dyDescent="0.25">
      <c r="A21" t="s">
        <v>25</v>
      </c>
      <c r="C21" t="s">
        <v>261</v>
      </c>
      <c r="D21" t="str">
        <f t="shared" si="0"/>
        <v>Motorcycles</v>
      </c>
      <c r="E21" t="s">
        <v>268</v>
      </c>
      <c r="F21" s="5">
        <v>4396.1400000000003</v>
      </c>
      <c r="G21" s="5">
        <v>879.22800000000007</v>
      </c>
      <c r="I21" t="str">
        <f t="shared" si="1"/>
        <v>Low Sales</v>
      </c>
      <c r="J21" t="str">
        <f t="shared" si="2"/>
        <v>Average Performance</v>
      </c>
      <c r="K21">
        <f t="shared" si="3"/>
        <v>2004</v>
      </c>
      <c r="L21" t="str">
        <f t="shared" si="4"/>
        <v>November</v>
      </c>
    </row>
    <row r="22" spans="1:12" x14ac:dyDescent="0.25">
      <c r="A22" t="s">
        <v>26</v>
      </c>
      <c r="B22" t="s">
        <v>258</v>
      </c>
      <c r="C22" t="s">
        <v>261</v>
      </c>
      <c r="D22" t="str">
        <f t="shared" si="0"/>
        <v>Motorcycles</v>
      </c>
      <c r="E22" t="s">
        <v>268</v>
      </c>
      <c r="F22" s="5">
        <v>7737.93</v>
      </c>
      <c r="G22" s="5">
        <v>1547.586</v>
      </c>
      <c r="I22" t="str">
        <f t="shared" si="1"/>
        <v>Low Sales</v>
      </c>
      <c r="J22" t="str">
        <f t="shared" si="2"/>
        <v>Average Performance</v>
      </c>
      <c r="K22">
        <f t="shared" si="3"/>
        <v>2004</v>
      </c>
      <c r="L22" t="str">
        <f t="shared" si="4"/>
        <v>November</v>
      </c>
    </row>
    <row r="23" spans="1:12" x14ac:dyDescent="0.25">
      <c r="A23" t="s">
        <v>27</v>
      </c>
      <c r="B23" t="s">
        <v>259</v>
      </c>
      <c r="C23" t="s">
        <v>261</v>
      </c>
      <c r="D23" t="str">
        <f t="shared" si="0"/>
        <v>Motorcycles</v>
      </c>
      <c r="E23" t="s">
        <v>268</v>
      </c>
      <c r="F23" s="5">
        <v>1451</v>
      </c>
      <c r="G23" s="5">
        <v>290.2</v>
      </c>
      <c r="I23" t="str">
        <f t="shared" si="1"/>
        <v>Low Sales</v>
      </c>
      <c r="J23" t="str">
        <f t="shared" si="2"/>
        <v>Average Performance</v>
      </c>
      <c r="K23">
        <f t="shared" si="3"/>
        <v>2004</v>
      </c>
      <c r="L23" t="str">
        <f t="shared" si="4"/>
        <v>December</v>
      </c>
    </row>
    <row r="24" spans="1:12" x14ac:dyDescent="0.25">
      <c r="A24" t="s">
        <v>28</v>
      </c>
      <c r="B24" t="s">
        <v>258</v>
      </c>
      <c r="C24" t="s">
        <v>261</v>
      </c>
      <c r="D24" t="str">
        <f t="shared" si="0"/>
        <v>Motorcycles</v>
      </c>
      <c r="E24" t="s">
        <v>268</v>
      </c>
      <c r="F24" s="5">
        <v>733.11</v>
      </c>
      <c r="G24" s="5">
        <v>146.62200000000001</v>
      </c>
      <c r="I24" t="str">
        <f t="shared" si="1"/>
        <v>Low Sales</v>
      </c>
      <c r="J24" t="str">
        <f t="shared" si="2"/>
        <v>Average Performance</v>
      </c>
      <c r="K24">
        <f t="shared" si="3"/>
        <v>2005</v>
      </c>
      <c r="L24" t="str">
        <f t="shared" si="4"/>
        <v>February</v>
      </c>
    </row>
    <row r="25" spans="1:12" x14ac:dyDescent="0.25">
      <c r="A25" t="s">
        <v>29</v>
      </c>
      <c r="C25" t="s">
        <v>261</v>
      </c>
      <c r="D25" t="str">
        <f t="shared" si="0"/>
        <v>Motorcycles</v>
      </c>
      <c r="E25" t="s">
        <v>268</v>
      </c>
      <c r="F25" s="5">
        <v>3207.12</v>
      </c>
      <c r="G25" s="5">
        <v>641.42399999999998</v>
      </c>
      <c r="I25" t="str">
        <f t="shared" si="1"/>
        <v>Low Sales</v>
      </c>
      <c r="J25" t="str">
        <f t="shared" si="2"/>
        <v>Average Performance</v>
      </c>
      <c r="K25">
        <f t="shared" si="3"/>
        <v>2005</v>
      </c>
      <c r="L25" t="str">
        <f t="shared" si="4"/>
        <v>March</v>
      </c>
    </row>
    <row r="26" spans="1:12" x14ac:dyDescent="0.25">
      <c r="A26" t="s">
        <v>30</v>
      </c>
      <c r="B26" t="s">
        <v>258</v>
      </c>
      <c r="C26" t="s">
        <v>261</v>
      </c>
      <c r="D26" t="str">
        <f t="shared" si="0"/>
        <v>Motorcycles</v>
      </c>
      <c r="E26" t="s">
        <v>268</v>
      </c>
      <c r="F26" s="5">
        <v>2434.56</v>
      </c>
      <c r="G26" s="5">
        <v>486.91199999999998</v>
      </c>
      <c r="I26" t="str">
        <f t="shared" si="1"/>
        <v>Low Sales</v>
      </c>
      <c r="J26" t="str">
        <f t="shared" si="2"/>
        <v>Average Performance</v>
      </c>
      <c r="K26">
        <f t="shared" si="3"/>
        <v>2005</v>
      </c>
      <c r="L26" t="str">
        <f t="shared" si="4"/>
        <v>April</v>
      </c>
    </row>
    <row r="27" spans="1:12" x14ac:dyDescent="0.25">
      <c r="A27" t="s">
        <v>31</v>
      </c>
      <c r="B27" t="s">
        <v>258</v>
      </c>
      <c r="C27" t="s">
        <v>261</v>
      </c>
      <c r="D27" t="str">
        <f t="shared" si="0"/>
        <v>Motorcycles</v>
      </c>
      <c r="E27" t="s">
        <v>268</v>
      </c>
      <c r="F27" s="5">
        <v>7516.08</v>
      </c>
      <c r="G27" s="5">
        <v>1503.2159999999999</v>
      </c>
      <c r="I27" t="str">
        <f t="shared" si="1"/>
        <v>Low Sales</v>
      </c>
      <c r="J27" t="str">
        <f t="shared" si="2"/>
        <v>Average Performance</v>
      </c>
      <c r="K27">
        <f t="shared" si="3"/>
        <v>2005</v>
      </c>
      <c r="L27" t="str">
        <f t="shared" si="4"/>
        <v>May</v>
      </c>
    </row>
    <row r="28" spans="1:12" x14ac:dyDescent="0.25">
      <c r="A28" t="s">
        <v>32</v>
      </c>
      <c r="B28" t="s">
        <v>258</v>
      </c>
      <c r="C28" t="s">
        <v>262</v>
      </c>
      <c r="D28" t="str">
        <f t="shared" si="0"/>
        <v>Classic Cars</v>
      </c>
      <c r="E28" t="s">
        <v>269</v>
      </c>
      <c r="F28" s="5">
        <v>5404.62</v>
      </c>
      <c r="G28" s="5">
        <v>1080.924</v>
      </c>
      <c r="I28" t="str">
        <f t="shared" si="1"/>
        <v>Low Sales</v>
      </c>
      <c r="J28" t="str">
        <f t="shared" si="2"/>
        <v>Average Performance</v>
      </c>
      <c r="K28">
        <f t="shared" si="3"/>
        <v>2003</v>
      </c>
      <c r="L28" t="str">
        <f t="shared" si="4"/>
        <v>January</v>
      </c>
    </row>
    <row r="29" spans="1:12" x14ac:dyDescent="0.25">
      <c r="A29" t="s">
        <v>33</v>
      </c>
      <c r="B29" t="s">
        <v>258</v>
      </c>
      <c r="C29" t="s">
        <v>262</v>
      </c>
      <c r="D29" t="str">
        <f t="shared" si="0"/>
        <v>Classic Cars</v>
      </c>
      <c r="E29" t="s">
        <v>269</v>
      </c>
      <c r="F29" s="5">
        <v>7209.11</v>
      </c>
      <c r="G29" s="5">
        <v>1441.8219999999999</v>
      </c>
      <c r="I29" t="str">
        <f t="shared" si="1"/>
        <v>Low Sales</v>
      </c>
      <c r="J29" t="str">
        <f t="shared" si="2"/>
        <v>Average Performance</v>
      </c>
      <c r="K29">
        <f t="shared" si="3"/>
        <v>2003</v>
      </c>
      <c r="L29" t="str">
        <f t="shared" si="4"/>
        <v>March</v>
      </c>
    </row>
    <row r="30" spans="1:12" x14ac:dyDescent="0.25">
      <c r="A30" t="s">
        <v>34</v>
      </c>
      <c r="B30" t="s">
        <v>258</v>
      </c>
      <c r="C30" t="s">
        <v>262</v>
      </c>
      <c r="D30" t="str">
        <f t="shared" si="0"/>
        <v>Classic Cars</v>
      </c>
      <c r="E30" t="s">
        <v>269</v>
      </c>
      <c r="F30" s="5">
        <v>7329.06</v>
      </c>
      <c r="G30" s="5">
        <v>1465.8119999999999</v>
      </c>
      <c r="I30" t="str">
        <f t="shared" si="1"/>
        <v>Low Sales</v>
      </c>
      <c r="J30" t="str">
        <f t="shared" si="2"/>
        <v>Average Performance</v>
      </c>
      <c r="K30">
        <f t="shared" si="3"/>
        <v>2003</v>
      </c>
      <c r="L30" t="str">
        <f t="shared" si="4"/>
        <v>May</v>
      </c>
    </row>
    <row r="31" spans="1:12" x14ac:dyDescent="0.25">
      <c r="A31" t="s">
        <v>35</v>
      </c>
      <c r="C31" t="s">
        <v>262</v>
      </c>
      <c r="D31" t="str">
        <f t="shared" si="0"/>
        <v>Classic Cars</v>
      </c>
      <c r="E31" t="s">
        <v>269</v>
      </c>
      <c r="F31" s="5">
        <v>7374.1</v>
      </c>
      <c r="G31" s="5">
        <v>1474.82</v>
      </c>
      <c r="I31" t="str">
        <f t="shared" si="1"/>
        <v>Low Sales</v>
      </c>
      <c r="J31" t="str">
        <f t="shared" si="2"/>
        <v>Average Performance</v>
      </c>
      <c r="K31">
        <f t="shared" si="3"/>
        <v>2003</v>
      </c>
      <c r="L31" t="str">
        <f t="shared" si="4"/>
        <v>July</v>
      </c>
    </row>
    <row r="32" spans="1:12" x14ac:dyDescent="0.25">
      <c r="A32" t="s">
        <v>36</v>
      </c>
      <c r="B32" t="s">
        <v>260</v>
      </c>
      <c r="C32" t="s">
        <v>262</v>
      </c>
      <c r="D32" t="str">
        <f t="shared" si="0"/>
        <v>Classic Cars</v>
      </c>
      <c r="E32" t="s">
        <v>269</v>
      </c>
      <c r="F32" s="5">
        <v>10993.5</v>
      </c>
      <c r="G32" s="5">
        <v>2198.6999999999998</v>
      </c>
      <c r="I32" t="str">
        <f t="shared" si="1"/>
        <v>Low Sales</v>
      </c>
      <c r="J32" t="str">
        <f t="shared" si="2"/>
        <v>Average Performance</v>
      </c>
      <c r="K32">
        <f t="shared" si="3"/>
        <v>2003</v>
      </c>
      <c r="L32" t="str">
        <f t="shared" si="4"/>
        <v>September</v>
      </c>
    </row>
    <row r="33" spans="1:12" x14ac:dyDescent="0.25">
      <c r="A33" t="s">
        <v>37</v>
      </c>
      <c r="C33" t="s">
        <v>262</v>
      </c>
      <c r="D33" t="str">
        <f t="shared" si="0"/>
        <v>Classic Cars</v>
      </c>
      <c r="E33" t="s">
        <v>269</v>
      </c>
      <c r="F33" s="5">
        <v>4860.24</v>
      </c>
      <c r="G33" s="5">
        <v>972.048</v>
      </c>
      <c r="I33" t="str">
        <f t="shared" si="1"/>
        <v>Low Sales</v>
      </c>
      <c r="J33" t="str">
        <f t="shared" si="2"/>
        <v>Average Performance</v>
      </c>
      <c r="K33">
        <f t="shared" si="3"/>
        <v>2003</v>
      </c>
      <c r="L33" t="str">
        <f t="shared" si="4"/>
        <v>October</v>
      </c>
    </row>
    <row r="34" spans="1:12" x14ac:dyDescent="0.25">
      <c r="A34" t="s">
        <v>38</v>
      </c>
      <c r="B34" t="s">
        <v>259</v>
      </c>
      <c r="C34" t="s">
        <v>262</v>
      </c>
      <c r="D34" t="str">
        <f t="shared" si="0"/>
        <v>Classic Cars</v>
      </c>
      <c r="E34" t="s">
        <v>269</v>
      </c>
      <c r="F34" s="5">
        <v>8014.82</v>
      </c>
      <c r="G34" s="5">
        <v>1602.9639999999999</v>
      </c>
      <c r="I34" t="str">
        <f t="shared" si="1"/>
        <v>Low Sales</v>
      </c>
      <c r="J34" t="str">
        <f t="shared" si="2"/>
        <v>Average Performance</v>
      </c>
      <c r="K34">
        <f t="shared" si="3"/>
        <v>2003</v>
      </c>
      <c r="L34" t="str">
        <f t="shared" si="4"/>
        <v>November</v>
      </c>
    </row>
    <row r="35" spans="1:12" x14ac:dyDescent="0.25">
      <c r="A35" t="s">
        <v>39</v>
      </c>
      <c r="C35" t="s">
        <v>262</v>
      </c>
      <c r="D35" t="str">
        <f t="shared" si="0"/>
        <v>Classic Cars</v>
      </c>
      <c r="E35" t="s">
        <v>269</v>
      </c>
      <c r="F35" s="5">
        <v>5372.57</v>
      </c>
      <c r="G35" s="5">
        <v>1074.5139999999999</v>
      </c>
      <c r="I35" t="str">
        <f t="shared" si="1"/>
        <v>Low Sales</v>
      </c>
      <c r="J35" t="str">
        <f t="shared" si="2"/>
        <v>Average Performance</v>
      </c>
      <c r="K35">
        <f t="shared" si="3"/>
        <v>2003</v>
      </c>
      <c r="L35" t="str">
        <f t="shared" si="4"/>
        <v>November</v>
      </c>
    </row>
    <row r="36" spans="1:12" x14ac:dyDescent="0.25">
      <c r="A36" t="s">
        <v>40</v>
      </c>
      <c r="B36" t="s">
        <v>258</v>
      </c>
      <c r="C36" t="s">
        <v>262</v>
      </c>
      <c r="D36" t="str">
        <f t="shared" si="0"/>
        <v>Classic Cars</v>
      </c>
      <c r="E36" t="s">
        <v>269</v>
      </c>
      <c r="F36" s="5">
        <v>7290.36</v>
      </c>
      <c r="G36" s="5">
        <v>1458.0719999999999</v>
      </c>
      <c r="I36" t="str">
        <f t="shared" si="1"/>
        <v>Low Sales</v>
      </c>
      <c r="J36" t="str">
        <f t="shared" si="2"/>
        <v>Average Performance</v>
      </c>
      <c r="K36">
        <f t="shared" si="3"/>
        <v>2003</v>
      </c>
      <c r="L36" t="str">
        <f t="shared" si="4"/>
        <v>November</v>
      </c>
    </row>
    <row r="37" spans="1:12" x14ac:dyDescent="0.25">
      <c r="A37" t="s">
        <v>41</v>
      </c>
      <c r="C37" t="s">
        <v>262</v>
      </c>
      <c r="D37" t="str">
        <f t="shared" si="0"/>
        <v>Classic Cars</v>
      </c>
      <c r="E37" t="s">
        <v>269</v>
      </c>
      <c r="F37" s="5">
        <v>9064.89</v>
      </c>
      <c r="G37" s="5">
        <v>1812.9780000000001</v>
      </c>
      <c r="I37" t="str">
        <f t="shared" si="1"/>
        <v>Low Sales</v>
      </c>
      <c r="J37" t="str">
        <f t="shared" si="2"/>
        <v>Average Performance</v>
      </c>
      <c r="K37">
        <f t="shared" si="3"/>
        <v>2003</v>
      </c>
      <c r="L37" t="str">
        <f t="shared" si="4"/>
        <v>December</v>
      </c>
    </row>
    <row r="38" spans="1:12" x14ac:dyDescent="0.25">
      <c r="A38" t="s">
        <v>42</v>
      </c>
      <c r="C38" t="s">
        <v>262</v>
      </c>
      <c r="D38" t="str">
        <f t="shared" si="0"/>
        <v>Classic Cars</v>
      </c>
      <c r="E38" t="s">
        <v>269</v>
      </c>
      <c r="F38" s="5">
        <v>6075.3</v>
      </c>
      <c r="G38" s="5">
        <v>1215.06</v>
      </c>
      <c r="I38" t="str">
        <f t="shared" si="1"/>
        <v>Low Sales</v>
      </c>
      <c r="J38" t="str">
        <f t="shared" si="2"/>
        <v>Average Performance</v>
      </c>
      <c r="K38">
        <f t="shared" si="3"/>
        <v>2004</v>
      </c>
      <c r="L38" t="str">
        <f t="shared" si="4"/>
        <v>January</v>
      </c>
    </row>
    <row r="39" spans="1:12" x14ac:dyDescent="0.25">
      <c r="A39" t="s">
        <v>43</v>
      </c>
      <c r="C39" t="s">
        <v>262</v>
      </c>
      <c r="D39" t="str">
        <f t="shared" si="0"/>
        <v>Classic Cars</v>
      </c>
      <c r="E39" t="s">
        <v>269</v>
      </c>
      <c r="F39" s="5">
        <v>6463.23</v>
      </c>
      <c r="G39" s="5">
        <v>1292.646</v>
      </c>
      <c r="I39" t="str">
        <f t="shared" si="1"/>
        <v>Low Sales</v>
      </c>
      <c r="J39" t="str">
        <f t="shared" si="2"/>
        <v>Average Performance</v>
      </c>
      <c r="K39">
        <f t="shared" si="3"/>
        <v>2004</v>
      </c>
      <c r="L39" t="str">
        <f t="shared" si="4"/>
        <v>March</v>
      </c>
    </row>
    <row r="40" spans="1:12" x14ac:dyDescent="0.25">
      <c r="A40" t="s">
        <v>44</v>
      </c>
      <c r="C40" t="s">
        <v>262</v>
      </c>
      <c r="D40" t="str">
        <f t="shared" si="0"/>
        <v>Classic Cars</v>
      </c>
      <c r="E40" t="s">
        <v>269</v>
      </c>
      <c r="F40" s="5">
        <v>6120.34</v>
      </c>
      <c r="G40" s="5">
        <v>1224.068</v>
      </c>
      <c r="I40" t="str">
        <f t="shared" si="1"/>
        <v>Low Sales</v>
      </c>
      <c r="J40" t="str">
        <f t="shared" si="2"/>
        <v>Average Performance</v>
      </c>
      <c r="K40">
        <f t="shared" si="3"/>
        <v>2004</v>
      </c>
      <c r="L40" t="str">
        <f t="shared" si="4"/>
        <v>May</v>
      </c>
    </row>
    <row r="41" spans="1:12" x14ac:dyDescent="0.25">
      <c r="A41" t="s">
        <v>45</v>
      </c>
      <c r="B41" t="s">
        <v>260</v>
      </c>
      <c r="C41" t="s">
        <v>262</v>
      </c>
      <c r="D41" t="str">
        <f t="shared" si="0"/>
        <v>Classic Cars</v>
      </c>
      <c r="E41" t="s">
        <v>269</v>
      </c>
      <c r="F41" s="5">
        <v>7680.64</v>
      </c>
      <c r="G41" s="5">
        <v>1536.1279999999999</v>
      </c>
      <c r="I41" t="str">
        <f t="shared" si="1"/>
        <v>Low Sales</v>
      </c>
      <c r="J41" t="str">
        <f t="shared" si="2"/>
        <v>Average Performance</v>
      </c>
      <c r="K41">
        <f t="shared" si="3"/>
        <v>2004</v>
      </c>
      <c r="L41" t="str">
        <f t="shared" si="4"/>
        <v>June</v>
      </c>
    </row>
    <row r="42" spans="1:12" x14ac:dyDescent="0.25">
      <c r="A42" t="s">
        <v>46</v>
      </c>
      <c r="B42" t="s">
        <v>259</v>
      </c>
      <c r="C42" t="s">
        <v>262</v>
      </c>
      <c r="D42" t="str">
        <f t="shared" si="0"/>
        <v>Classic Cars</v>
      </c>
      <c r="E42" t="s">
        <v>269</v>
      </c>
      <c r="F42" s="5">
        <v>4905.3900000000003</v>
      </c>
      <c r="G42" s="5">
        <v>981.07800000000009</v>
      </c>
      <c r="I42" t="str">
        <f t="shared" si="1"/>
        <v>Low Sales</v>
      </c>
      <c r="J42" t="str">
        <f t="shared" si="2"/>
        <v>Average Performance</v>
      </c>
      <c r="K42">
        <f t="shared" si="3"/>
        <v>2004</v>
      </c>
      <c r="L42" t="str">
        <f t="shared" si="4"/>
        <v>July</v>
      </c>
    </row>
    <row r="43" spans="1:12" x14ac:dyDescent="0.25">
      <c r="A43" t="s">
        <v>47</v>
      </c>
      <c r="B43" t="s">
        <v>258</v>
      </c>
      <c r="C43" t="s">
        <v>262</v>
      </c>
      <c r="D43" t="str">
        <f t="shared" si="0"/>
        <v>Classic Cars</v>
      </c>
      <c r="E43" t="s">
        <v>269</v>
      </c>
      <c r="F43" s="5">
        <v>8014.82</v>
      </c>
      <c r="G43" s="5">
        <v>1602.9639999999999</v>
      </c>
      <c r="I43" t="str">
        <f t="shared" si="1"/>
        <v>Low Sales</v>
      </c>
      <c r="J43" t="str">
        <f t="shared" si="2"/>
        <v>Average Performance</v>
      </c>
      <c r="K43">
        <f t="shared" si="3"/>
        <v>2004</v>
      </c>
      <c r="L43" t="str">
        <f t="shared" si="4"/>
        <v>August</v>
      </c>
    </row>
    <row r="44" spans="1:12" x14ac:dyDescent="0.25">
      <c r="A44" t="s">
        <v>48</v>
      </c>
      <c r="B44" t="s">
        <v>258</v>
      </c>
      <c r="C44" t="s">
        <v>262</v>
      </c>
      <c r="D44" t="str">
        <f t="shared" si="0"/>
        <v>Classic Cars</v>
      </c>
      <c r="E44" t="s">
        <v>269</v>
      </c>
      <c r="F44" s="5">
        <v>7136.19</v>
      </c>
      <c r="G44" s="5">
        <v>1427.2380000000001</v>
      </c>
      <c r="I44" t="str">
        <f t="shared" si="1"/>
        <v>Low Sales</v>
      </c>
      <c r="J44" t="str">
        <f t="shared" si="2"/>
        <v>Average Performance</v>
      </c>
      <c r="K44">
        <f t="shared" si="3"/>
        <v>2004</v>
      </c>
      <c r="L44" t="str">
        <f t="shared" si="4"/>
        <v>September</v>
      </c>
    </row>
    <row r="45" spans="1:12" x14ac:dyDescent="0.25">
      <c r="A45" t="s">
        <v>49</v>
      </c>
      <c r="B45" t="s">
        <v>258</v>
      </c>
      <c r="C45" t="s">
        <v>262</v>
      </c>
      <c r="D45" t="str">
        <f t="shared" si="0"/>
        <v>Classic Cars</v>
      </c>
      <c r="E45" t="s">
        <v>269</v>
      </c>
      <c r="F45" s="5">
        <v>10172.700000000001</v>
      </c>
      <c r="G45" s="5">
        <v>2034.54</v>
      </c>
      <c r="I45" t="str">
        <f t="shared" si="1"/>
        <v>Low Sales</v>
      </c>
      <c r="J45" t="str">
        <f t="shared" si="2"/>
        <v>Average Performance</v>
      </c>
      <c r="K45">
        <f t="shared" si="3"/>
        <v>2004</v>
      </c>
      <c r="L45" t="str">
        <f t="shared" si="4"/>
        <v>October</v>
      </c>
    </row>
    <row r="46" spans="1:12" x14ac:dyDescent="0.25">
      <c r="A46" t="s">
        <v>50</v>
      </c>
      <c r="C46" t="s">
        <v>262</v>
      </c>
      <c r="D46" t="str">
        <f t="shared" si="0"/>
        <v>Classic Cars</v>
      </c>
      <c r="E46" t="s">
        <v>269</v>
      </c>
      <c r="F46" s="5">
        <v>11623.7</v>
      </c>
      <c r="G46" s="5">
        <v>2324.7399999999998</v>
      </c>
      <c r="I46" t="str">
        <f t="shared" si="1"/>
        <v>Low Sales</v>
      </c>
      <c r="J46" t="str">
        <f t="shared" si="2"/>
        <v>Average Performance</v>
      </c>
      <c r="K46">
        <f t="shared" si="3"/>
        <v>2004</v>
      </c>
      <c r="L46" t="str">
        <f t="shared" si="4"/>
        <v>October</v>
      </c>
    </row>
    <row r="47" spans="1:12" x14ac:dyDescent="0.25">
      <c r="A47" t="s">
        <v>51</v>
      </c>
      <c r="C47" t="s">
        <v>262</v>
      </c>
      <c r="D47" t="str">
        <f t="shared" si="0"/>
        <v>Classic Cars</v>
      </c>
      <c r="E47" t="s">
        <v>269</v>
      </c>
      <c r="F47" s="5">
        <v>6000.4</v>
      </c>
      <c r="G47" s="5">
        <v>1200.08</v>
      </c>
      <c r="I47" t="str">
        <f t="shared" si="1"/>
        <v>Low Sales</v>
      </c>
      <c r="J47" t="str">
        <f t="shared" si="2"/>
        <v>Average Performance</v>
      </c>
      <c r="K47">
        <f t="shared" si="3"/>
        <v>2004</v>
      </c>
      <c r="L47" t="str">
        <f t="shared" si="4"/>
        <v>November</v>
      </c>
    </row>
    <row r="48" spans="1:12" x14ac:dyDescent="0.25">
      <c r="A48" t="s">
        <v>52</v>
      </c>
      <c r="C48" t="s">
        <v>262</v>
      </c>
      <c r="D48" t="str">
        <f t="shared" si="0"/>
        <v>Classic Cars</v>
      </c>
      <c r="E48" t="s">
        <v>269</v>
      </c>
      <c r="F48" s="5">
        <v>3003</v>
      </c>
      <c r="G48" s="5">
        <v>600.6</v>
      </c>
      <c r="I48" t="str">
        <f t="shared" si="1"/>
        <v>Low Sales</v>
      </c>
      <c r="J48" t="str">
        <f t="shared" si="2"/>
        <v>Average Performance</v>
      </c>
      <c r="K48">
        <f t="shared" si="3"/>
        <v>2004</v>
      </c>
      <c r="L48" t="str">
        <f t="shared" si="4"/>
        <v>November</v>
      </c>
    </row>
    <row r="49" spans="1:12" x14ac:dyDescent="0.25">
      <c r="A49" t="s">
        <v>53</v>
      </c>
      <c r="B49" t="s">
        <v>259</v>
      </c>
      <c r="C49" t="s">
        <v>262</v>
      </c>
      <c r="D49" t="str">
        <f t="shared" si="0"/>
        <v>Classic Cars</v>
      </c>
      <c r="E49" t="s">
        <v>269</v>
      </c>
      <c r="F49" s="5">
        <v>3944.7</v>
      </c>
      <c r="G49" s="5">
        <v>788.94</v>
      </c>
      <c r="I49" t="str">
        <f t="shared" si="1"/>
        <v>Low Sales</v>
      </c>
      <c r="J49" t="str">
        <f t="shared" si="2"/>
        <v>Average Performance</v>
      </c>
      <c r="K49">
        <f t="shared" si="3"/>
        <v>2004</v>
      </c>
      <c r="L49" t="str">
        <f t="shared" si="4"/>
        <v>November</v>
      </c>
    </row>
    <row r="50" spans="1:12" x14ac:dyDescent="0.25">
      <c r="A50" t="s">
        <v>54</v>
      </c>
      <c r="C50" t="s">
        <v>262</v>
      </c>
      <c r="D50" t="str">
        <f t="shared" si="0"/>
        <v>Classic Cars</v>
      </c>
      <c r="E50" t="s">
        <v>269</v>
      </c>
      <c r="F50" s="5">
        <v>5691.84</v>
      </c>
      <c r="G50" s="5">
        <v>1138.3679999999999</v>
      </c>
      <c r="I50" t="str">
        <f t="shared" si="1"/>
        <v>Low Sales</v>
      </c>
      <c r="J50" t="str">
        <f t="shared" si="2"/>
        <v>Average Performance</v>
      </c>
      <c r="K50">
        <f t="shared" si="3"/>
        <v>2004</v>
      </c>
      <c r="L50" t="str">
        <f t="shared" si="4"/>
        <v>December</v>
      </c>
    </row>
    <row r="51" spans="1:12" x14ac:dyDescent="0.25">
      <c r="A51" t="s">
        <v>55</v>
      </c>
      <c r="C51" t="s">
        <v>262</v>
      </c>
      <c r="D51" t="str">
        <f t="shared" si="0"/>
        <v>Classic Cars</v>
      </c>
      <c r="E51" t="s">
        <v>269</v>
      </c>
      <c r="F51" s="5">
        <v>4514.92</v>
      </c>
      <c r="G51" s="5">
        <v>902.98400000000004</v>
      </c>
      <c r="I51" t="str">
        <f t="shared" si="1"/>
        <v>Low Sales</v>
      </c>
      <c r="J51" t="str">
        <f t="shared" si="2"/>
        <v>Average Performance</v>
      </c>
      <c r="K51">
        <f t="shared" si="3"/>
        <v>2005</v>
      </c>
      <c r="L51" t="str">
        <f t="shared" si="4"/>
        <v>January</v>
      </c>
    </row>
    <row r="52" spans="1:12" x14ac:dyDescent="0.25">
      <c r="A52" t="s">
        <v>56</v>
      </c>
      <c r="C52" t="s">
        <v>262</v>
      </c>
      <c r="D52" t="str">
        <f t="shared" si="0"/>
        <v>Classic Cars</v>
      </c>
      <c r="E52" t="s">
        <v>269</v>
      </c>
      <c r="F52" s="5">
        <v>8254.7999999999993</v>
      </c>
      <c r="G52" s="5">
        <v>1650.96</v>
      </c>
      <c r="I52" t="str">
        <f t="shared" si="1"/>
        <v>Low Sales</v>
      </c>
      <c r="J52" t="str">
        <f t="shared" si="2"/>
        <v>Average Performance</v>
      </c>
      <c r="K52">
        <f t="shared" si="3"/>
        <v>2005</v>
      </c>
      <c r="L52" t="str">
        <f t="shared" si="4"/>
        <v>February</v>
      </c>
    </row>
    <row r="53" spans="1:12" x14ac:dyDescent="0.25">
      <c r="A53" t="s">
        <v>57</v>
      </c>
      <c r="B53" t="s">
        <v>259</v>
      </c>
      <c r="C53" t="s">
        <v>262</v>
      </c>
      <c r="D53" t="str">
        <f t="shared" si="0"/>
        <v>Classic Cars</v>
      </c>
      <c r="E53" t="s">
        <v>269</v>
      </c>
      <c r="F53" s="5">
        <v>2416.56</v>
      </c>
      <c r="G53" s="5">
        <v>483.31200000000001</v>
      </c>
      <c r="I53" t="str">
        <f t="shared" si="1"/>
        <v>Low Sales</v>
      </c>
      <c r="J53" t="str">
        <f t="shared" si="2"/>
        <v>Average Performance</v>
      </c>
      <c r="K53">
        <f t="shared" si="3"/>
        <v>2005</v>
      </c>
      <c r="L53" t="str">
        <f t="shared" si="4"/>
        <v>March</v>
      </c>
    </row>
    <row r="54" spans="1:12" x14ac:dyDescent="0.25">
      <c r="A54" t="s">
        <v>58</v>
      </c>
      <c r="C54" t="s">
        <v>262</v>
      </c>
      <c r="D54" t="str">
        <f t="shared" si="0"/>
        <v>Classic Cars</v>
      </c>
      <c r="E54" t="s">
        <v>269</v>
      </c>
      <c r="F54" s="5">
        <v>4140.2299999999996</v>
      </c>
      <c r="G54" s="5">
        <v>828.04599999999994</v>
      </c>
      <c r="I54" t="str">
        <f t="shared" si="1"/>
        <v>Low Sales</v>
      </c>
      <c r="J54" t="str">
        <f t="shared" si="2"/>
        <v>Average Performance</v>
      </c>
      <c r="K54">
        <f t="shared" si="3"/>
        <v>2005</v>
      </c>
      <c r="L54" t="str">
        <f t="shared" si="4"/>
        <v>May</v>
      </c>
    </row>
    <row r="55" spans="1:12" x14ac:dyDescent="0.25">
      <c r="A55" t="s">
        <v>59</v>
      </c>
      <c r="B55" t="s">
        <v>258</v>
      </c>
      <c r="C55" t="s">
        <v>262</v>
      </c>
      <c r="D55" t="str">
        <f t="shared" si="0"/>
        <v>Classic Cars</v>
      </c>
      <c r="E55" t="s">
        <v>269</v>
      </c>
      <c r="F55" s="5">
        <v>12001</v>
      </c>
      <c r="G55" s="5">
        <v>2400.1999999999998</v>
      </c>
      <c r="I55" t="str">
        <f t="shared" si="1"/>
        <v>Low Sales</v>
      </c>
      <c r="J55" t="str">
        <f t="shared" si="2"/>
        <v>Average Performance</v>
      </c>
      <c r="K55">
        <f t="shared" si="3"/>
        <v>2005</v>
      </c>
      <c r="L55" t="str">
        <f t="shared" si="4"/>
        <v>May</v>
      </c>
    </row>
    <row r="56" spans="1:12" x14ac:dyDescent="0.25">
      <c r="A56" t="s">
        <v>6</v>
      </c>
      <c r="C56" t="s">
        <v>261</v>
      </c>
      <c r="D56" t="str">
        <f t="shared" si="0"/>
        <v>Motorcycles</v>
      </c>
      <c r="E56" t="s">
        <v>270</v>
      </c>
      <c r="F56" s="5">
        <v>3896.49</v>
      </c>
      <c r="G56" s="5">
        <v>779.298</v>
      </c>
      <c r="I56" t="str">
        <f t="shared" si="1"/>
        <v>Low Sales</v>
      </c>
      <c r="J56" t="str">
        <f t="shared" si="2"/>
        <v>Average Performance</v>
      </c>
      <c r="K56">
        <f t="shared" si="3"/>
        <v>2003</v>
      </c>
      <c r="L56" t="str">
        <f t="shared" si="4"/>
        <v>February</v>
      </c>
    </row>
    <row r="57" spans="1:12" x14ac:dyDescent="0.25">
      <c r="A57" t="s">
        <v>60</v>
      </c>
      <c r="B57" t="s">
        <v>259</v>
      </c>
      <c r="C57" t="s">
        <v>261</v>
      </c>
      <c r="D57" t="str">
        <f t="shared" si="0"/>
        <v>Motorcycles</v>
      </c>
      <c r="E57" t="s">
        <v>270</v>
      </c>
      <c r="F57" s="5">
        <v>2793.86</v>
      </c>
      <c r="G57" s="5">
        <v>558.77200000000005</v>
      </c>
      <c r="I57" t="str">
        <f t="shared" si="1"/>
        <v>Low Sales</v>
      </c>
      <c r="J57" t="str">
        <f t="shared" si="2"/>
        <v>Average Performance</v>
      </c>
      <c r="K57">
        <f t="shared" si="3"/>
        <v>2003</v>
      </c>
      <c r="L57" t="str">
        <f t="shared" si="4"/>
        <v>April</v>
      </c>
    </row>
    <row r="58" spans="1:12" x14ac:dyDescent="0.25">
      <c r="A58" t="s">
        <v>8</v>
      </c>
      <c r="B58" t="s">
        <v>258</v>
      </c>
      <c r="C58" t="s">
        <v>261</v>
      </c>
      <c r="D58" t="str">
        <f t="shared" si="0"/>
        <v>Motorcycles</v>
      </c>
      <c r="E58" t="s">
        <v>270</v>
      </c>
      <c r="F58" s="5">
        <v>3307.77</v>
      </c>
      <c r="G58" s="5">
        <v>661.55400000000009</v>
      </c>
      <c r="I58" t="str">
        <f t="shared" si="1"/>
        <v>Low Sales</v>
      </c>
      <c r="J58" t="str">
        <f t="shared" si="2"/>
        <v>Average Performance</v>
      </c>
      <c r="K58">
        <f t="shared" si="3"/>
        <v>2003</v>
      </c>
      <c r="L58" t="str">
        <f t="shared" si="4"/>
        <v>July</v>
      </c>
    </row>
    <row r="59" spans="1:12" x14ac:dyDescent="0.25">
      <c r="A59" t="s">
        <v>9</v>
      </c>
      <c r="C59" t="s">
        <v>261</v>
      </c>
      <c r="D59" t="str">
        <f t="shared" si="0"/>
        <v>Motorcycles</v>
      </c>
      <c r="E59" t="s">
        <v>270</v>
      </c>
      <c r="F59" s="5">
        <v>5192.95</v>
      </c>
      <c r="G59" s="5">
        <v>1038.5899999999999</v>
      </c>
      <c r="I59" t="str">
        <f t="shared" si="1"/>
        <v>Low Sales</v>
      </c>
      <c r="J59" t="str">
        <f t="shared" si="2"/>
        <v>Average Performance</v>
      </c>
      <c r="K59">
        <f t="shared" si="3"/>
        <v>2003</v>
      </c>
      <c r="L59" t="str">
        <f t="shared" si="4"/>
        <v>August</v>
      </c>
    </row>
    <row r="60" spans="1:12" x14ac:dyDescent="0.25">
      <c r="A60" t="s">
        <v>10</v>
      </c>
      <c r="C60" t="s">
        <v>261</v>
      </c>
      <c r="D60" t="str">
        <f t="shared" si="0"/>
        <v>Motorcycles</v>
      </c>
      <c r="E60" t="s">
        <v>270</v>
      </c>
      <c r="F60" s="5">
        <v>5016.83</v>
      </c>
      <c r="G60" s="5">
        <v>1003.366</v>
      </c>
      <c r="I60" t="str">
        <f t="shared" si="1"/>
        <v>Low Sales</v>
      </c>
      <c r="J60" t="str">
        <f t="shared" si="2"/>
        <v>Average Performance</v>
      </c>
      <c r="K60">
        <f t="shared" si="3"/>
        <v>2003</v>
      </c>
      <c r="L60" t="str">
        <f t="shared" si="4"/>
        <v>October</v>
      </c>
    </row>
    <row r="61" spans="1:12" x14ac:dyDescent="0.25">
      <c r="A61" t="s">
        <v>11</v>
      </c>
      <c r="C61" t="s">
        <v>261</v>
      </c>
      <c r="D61" t="str">
        <f t="shared" si="0"/>
        <v>Motorcycles</v>
      </c>
      <c r="E61" t="s">
        <v>270</v>
      </c>
      <c r="F61" s="5">
        <v>3660.93</v>
      </c>
      <c r="G61" s="5">
        <v>732.18600000000004</v>
      </c>
      <c r="I61" t="str">
        <f t="shared" si="1"/>
        <v>Low Sales</v>
      </c>
      <c r="J61" t="str">
        <f t="shared" si="2"/>
        <v>Average Performance</v>
      </c>
      <c r="K61">
        <f t="shared" si="3"/>
        <v>2003</v>
      </c>
      <c r="L61" t="str">
        <f t="shared" si="4"/>
        <v>October</v>
      </c>
    </row>
    <row r="62" spans="1:12" x14ac:dyDescent="0.25">
      <c r="A62" t="s">
        <v>12</v>
      </c>
      <c r="B62" t="s">
        <v>258</v>
      </c>
      <c r="C62" t="s">
        <v>261</v>
      </c>
      <c r="D62" t="str">
        <f t="shared" si="0"/>
        <v>Motorcycles</v>
      </c>
      <c r="E62" t="s">
        <v>270</v>
      </c>
      <c r="F62" s="5">
        <v>4695.6000000000004</v>
      </c>
      <c r="G62" s="5">
        <v>939.12000000000012</v>
      </c>
      <c r="I62" t="str">
        <f t="shared" si="1"/>
        <v>Low Sales</v>
      </c>
      <c r="J62" t="str">
        <f t="shared" si="2"/>
        <v>Average Performance</v>
      </c>
      <c r="K62">
        <f t="shared" si="3"/>
        <v>2003</v>
      </c>
      <c r="L62" t="str">
        <f t="shared" si="4"/>
        <v>November</v>
      </c>
    </row>
    <row r="63" spans="1:12" x14ac:dyDescent="0.25">
      <c r="A63" t="s">
        <v>13</v>
      </c>
      <c r="B63" t="s">
        <v>258</v>
      </c>
      <c r="C63" t="s">
        <v>261</v>
      </c>
      <c r="D63" t="str">
        <f t="shared" si="0"/>
        <v>Motorcycles</v>
      </c>
      <c r="E63" t="s">
        <v>270</v>
      </c>
      <c r="F63" s="5">
        <v>3660.92</v>
      </c>
      <c r="G63" s="5">
        <v>732.18400000000008</v>
      </c>
      <c r="I63" t="str">
        <f t="shared" si="1"/>
        <v>Low Sales</v>
      </c>
      <c r="J63" t="str">
        <f t="shared" si="2"/>
        <v>Average Performance</v>
      </c>
      <c r="K63">
        <f t="shared" si="3"/>
        <v>2003</v>
      </c>
      <c r="L63" t="str">
        <f t="shared" si="4"/>
        <v>November</v>
      </c>
    </row>
    <row r="64" spans="1:12" x14ac:dyDescent="0.25">
      <c r="A64" t="s">
        <v>14</v>
      </c>
      <c r="C64" t="s">
        <v>261</v>
      </c>
      <c r="D64" t="str">
        <f t="shared" si="0"/>
        <v>Motorcycles</v>
      </c>
      <c r="E64" t="s">
        <v>270</v>
      </c>
      <c r="F64" s="5">
        <v>3025.92</v>
      </c>
      <c r="G64" s="5">
        <v>605.18400000000008</v>
      </c>
      <c r="I64" t="str">
        <f t="shared" si="1"/>
        <v>Low Sales</v>
      </c>
      <c r="J64" t="str">
        <f t="shared" si="2"/>
        <v>Average Performance</v>
      </c>
      <c r="K64">
        <f t="shared" si="3"/>
        <v>2003</v>
      </c>
      <c r="L64" t="str">
        <f t="shared" si="4"/>
        <v>December</v>
      </c>
    </row>
    <row r="65" spans="1:12" x14ac:dyDescent="0.25">
      <c r="A65" t="s">
        <v>61</v>
      </c>
      <c r="B65" t="s">
        <v>260</v>
      </c>
      <c r="C65" t="s">
        <v>261</v>
      </c>
      <c r="D65" t="str">
        <f t="shared" si="0"/>
        <v>Motorcycles</v>
      </c>
      <c r="E65" t="s">
        <v>270</v>
      </c>
      <c r="F65" s="5">
        <v>3009.09</v>
      </c>
      <c r="G65" s="5">
        <v>601.8180000000001</v>
      </c>
      <c r="I65" t="str">
        <f t="shared" si="1"/>
        <v>Low Sales</v>
      </c>
      <c r="J65" t="str">
        <f t="shared" si="2"/>
        <v>Average Performance</v>
      </c>
      <c r="K65">
        <f t="shared" si="3"/>
        <v>2004</v>
      </c>
      <c r="L65" t="str">
        <f t="shared" si="4"/>
        <v>January</v>
      </c>
    </row>
    <row r="66" spans="1:12" x14ac:dyDescent="0.25">
      <c r="A66" t="s">
        <v>16</v>
      </c>
      <c r="B66" t="s">
        <v>259</v>
      </c>
      <c r="C66" t="s">
        <v>261</v>
      </c>
      <c r="D66" t="str">
        <f t="shared" si="0"/>
        <v>Motorcycles</v>
      </c>
      <c r="E66" t="s">
        <v>270</v>
      </c>
      <c r="F66" s="5">
        <v>5422.39</v>
      </c>
      <c r="G66" s="5">
        <v>1084.4780000000001</v>
      </c>
      <c r="I66" t="str">
        <f t="shared" si="1"/>
        <v>Low Sales</v>
      </c>
      <c r="J66" t="str">
        <f t="shared" si="2"/>
        <v>Average Performance</v>
      </c>
      <c r="K66">
        <f t="shared" si="3"/>
        <v>2004</v>
      </c>
      <c r="L66" t="str">
        <f t="shared" si="4"/>
        <v>February</v>
      </c>
    </row>
    <row r="67" spans="1:12" x14ac:dyDescent="0.25">
      <c r="A67" t="s">
        <v>62</v>
      </c>
      <c r="C67" t="s">
        <v>261</v>
      </c>
      <c r="D67" t="str">
        <f t="shared" ref="D67:D130" si="5">PROPER(TRIM(C67))</f>
        <v>Motorcycles</v>
      </c>
      <c r="E67" t="s">
        <v>270</v>
      </c>
      <c r="F67" s="5">
        <v>2852.08</v>
      </c>
      <c r="G67" s="5">
        <v>570.41600000000005</v>
      </c>
      <c r="I67" t="str">
        <f t="shared" ref="I67:I130" si="6">IF(F67&gt;50000,"High Sales","Low Sales")</f>
        <v>Low Sales</v>
      </c>
      <c r="J67" t="str">
        <f t="shared" ref="J67:J130" si="7">IF(AND(F67&gt;30000,G67&gt;5000),"Good Performance","Average Performance")</f>
        <v>Average Performance</v>
      </c>
      <c r="K67">
        <f t="shared" ref="K67:K130" si="8">YEAR(A67)</f>
        <v>2004</v>
      </c>
      <c r="L67" t="str">
        <f t="shared" ref="L67:L130" si="9">TEXT(A67,"mmmm")</f>
        <v>April</v>
      </c>
    </row>
    <row r="68" spans="1:12" x14ac:dyDescent="0.25">
      <c r="A68" t="s">
        <v>18</v>
      </c>
      <c r="C68" t="s">
        <v>261</v>
      </c>
      <c r="D68" t="str">
        <f t="shared" si="5"/>
        <v>Motorcycles</v>
      </c>
      <c r="E68" t="s">
        <v>270</v>
      </c>
      <c r="F68" s="5">
        <v>5756.52</v>
      </c>
      <c r="G68" s="5">
        <v>1151.3040000000001</v>
      </c>
      <c r="I68" t="str">
        <f t="shared" si="6"/>
        <v>Low Sales</v>
      </c>
      <c r="J68" t="str">
        <f t="shared" si="7"/>
        <v>Average Performance</v>
      </c>
      <c r="K68">
        <f t="shared" si="8"/>
        <v>2004</v>
      </c>
      <c r="L68" t="str">
        <f t="shared" si="9"/>
        <v>May</v>
      </c>
    </row>
    <row r="69" spans="1:12" x14ac:dyDescent="0.25">
      <c r="A69" t="s">
        <v>19</v>
      </c>
      <c r="C69" t="s">
        <v>261</v>
      </c>
      <c r="D69" t="str">
        <f t="shared" si="5"/>
        <v>Motorcycles</v>
      </c>
      <c r="E69" t="s">
        <v>270</v>
      </c>
      <c r="F69" s="5">
        <v>4472</v>
      </c>
      <c r="G69" s="5">
        <v>894.40000000000009</v>
      </c>
      <c r="I69" t="str">
        <f t="shared" si="6"/>
        <v>Low Sales</v>
      </c>
      <c r="J69" t="str">
        <f t="shared" si="7"/>
        <v>Average Performance</v>
      </c>
      <c r="K69">
        <f t="shared" si="8"/>
        <v>2004</v>
      </c>
      <c r="L69" t="str">
        <f t="shared" si="9"/>
        <v>June</v>
      </c>
    </row>
    <row r="70" spans="1:12" x14ac:dyDescent="0.25">
      <c r="A70" t="s">
        <v>20</v>
      </c>
      <c r="B70" t="s">
        <v>258</v>
      </c>
      <c r="C70" t="s">
        <v>261</v>
      </c>
      <c r="D70" t="str">
        <f t="shared" si="5"/>
        <v>Motorcycles</v>
      </c>
      <c r="E70" t="s">
        <v>270</v>
      </c>
      <c r="F70" s="5">
        <v>2904.44</v>
      </c>
      <c r="G70" s="5">
        <v>580.88800000000003</v>
      </c>
      <c r="I70" t="str">
        <f t="shared" si="6"/>
        <v>Low Sales</v>
      </c>
      <c r="J70" t="str">
        <f t="shared" si="7"/>
        <v>Average Performance</v>
      </c>
      <c r="K70">
        <f t="shared" si="8"/>
        <v>2004</v>
      </c>
      <c r="L70" t="str">
        <f t="shared" si="9"/>
        <v>July</v>
      </c>
    </row>
    <row r="71" spans="1:12" x14ac:dyDescent="0.25">
      <c r="A71" t="s">
        <v>21</v>
      </c>
      <c r="C71" t="s">
        <v>261</v>
      </c>
      <c r="D71" t="str">
        <f t="shared" si="5"/>
        <v>Motorcycles</v>
      </c>
      <c r="E71" t="s">
        <v>270</v>
      </c>
      <c r="F71" s="5">
        <v>6484.59</v>
      </c>
      <c r="G71" s="5">
        <v>1296.9179999999999</v>
      </c>
      <c r="I71" t="str">
        <f t="shared" si="6"/>
        <v>Low Sales</v>
      </c>
      <c r="J71" t="str">
        <f t="shared" si="7"/>
        <v>Average Performance</v>
      </c>
      <c r="K71">
        <f t="shared" si="8"/>
        <v>2004</v>
      </c>
      <c r="L71" t="str">
        <f t="shared" si="9"/>
        <v>August</v>
      </c>
    </row>
    <row r="72" spans="1:12" x14ac:dyDescent="0.25">
      <c r="A72" t="s">
        <v>63</v>
      </c>
      <c r="B72" t="s">
        <v>258</v>
      </c>
      <c r="C72" t="s">
        <v>261</v>
      </c>
      <c r="D72" t="str">
        <f t="shared" si="5"/>
        <v>Motorcycles</v>
      </c>
      <c r="E72" t="s">
        <v>270</v>
      </c>
      <c r="F72" s="5">
        <v>3757.26</v>
      </c>
      <c r="G72" s="5">
        <v>751.45200000000011</v>
      </c>
      <c r="I72" t="str">
        <f t="shared" si="6"/>
        <v>Low Sales</v>
      </c>
      <c r="J72" t="str">
        <f t="shared" si="7"/>
        <v>Average Performance</v>
      </c>
      <c r="K72">
        <f t="shared" si="8"/>
        <v>2004</v>
      </c>
      <c r="L72" t="str">
        <f t="shared" si="9"/>
        <v>September</v>
      </c>
    </row>
    <row r="73" spans="1:12" x14ac:dyDescent="0.25">
      <c r="A73" t="s">
        <v>23</v>
      </c>
      <c r="C73" t="s">
        <v>261</v>
      </c>
      <c r="D73" t="str">
        <f t="shared" si="5"/>
        <v>Motorcycles</v>
      </c>
      <c r="E73" t="s">
        <v>270</v>
      </c>
      <c r="F73" s="5">
        <v>4043.96</v>
      </c>
      <c r="G73" s="5">
        <v>808.79200000000003</v>
      </c>
      <c r="I73" t="str">
        <f t="shared" si="6"/>
        <v>Low Sales</v>
      </c>
      <c r="J73" t="str">
        <f t="shared" si="7"/>
        <v>Average Performance</v>
      </c>
      <c r="K73">
        <f t="shared" si="8"/>
        <v>2004</v>
      </c>
      <c r="L73" t="str">
        <f t="shared" si="9"/>
        <v>October</v>
      </c>
    </row>
    <row r="74" spans="1:12" x14ac:dyDescent="0.25">
      <c r="A74" t="s">
        <v>24</v>
      </c>
      <c r="C74" t="s">
        <v>261</v>
      </c>
      <c r="D74" t="str">
        <f t="shared" si="5"/>
        <v>Motorcycles</v>
      </c>
      <c r="E74" t="s">
        <v>270</v>
      </c>
      <c r="F74" s="5">
        <v>5566.5</v>
      </c>
      <c r="G74" s="5">
        <v>1113.3</v>
      </c>
      <c r="I74" t="str">
        <f t="shared" si="6"/>
        <v>Low Sales</v>
      </c>
      <c r="J74" t="str">
        <f t="shared" si="7"/>
        <v>Average Performance</v>
      </c>
      <c r="K74">
        <f t="shared" si="8"/>
        <v>2004</v>
      </c>
      <c r="L74" t="str">
        <f t="shared" si="9"/>
        <v>November</v>
      </c>
    </row>
    <row r="75" spans="1:12" x14ac:dyDescent="0.25">
      <c r="A75" t="s">
        <v>25</v>
      </c>
      <c r="C75" t="s">
        <v>261</v>
      </c>
      <c r="D75" t="str">
        <f t="shared" si="5"/>
        <v>Motorcycles</v>
      </c>
      <c r="E75" t="s">
        <v>270</v>
      </c>
      <c r="F75" s="5">
        <v>3176</v>
      </c>
      <c r="G75" s="5">
        <v>635.20000000000005</v>
      </c>
      <c r="I75" t="str">
        <f t="shared" si="6"/>
        <v>Low Sales</v>
      </c>
      <c r="J75" t="str">
        <f t="shared" si="7"/>
        <v>Average Performance</v>
      </c>
      <c r="K75">
        <f t="shared" si="8"/>
        <v>2004</v>
      </c>
      <c r="L75" t="str">
        <f t="shared" si="9"/>
        <v>November</v>
      </c>
    </row>
    <row r="76" spans="1:12" x14ac:dyDescent="0.25">
      <c r="A76" t="s">
        <v>64</v>
      </c>
      <c r="B76" t="s">
        <v>260</v>
      </c>
      <c r="C76" t="s">
        <v>261</v>
      </c>
      <c r="D76" t="str">
        <f t="shared" si="5"/>
        <v>Motorcycles</v>
      </c>
      <c r="E76" t="s">
        <v>270</v>
      </c>
      <c r="F76" s="5">
        <v>2756.8</v>
      </c>
      <c r="G76" s="5">
        <v>551.36</v>
      </c>
      <c r="I76" t="str">
        <f t="shared" si="6"/>
        <v>Low Sales</v>
      </c>
      <c r="J76" t="str">
        <f t="shared" si="7"/>
        <v>Average Performance</v>
      </c>
      <c r="K76">
        <f t="shared" si="8"/>
        <v>2004</v>
      </c>
      <c r="L76" t="str">
        <f t="shared" si="9"/>
        <v>November</v>
      </c>
    </row>
    <row r="77" spans="1:12" x14ac:dyDescent="0.25">
      <c r="A77" t="s">
        <v>27</v>
      </c>
      <c r="B77" t="s">
        <v>259</v>
      </c>
      <c r="C77" t="s">
        <v>261</v>
      </c>
      <c r="D77" t="str">
        <f t="shared" si="5"/>
        <v>Motorcycles</v>
      </c>
      <c r="E77" t="s">
        <v>270</v>
      </c>
      <c r="F77" s="5">
        <v>1329.9</v>
      </c>
      <c r="G77" s="5">
        <v>265.98</v>
      </c>
      <c r="I77" t="str">
        <f t="shared" si="6"/>
        <v>Low Sales</v>
      </c>
      <c r="J77" t="str">
        <f t="shared" si="7"/>
        <v>Average Performance</v>
      </c>
      <c r="K77">
        <f t="shared" si="8"/>
        <v>2004</v>
      </c>
      <c r="L77" t="str">
        <f t="shared" si="9"/>
        <v>December</v>
      </c>
    </row>
    <row r="78" spans="1:12" x14ac:dyDescent="0.25">
      <c r="A78" t="s">
        <v>65</v>
      </c>
      <c r="B78" t="s">
        <v>259</v>
      </c>
      <c r="C78" t="s">
        <v>261</v>
      </c>
      <c r="D78" t="str">
        <f t="shared" si="5"/>
        <v>Motorcycles</v>
      </c>
      <c r="E78" t="s">
        <v>270</v>
      </c>
      <c r="F78" s="5">
        <v>5288.01</v>
      </c>
      <c r="G78" s="5">
        <v>1057.6020000000001</v>
      </c>
      <c r="I78" t="str">
        <f t="shared" si="6"/>
        <v>Low Sales</v>
      </c>
      <c r="J78" t="str">
        <f t="shared" si="7"/>
        <v>Average Performance</v>
      </c>
      <c r="K78">
        <f t="shared" si="8"/>
        <v>2005</v>
      </c>
      <c r="L78" t="str">
        <f t="shared" si="9"/>
        <v>February</v>
      </c>
    </row>
    <row r="79" spans="1:12" x14ac:dyDescent="0.25">
      <c r="A79" t="s">
        <v>29</v>
      </c>
      <c r="C79" t="s">
        <v>261</v>
      </c>
      <c r="D79" t="str">
        <f t="shared" si="5"/>
        <v>Motorcycles</v>
      </c>
      <c r="E79" t="s">
        <v>270</v>
      </c>
      <c r="F79" s="5">
        <v>2225.5</v>
      </c>
      <c r="G79" s="5">
        <v>445.1</v>
      </c>
      <c r="I79" t="str">
        <f t="shared" si="6"/>
        <v>Low Sales</v>
      </c>
      <c r="J79" t="str">
        <f t="shared" si="7"/>
        <v>Average Performance</v>
      </c>
      <c r="K79">
        <f t="shared" si="8"/>
        <v>2005</v>
      </c>
      <c r="L79" t="str">
        <f t="shared" si="9"/>
        <v>March</v>
      </c>
    </row>
    <row r="80" spans="1:12" x14ac:dyDescent="0.25">
      <c r="A80" t="s">
        <v>66</v>
      </c>
      <c r="B80" t="s">
        <v>258</v>
      </c>
      <c r="C80" t="s">
        <v>261</v>
      </c>
      <c r="D80" t="str">
        <f t="shared" si="5"/>
        <v>Motorcycles</v>
      </c>
      <c r="E80" t="s">
        <v>270</v>
      </c>
      <c r="F80" s="5">
        <v>5833.8</v>
      </c>
      <c r="G80" s="5">
        <v>1166.76</v>
      </c>
      <c r="I80" t="str">
        <f t="shared" si="6"/>
        <v>Low Sales</v>
      </c>
      <c r="J80" t="str">
        <f t="shared" si="7"/>
        <v>Average Performance</v>
      </c>
      <c r="K80">
        <f t="shared" si="8"/>
        <v>2005</v>
      </c>
      <c r="L80" t="str">
        <f t="shared" si="9"/>
        <v>April</v>
      </c>
    </row>
    <row r="81" spans="1:12" x14ac:dyDescent="0.25">
      <c r="A81" t="s">
        <v>31</v>
      </c>
      <c r="B81" t="s">
        <v>258</v>
      </c>
      <c r="C81" t="s">
        <v>261</v>
      </c>
      <c r="D81" t="str">
        <f t="shared" si="5"/>
        <v>Motorcycles</v>
      </c>
      <c r="E81" t="s">
        <v>270</v>
      </c>
      <c r="F81" s="5">
        <v>5887.35</v>
      </c>
      <c r="G81" s="5">
        <v>1177.47</v>
      </c>
      <c r="I81" t="str">
        <f t="shared" si="6"/>
        <v>Low Sales</v>
      </c>
      <c r="J81" t="str">
        <f t="shared" si="7"/>
        <v>Average Performance</v>
      </c>
      <c r="K81">
        <f t="shared" si="8"/>
        <v>2005</v>
      </c>
      <c r="L81" t="str">
        <f t="shared" si="9"/>
        <v>May</v>
      </c>
    </row>
    <row r="82" spans="1:12" x14ac:dyDescent="0.25">
      <c r="A82" t="s">
        <v>6</v>
      </c>
      <c r="C82" t="s">
        <v>261</v>
      </c>
      <c r="D82" t="str">
        <f t="shared" si="5"/>
        <v>Motorcycles</v>
      </c>
      <c r="E82" t="s">
        <v>271</v>
      </c>
      <c r="F82" s="5">
        <v>6065.55</v>
      </c>
      <c r="G82" s="5">
        <v>1213.1099999999999</v>
      </c>
      <c r="I82" t="str">
        <f t="shared" si="6"/>
        <v>Low Sales</v>
      </c>
      <c r="J82" t="str">
        <f t="shared" si="7"/>
        <v>Average Performance</v>
      </c>
      <c r="K82">
        <f t="shared" si="8"/>
        <v>2003</v>
      </c>
      <c r="L82" t="str">
        <f t="shared" si="9"/>
        <v>February</v>
      </c>
    </row>
    <row r="83" spans="1:12" x14ac:dyDescent="0.25">
      <c r="A83" t="s">
        <v>60</v>
      </c>
      <c r="B83" t="s">
        <v>259</v>
      </c>
      <c r="C83" t="s">
        <v>261</v>
      </c>
      <c r="D83" t="str">
        <f t="shared" si="5"/>
        <v>Motorcycles</v>
      </c>
      <c r="E83" t="s">
        <v>271</v>
      </c>
      <c r="F83" s="5">
        <v>9264.86</v>
      </c>
      <c r="G83" s="5">
        <v>1852.972</v>
      </c>
      <c r="I83" t="str">
        <f t="shared" si="6"/>
        <v>Low Sales</v>
      </c>
      <c r="J83" t="str">
        <f t="shared" si="7"/>
        <v>Average Performance</v>
      </c>
      <c r="K83">
        <f t="shared" si="8"/>
        <v>2003</v>
      </c>
      <c r="L83" t="str">
        <f t="shared" si="9"/>
        <v>April</v>
      </c>
    </row>
    <row r="84" spans="1:12" x14ac:dyDescent="0.25">
      <c r="A84" t="s">
        <v>8</v>
      </c>
      <c r="B84" t="s">
        <v>258</v>
      </c>
      <c r="C84" t="s">
        <v>261</v>
      </c>
      <c r="D84" t="str">
        <f t="shared" si="5"/>
        <v>Motorcycles</v>
      </c>
      <c r="E84" t="s">
        <v>271</v>
      </c>
      <c r="F84" s="5">
        <v>7023.98</v>
      </c>
      <c r="G84" s="5">
        <v>1404.796</v>
      </c>
      <c r="I84" t="str">
        <f t="shared" si="6"/>
        <v>Low Sales</v>
      </c>
      <c r="J84" t="str">
        <f t="shared" si="7"/>
        <v>Average Performance</v>
      </c>
      <c r="K84">
        <f t="shared" si="8"/>
        <v>2003</v>
      </c>
      <c r="L84" t="str">
        <f t="shared" si="9"/>
        <v>July</v>
      </c>
    </row>
    <row r="85" spans="1:12" x14ac:dyDescent="0.25">
      <c r="A85" t="s">
        <v>9</v>
      </c>
      <c r="C85" t="s">
        <v>261</v>
      </c>
      <c r="D85" t="str">
        <f t="shared" si="5"/>
        <v>Motorcycles</v>
      </c>
      <c r="E85" t="s">
        <v>271</v>
      </c>
      <c r="F85" s="5">
        <v>5176.38</v>
      </c>
      <c r="G85" s="5">
        <v>1035.2760000000001</v>
      </c>
      <c r="I85" t="str">
        <f t="shared" si="6"/>
        <v>Low Sales</v>
      </c>
      <c r="J85" t="str">
        <f t="shared" si="7"/>
        <v>Average Performance</v>
      </c>
      <c r="K85">
        <f t="shared" si="8"/>
        <v>2003</v>
      </c>
      <c r="L85" t="str">
        <f t="shared" si="9"/>
        <v>August</v>
      </c>
    </row>
    <row r="86" spans="1:12" x14ac:dyDescent="0.25">
      <c r="A86" t="s">
        <v>10</v>
      </c>
      <c r="C86" t="s">
        <v>261</v>
      </c>
      <c r="D86" t="str">
        <f t="shared" si="5"/>
        <v>Motorcycles</v>
      </c>
      <c r="E86" t="s">
        <v>271</v>
      </c>
      <c r="F86" s="5">
        <v>4132.7</v>
      </c>
      <c r="G86" s="5">
        <v>826.54</v>
      </c>
      <c r="I86" t="str">
        <f t="shared" si="6"/>
        <v>Low Sales</v>
      </c>
      <c r="J86" t="str">
        <f t="shared" si="7"/>
        <v>Average Performance</v>
      </c>
      <c r="K86">
        <f t="shared" si="8"/>
        <v>2003</v>
      </c>
      <c r="L86" t="str">
        <f t="shared" si="9"/>
        <v>October</v>
      </c>
    </row>
    <row r="87" spans="1:12" x14ac:dyDescent="0.25">
      <c r="A87" t="s">
        <v>11</v>
      </c>
      <c r="C87" t="s">
        <v>261</v>
      </c>
      <c r="D87" t="str">
        <f t="shared" si="5"/>
        <v>Motorcycles</v>
      </c>
      <c r="E87" t="s">
        <v>271</v>
      </c>
      <c r="F87" s="5">
        <v>4183</v>
      </c>
      <c r="G87" s="5">
        <v>836.6</v>
      </c>
      <c r="I87" t="str">
        <f t="shared" si="6"/>
        <v>Low Sales</v>
      </c>
      <c r="J87" t="str">
        <f t="shared" si="7"/>
        <v>Average Performance</v>
      </c>
      <c r="K87">
        <f t="shared" si="8"/>
        <v>2003</v>
      </c>
      <c r="L87" t="str">
        <f t="shared" si="9"/>
        <v>October</v>
      </c>
    </row>
    <row r="88" spans="1:12" x14ac:dyDescent="0.25">
      <c r="A88" t="s">
        <v>12</v>
      </c>
      <c r="B88" t="s">
        <v>258</v>
      </c>
      <c r="C88" t="s">
        <v>261</v>
      </c>
      <c r="D88" t="str">
        <f t="shared" si="5"/>
        <v>Motorcycles</v>
      </c>
      <c r="E88" t="s">
        <v>271</v>
      </c>
      <c r="F88" s="5">
        <v>8892.9</v>
      </c>
      <c r="G88" s="5">
        <v>1778.58</v>
      </c>
      <c r="I88" t="str">
        <f t="shared" si="6"/>
        <v>Low Sales</v>
      </c>
      <c r="J88" t="str">
        <f t="shared" si="7"/>
        <v>Average Performance</v>
      </c>
      <c r="K88">
        <f t="shared" si="8"/>
        <v>2003</v>
      </c>
      <c r="L88" t="str">
        <f t="shared" si="9"/>
        <v>November</v>
      </c>
    </row>
    <row r="89" spans="1:12" x14ac:dyDescent="0.25">
      <c r="A89" t="s">
        <v>13</v>
      </c>
      <c r="B89" t="s">
        <v>258</v>
      </c>
      <c r="C89" t="s">
        <v>261</v>
      </c>
      <c r="D89" t="str">
        <f t="shared" si="5"/>
        <v>Motorcycles</v>
      </c>
      <c r="E89" t="s">
        <v>271</v>
      </c>
      <c r="F89" s="5">
        <v>8714.7000000000007</v>
      </c>
      <c r="G89" s="5">
        <v>1742.94</v>
      </c>
      <c r="I89" t="str">
        <f t="shared" si="6"/>
        <v>Low Sales</v>
      </c>
      <c r="J89" t="str">
        <f t="shared" si="7"/>
        <v>Average Performance</v>
      </c>
      <c r="K89">
        <f t="shared" si="8"/>
        <v>2003</v>
      </c>
      <c r="L89" t="str">
        <f t="shared" si="9"/>
        <v>November</v>
      </c>
    </row>
    <row r="90" spans="1:12" x14ac:dyDescent="0.25">
      <c r="A90" t="s">
        <v>14</v>
      </c>
      <c r="C90" t="s">
        <v>261</v>
      </c>
      <c r="D90" t="str">
        <f t="shared" si="5"/>
        <v>Motorcycles</v>
      </c>
      <c r="E90" t="s">
        <v>271</v>
      </c>
      <c r="F90" s="5">
        <v>8065.89</v>
      </c>
      <c r="G90" s="5">
        <v>1613.1780000000001</v>
      </c>
      <c r="I90" t="str">
        <f t="shared" si="6"/>
        <v>Low Sales</v>
      </c>
      <c r="J90" t="str">
        <f t="shared" si="7"/>
        <v>Average Performance</v>
      </c>
      <c r="K90">
        <f t="shared" si="8"/>
        <v>2003</v>
      </c>
      <c r="L90" t="str">
        <f t="shared" si="9"/>
        <v>December</v>
      </c>
    </row>
    <row r="91" spans="1:12" x14ac:dyDescent="0.25">
      <c r="A91" t="s">
        <v>61</v>
      </c>
      <c r="B91" t="s">
        <v>260</v>
      </c>
      <c r="C91" t="s">
        <v>261</v>
      </c>
      <c r="D91" t="str">
        <f t="shared" si="5"/>
        <v>Motorcycles</v>
      </c>
      <c r="E91" t="s">
        <v>271</v>
      </c>
      <c r="F91" s="5">
        <v>6123.4</v>
      </c>
      <c r="G91" s="5">
        <v>1224.68</v>
      </c>
      <c r="I91" t="str">
        <f t="shared" si="6"/>
        <v>Low Sales</v>
      </c>
      <c r="J91" t="str">
        <f t="shared" si="7"/>
        <v>Average Performance</v>
      </c>
      <c r="K91">
        <f t="shared" si="8"/>
        <v>2004</v>
      </c>
      <c r="L91" t="str">
        <f t="shared" si="9"/>
        <v>January</v>
      </c>
    </row>
    <row r="92" spans="1:12" x14ac:dyDescent="0.25">
      <c r="A92" t="s">
        <v>16</v>
      </c>
      <c r="B92" t="s">
        <v>259</v>
      </c>
      <c r="C92" t="s">
        <v>261</v>
      </c>
      <c r="D92" t="str">
        <f t="shared" si="5"/>
        <v>Motorcycles</v>
      </c>
      <c r="E92" t="s">
        <v>271</v>
      </c>
      <c r="F92" s="5">
        <v>9774.0300000000007</v>
      </c>
      <c r="G92" s="5">
        <v>1954.806</v>
      </c>
      <c r="I92" t="str">
        <f t="shared" si="6"/>
        <v>Low Sales</v>
      </c>
      <c r="J92" t="str">
        <f t="shared" si="7"/>
        <v>Average Performance</v>
      </c>
      <c r="K92">
        <f t="shared" si="8"/>
        <v>2004</v>
      </c>
      <c r="L92" t="str">
        <f t="shared" si="9"/>
        <v>February</v>
      </c>
    </row>
    <row r="93" spans="1:12" x14ac:dyDescent="0.25">
      <c r="A93" t="s">
        <v>17</v>
      </c>
      <c r="C93" t="s">
        <v>261</v>
      </c>
      <c r="D93" t="str">
        <f t="shared" si="5"/>
        <v>Motorcycles</v>
      </c>
      <c r="E93" t="s">
        <v>271</v>
      </c>
      <c r="F93" s="5">
        <v>7023.9</v>
      </c>
      <c r="G93" s="5">
        <v>1404.78</v>
      </c>
      <c r="I93" t="str">
        <f t="shared" si="6"/>
        <v>Low Sales</v>
      </c>
      <c r="J93" t="str">
        <f t="shared" si="7"/>
        <v>Average Performance</v>
      </c>
      <c r="K93">
        <f t="shared" si="8"/>
        <v>2004</v>
      </c>
      <c r="L93" t="str">
        <f t="shared" si="9"/>
        <v>April</v>
      </c>
    </row>
    <row r="94" spans="1:12" x14ac:dyDescent="0.25">
      <c r="A94" t="s">
        <v>18</v>
      </c>
      <c r="C94" t="s">
        <v>261</v>
      </c>
      <c r="D94" t="str">
        <f t="shared" si="5"/>
        <v>Motorcycles</v>
      </c>
      <c r="E94" t="s">
        <v>271</v>
      </c>
      <c r="F94" s="5">
        <v>7078.23</v>
      </c>
      <c r="G94" s="5">
        <v>1415.646</v>
      </c>
      <c r="I94" t="str">
        <f t="shared" si="6"/>
        <v>Low Sales</v>
      </c>
      <c r="J94" t="str">
        <f t="shared" si="7"/>
        <v>Average Performance</v>
      </c>
      <c r="K94">
        <f t="shared" si="8"/>
        <v>2004</v>
      </c>
      <c r="L94" t="str">
        <f t="shared" si="9"/>
        <v>May</v>
      </c>
    </row>
    <row r="95" spans="1:12" x14ac:dyDescent="0.25">
      <c r="A95" t="s">
        <v>19</v>
      </c>
      <c r="C95" t="s">
        <v>261</v>
      </c>
      <c r="D95" t="str">
        <f t="shared" si="5"/>
        <v>Motorcycles</v>
      </c>
      <c r="E95" t="s">
        <v>271</v>
      </c>
      <c r="F95" s="5">
        <v>8336.94</v>
      </c>
      <c r="G95" s="5">
        <v>1667.3879999999999</v>
      </c>
      <c r="I95" t="str">
        <f t="shared" si="6"/>
        <v>Low Sales</v>
      </c>
      <c r="J95" t="str">
        <f t="shared" si="7"/>
        <v>Average Performance</v>
      </c>
      <c r="K95">
        <f t="shared" si="8"/>
        <v>2004</v>
      </c>
      <c r="L95" t="str">
        <f t="shared" si="9"/>
        <v>June</v>
      </c>
    </row>
    <row r="96" spans="1:12" x14ac:dyDescent="0.25">
      <c r="A96" t="s">
        <v>20</v>
      </c>
      <c r="B96" t="s">
        <v>258</v>
      </c>
      <c r="C96" t="s">
        <v>261</v>
      </c>
      <c r="D96" t="str">
        <f t="shared" si="5"/>
        <v>Motorcycles</v>
      </c>
      <c r="E96" t="s">
        <v>271</v>
      </c>
      <c r="F96" s="5">
        <v>6901.92</v>
      </c>
      <c r="G96" s="5">
        <v>1380.384</v>
      </c>
      <c r="I96" t="str">
        <f t="shared" si="6"/>
        <v>Low Sales</v>
      </c>
      <c r="J96" t="str">
        <f t="shared" si="7"/>
        <v>Average Performance</v>
      </c>
      <c r="K96">
        <f t="shared" si="8"/>
        <v>2004</v>
      </c>
      <c r="L96" t="str">
        <f t="shared" si="9"/>
        <v>July</v>
      </c>
    </row>
    <row r="97" spans="1:12" x14ac:dyDescent="0.25">
      <c r="A97" t="s">
        <v>21</v>
      </c>
      <c r="C97" t="s">
        <v>261</v>
      </c>
      <c r="D97" t="str">
        <f t="shared" si="5"/>
        <v>Motorcycles</v>
      </c>
      <c r="E97" t="s">
        <v>271</v>
      </c>
      <c r="F97" s="5">
        <v>5438.07</v>
      </c>
      <c r="G97" s="5">
        <v>1087.614</v>
      </c>
      <c r="I97" t="str">
        <f t="shared" si="6"/>
        <v>Low Sales</v>
      </c>
      <c r="J97" t="str">
        <f t="shared" si="7"/>
        <v>Average Performance</v>
      </c>
      <c r="K97">
        <f t="shared" si="8"/>
        <v>2004</v>
      </c>
      <c r="L97" t="str">
        <f t="shared" si="9"/>
        <v>August</v>
      </c>
    </row>
    <row r="98" spans="1:12" x14ac:dyDescent="0.25">
      <c r="A98" t="s">
        <v>22</v>
      </c>
      <c r="B98" t="s">
        <v>258</v>
      </c>
      <c r="C98" t="s">
        <v>261</v>
      </c>
      <c r="D98" t="str">
        <f t="shared" si="5"/>
        <v>Motorcycles</v>
      </c>
      <c r="E98" t="s">
        <v>271</v>
      </c>
      <c r="F98" s="5">
        <v>6683.34</v>
      </c>
      <c r="G98" s="5">
        <v>1336.6679999999999</v>
      </c>
      <c r="I98" t="str">
        <f t="shared" si="6"/>
        <v>Low Sales</v>
      </c>
      <c r="J98" t="str">
        <f t="shared" si="7"/>
        <v>Average Performance</v>
      </c>
      <c r="K98">
        <f t="shared" si="8"/>
        <v>2004</v>
      </c>
      <c r="L98" t="str">
        <f t="shared" si="9"/>
        <v>September</v>
      </c>
    </row>
    <row r="99" spans="1:12" x14ac:dyDescent="0.25">
      <c r="A99" t="s">
        <v>23</v>
      </c>
      <c r="C99" t="s">
        <v>261</v>
      </c>
      <c r="D99" t="str">
        <f t="shared" si="5"/>
        <v>Motorcycles</v>
      </c>
      <c r="E99" t="s">
        <v>271</v>
      </c>
      <c r="F99" s="5">
        <v>4570.3999999999996</v>
      </c>
      <c r="G99" s="5">
        <v>914.07999999999993</v>
      </c>
      <c r="I99" t="str">
        <f t="shared" si="6"/>
        <v>Low Sales</v>
      </c>
      <c r="J99" t="str">
        <f t="shared" si="7"/>
        <v>Average Performance</v>
      </c>
      <c r="K99">
        <f t="shared" si="8"/>
        <v>2004</v>
      </c>
      <c r="L99" t="str">
        <f t="shared" si="9"/>
        <v>October</v>
      </c>
    </row>
    <row r="100" spans="1:12" x14ac:dyDescent="0.25">
      <c r="A100" t="s">
        <v>24</v>
      </c>
      <c r="C100" t="s">
        <v>261</v>
      </c>
      <c r="D100" t="str">
        <f t="shared" si="5"/>
        <v>Motorcycles</v>
      </c>
      <c r="E100" t="s">
        <v>271</v>
      </c>
      <c r="F100" s="5">
        <v>7667.14</v>
      </c>
      <c r="G100" s="5">
        <v>1533.4280000000001</v>
      </c>
      <c r="I100" t="str">
        <f t="shared" si="6"/>
        <v>Low Sales</v>
      </c>
      <c r="J100" t="str">
        <f t="shared" si="7"/>
        <v>Average Performance</v>
      </c>
      <c r="K100">
        <f t="shared" si="8"/>
        <v>2004</v>
      </c>
      <c r="L100" t="str">
        <f t="shared" si="9"/>
        <v>November</v>
      </c>
    </row>
    <row r="101" spans="1:12" x14ac:dyDescent="0.25">
      <c r="A101" t="s">
        <v>25</v>
      </c>
      <c r="C101" t="s">
        <v>261</v>
      </c>
      <c r="D101" t="str">
        <f t="shared" si="5"/>
        <v>Motorcycles</v>
      </c>
      <c r="E101" t="s">
        <v>271</v>
      </c>
      <c r="F101" s="5">
        <v>5868.2</v>
      </c>
      <c r="G101" s="5">
        <v>1173.6400000000001</v>
      </c>
      <c r="I101" t="str">
        <f t="shared" si="6"/>
        <v>Low Sales</v>
      </c>
      <c r="J101" t="str">
        <f t="shared" si="7"/>
        <v>Average Performance</v>
      </c>
      <c r="K101">
        <f t="shared" si="8"/>
        <v>2004</v>
      </c>
      <c r="L101" t="str">
        <f t="shared" si="9"/>
        <v>November</v>
      </c>
    </row>
    <row r="102" spans="1:12" x14ac:dyDescent="0.25">
      <c r="A102" t="s">
        <v>64</v>
      </c>
      <c r="B102" t="s">
        <v>260</v>
      </c>
      <c r="C102" t="s">
        <v>261</v>
      </c>
      <c r="D102" t="str">
        <f t="shared" si="5"/>
        <v>Motorcycles</v>
      </c>
      <c r="E102" t="s">
        <v>271</v>
      </c>
      <c r="F102" s="5">
        <v>2990.13</v>
      </c>
      <c r="G102" s="5">
        <v>598.02600000000007</v>
      </c>
      <c r="I102" t="str">
        <f t="shared" si="6"/>
        <v>Low Sales</v>
      </c>
      <c r="J102" t="str">
        <f t="shared" si="7"/>
        <v>Average Performance</v>
      </c>
      <c r="K102">
        <f t="shared" si="8"/>
        <v>2004</v>
      </c>
      <c r="L102" t="str">
        <f t="shared" si="9"/>
        <v>November</v>
      </c>
    </row>
    <row r="103" spans="1:12" x14ac:dyDescent="0.25">
      <c r="A103" t="s">
        <v>67</v>
      </c>
      <c r="C103" t="s">
        <v>261</v>
      </c>
      <c r="D103" t="str">
        <f t="shared" si="5"/>
        <v>Motorcycles</v>
      </c>
      <c r="E103" t="s">
        <v>271</v>
      </c>
      <c r="F103" s="5">
        <v>3664.1</v>
      </c>
      <c r="G103" s="5">
        <v>732.82</v>
      </c>
      <c r="I103" t="str">
        <f t="shared" si="6"/>
        <v>Low Sales</v>
      </c>
      <c r="J103" t="str">
        <f t="shared" si="7"/>
        <v>Average Performance</v>
      </c>
      <c r="K103">
        <f t="shared" si="8"/>
        <v>2005</v>
      </c>
      <c r="L103" t="str">
        <f t="shared" si="9"/>
        <v>January</v>
      </c>
    </row>
    <row r="104" spans="1:12" x14ac:dyDescent="0.25">
      <c r="A104" t="s">
        <v>65</v>
      </c>
      <c r="B104" t="s">
        <v>259</v>
      </c>
      <c r="C104" t="s">
        <v>261</v>
      </c>
      <c r="D104" t="str">
        <f t="shared" si="5"/>
        <v>Motorcycles</v>
      </c>
      <c r="E104" t="s">
        <v>271</v>
      </c>
      <c r="F104" s="5">
        <v>3834.38</v>
      </c>
      <c r="G104" s="5">
        <v>766.87600000000009</v>
      </c>
      <c r="I104" t="str">
        <f t="shared" si="6"/>
        <v>Low Sales</v>
      </c>
      <c r="J104" t="str">
        <f t="shared" si="7"/>
        <v>Average Performance</v>
      </c>
      <c r="K104">
        <f t="shared" si="8"/>
        <v>2005</v>
      </c>
      <c r="L104" t="str">
        <f t="shared" si="9"/>
        <v>February</v>
      </c>
    </row>
    <row r="105" spans="1:12" x14ac:dyDescent="0.25">
      <c r="A105" t="s">
        <v>29</v>
      </c>
      <c r="C105" t="s">
        <v>261</v>
      </c>
      <c r="D105" t="str">
        <f t="shared" si="5"/>
        <v>Motorcycles</v>
      </c>
      <c r="E105" t="s">
        <v>271</v>
      </c>
      <c r="F105" s="5">
        <v>1822.17</v>
      </c>
      <c r="G105" s="5">
        <v>364.43400000000003</v>
      </c>
      <c r="I105" t="str">
        <f t="shared" si="6"/>
        <v>Low Sales</v>
      </c>
      <c r="J105" t="str">
        <f t="shared" si="7"/>
        <v>Average Performance</v>
      </c>
      <c r="K105">
        <f t="shared" si="8"/>
        <v>2005</v>
      </c>
      <c r="L105" t="str">
        <f t="shared" si="9"/>
        <v>March</v>
      </c>
    </row>
    <row r="106" spans="1:12" x14ac:dyDescent="0.25">
      <c r="A106" t="s">
        <v>30</v>
      </c>
      <c r="B106" t="s">
        <v>258</v>
      </c>
      <c r="C106" t="s">
        <v>261</v>
      </c>
      <c r="D106" t="str">
        <f t="shared" si="5"/>
        <v>Motorcycles</v>
      </c>
      <c r="E106" t="s">
        <v>271</v>
      </c>
      <c r="F106" s="5">
        <v>11886.6</v>
      </c>
      <c r="G106" s="5">
        <v>2377.3200000000002</v>
      </c>
      <c r="I106" t="str">
        <f t="shared" si="6"/>
        <v>Low Sales</v>
      </c>
      <c r="J106" t="str">
        <f t="shared" si="7"/>
        <v>Average Performance</v>
      </c>
      <c r="K106">
        <f t="shared" si="8"/>
        <v>2005</v>
      </c>
      <c r="L106" t="str">
        <f t="shared" si="9"/>
        <v>April</v>
      </c>
    </row>
    <row r="107" spans="1:12" x14ac:dyDescent="0.25">
      <c r="A107" t="s">
        <v>31</v>
      </c>
      <c r="B107" t="s">
        <v>258</v>
      </c>
      <c r="C107" t="s">
        <v>261</v>
      </c>
      <c r="D107" t="str">
        <f t="shared" si="5"/>
        <v>Motorcycles</v>
      </c>
      <c r="E107" t="s">
        <v>271</v>
      </c>
      <c r="F107" s="5">
        <v>9218.16</v>
      </c>
      <c r="G107" s="5">
        <v>1843.6320000000001</v>
      </c>
      <c r="I107" t="str">
        <f t="shared" si="6"/>
        <v>Low Sales</v>
      </c>
      <c r="J107" t="str">
        <f t="shared" si="7"/>
        <v>Average Performance</v>
      </c>
      <c r="K107">
        <f t="shared" si="8"/>
        <v>2005</v>
      </c>
      <c r="L107" t="str">
        <f t="shared" si="9"/>
        <v>May</v>
      </c>
    </row>
    <row r="108" spans="1:12" x14ac:dyDescent="0.25">
      <c r="A108" t="s">
        <v>68</v>
      </c>
      <c r="B108" t="s">
        <v>258</v>
      </c>
      <c r="C108" t="s">
        <v>262</v>
      </c>
      <c r="D108" t="str">
        <f t="shared" si="5"/>
        <v>Classic Cars</v>
      </c>
      <c r="E108" t="s">
        <v>272</v>
      </c>
      <c r="F108" s="5">
        <v>7208</v>
      </c>
      <c r="G108" s="5">
        <v>1441.6</v>
      </c>
      <c r="I108" t="str">
        <f t="shared" si="6"/>
        <v>Low Sales</v>
      </c>
      <c r="J108" t="str">
        <f t="shared" si="7"/>
        <v>Average Performance</v>
      </c>
      <c r="K108">
        <f t="shared" si="8"/>
        <v>2003</v>
      </c>
      <c r="L108" t="str">
        <f t="shared" si="9"/>
        <v>February</v>
      </c>
    </row>
    <row r="109" spans="1:12" x14ac:dyDescent="0.25">
      <c r="A109" t="s">
        <v>69</v>
      </c>
      <c r="B109" t="s">
        <v>258</v>
      </c>
      <c r="C109" t="s">
        <v>262</v>
      </c>
      <c r="D109" t="str">
        <f t="shared" si="5"/>
        <v>Classic Cars</v>
      </c>
      <c r="E109" t="s">
        <v>272</v>
      </c>
      <c r="F109" s="5">
        <v>5004.8</v>
      </c>
      <c r="G109" s="5">
        <v>1000.96</v>
      </c>
      <c r="I109" t="str">
        <f t="shared" si="6"/>
        <v>Low Sales</v>
      </c>
      <c r="J109" t="str">
        <f t="shared" si="7"/>
        <v>Average Performance</v>
      </c>
      <c r="K109">
        <f t="shared" si="8"/>
        <v>2003</v>
      </c>
      <c r="L109" t="str">
        <f t="shared" si="9"/>
        <v>April</v>
      </c>
    </row>
    <row r="110" spans="1:12" x14ac:dyDescent="0.25">
      <c r="A110" t="s">
        <v>70</v>
      </c>
      <c r="B110" t="s">
        <v>258</v>
      </c>
      <c r="C110" t="s">
        <v>262</v>
      </c>
      <c r="D110" t="str">
        <f t="shared" si="5"/>
        <v>Classic Cars</v>
      </c>
      <c r="E110" t="s">
        <v>272</v>
      </c>
      <c r="F110" s="5">
        <v>4398.24</v>
      </c>
      <c r="G110" s="5">
        <v>879.64800000000002</v>
      </c>
      <c r="I110" t="str">
        <f t="shared" si="6"/>
        <v>Low Sales</v>
      </c>
      <c r="J110" t="str">
        <f t="shared" si="7"/>
        <v>Average Performance</v>
      </c>
      <c r="K110">
        <f t="shared" si="8"/>
        <v>2003</v>
      </c>
      <c r="L110" t="str">
        <f t="shared" si="9"/>
        <v>June</v>
      </c>
    </row>
    <row r="111" spans="1:12" x14ac:dyDescent="0.25">
      <c r="A111" t="s">
        <v>71</v>
      </c>
      <c r="C111" t="s">
        <v>262</v>
      </c>
      <c r="D111" t="str">
        <f t="shared" si="5"/>
        <v>Classic Cars</v>
      </c>
      <c r="E111" t="s">
        <v>272</v>
      </c>
      <c r="F111" s="5">
        <v>5597.76</v>
      </c>
      <c r="G111" s="5">
        <v>1119.5519999999999</v>
      </c>
      <c r="I111" t="str">
        <f t="shared" si="6"/>
        <v>Low Sales</v>
      </c>
      <c r="J111" t="str">
        <f t="shared" si="7"/>
        <v>Average Performance</v>
      </c>
      <c r="K111">
        <f t="shared" si="8"/>
        <v>2003</v>
      </c>
      <c r="L111" t="str">
        <f t="shared" si="9"/>
        <v>August</v>
      </c>
    </row>
    <row r="112" spans="1:12" x14ac:dyDescent="0.25">
      <c r="A112" t="s">
        <v>72</v>
      </c>
      <c r="B112" t="s">
        <v>258</v>
      </c>
      <c r="C112" t="s">
        <v>262</v>
      </c>
      <c r="D112" t="str">
        <f t="shared" si="5"/>
        <v>Classic Cars</v>
      </c>
      <c r="E112" t="s">
        <v>272</v>
      </c>
      <c r="F112" s="5">
        <v>4526.08</v>
      </c>
      <c r="G112" s="5">
        <v>905.21600000000001</v>
      </c>
      <c r="I112" t="str">
        <f t="shared" si="6"/>
        <v>Low Sales</v>
      </c>
      <c r="J112" t="str">
        <f t="shared" si="7"/>
        <v>Average Performance</v>
      </c>
      <c r="K112">
        <f t="shared" si="8"/>
        <v>2003</v>
      </c>
      <c r="L112" t="str">
        <f t="shared" si="9"/>
        <v>October</v>
      </c>
    </row>
    <row r="113" spans="1:12" x14ac:dyDescent="0.25">
      <c r="A113" t="s">
        <v>73</v>
      </c>
      <c r="B113" t="s">
        <v>258</v>
      </c>
      <c r="C113" t="s">
        <v>262</v>
      </c>
      <c r="D113" t="str">
        <f t="shared" si="5"/>
        <v>Classic Cars</v>
      </c>
      <c r="E113" t="s">
        <v>272</v>
      </c>
      <c r="F113" s="5">
        <v>5924.16</v>
      </c>
      <c r="G113" s="5">
        <v>1184.8320000000001</v>
      </c>
      <c r="I113" t="str">
        <f t="shared" si="6"/>
        <v>Low Sales</v>
      </c>
      <c r="J113" t="str">
        <f t="shared" si="7"/>
        <v>Average Performance</v>
      </c>
      <c r="K113">
        <f t="shared" si="8"/>
        <v>2003</v>
      </c>
      <c r="L113" t="str">
        <f t="shared" si="9"/>
        <v>October</v>
      </c>
    </row>
    <row r="114" spans="1:12" x14ac:dyDescent="0.25">
      <c r="A114" t="s">
        <v>74</v>
      </c>
      <c r="B114" t="s">
        <v>258</v>
      </c>
      <c r="C114" t="s">
        <v>262</v>
      </c>
      <c r="D114" t="str">
        <f t="shared" si="5"/>
        <v>Classic Cars</v>
      </c>
      <c r="E114" t="s">
        <v>272</v>
      </c>
      <c r="F114" s="5">
        <v>3492.48</v>
      </c>
      <c r="G114" s="5">
        <v>698.49600000000009</v>
      </c>
      <c r="I114" t="str">
        <f t="shared" si="6"/>
        <v>Low Sales</v>
      </c>
      <c r="J114" t="str">
        <f t="shared" si="7"/>
        <v>Average Performance</v>
      </c>
      <c r="K114">
        <f t="shared" si="8"/>
        <v>2003</v>
      </c>
      <c r="L114" t="str">
        <f t="shared" si="9"/>
        <v>November</v>
      </c>
    </row>
    <row r="115" spans="1:12" x14ac:dyDescent="0.25">
      <c r="A115" t="s">
        <v>75</v>
      </c>
      <c r="B115" t="s">
        <v>258</v>
      </c>
      <c r="C115" t="s">
        <v>262</v>
      </c>
      <c r="D115" t="str">
        <f t="shared" si="5"/>
        <v>Classic Cars</v>
      </c>
      <c r="E115" t="s">
        <v>272</v>
      </c>
      <c r="F115" s="5">
        <v>3854.24</v>
      </c>
      <c r="G115" s="5">
        <v>770.84799999999996</v>
      </c>
      <c r="I115" t="str">
        <f t="shared" si="6"/>
        <v>Low Sales</v>
      </c>
      <c r="J115" t="str">
        <f t="shared" si="7"/>
        <v>Average Performance</v>
      </c>
      <c r="K115">
        <f t="shared" si="8"/>
        <v>2003</v>
      </c>
      <c r="L115" t="str">
        <f t="shared" si="9"/>
        <v>November</v>
      </c>
    </row>
    <row r="116" spans="1:12" x14ac:dyDescent="0.25">
      <c r="A116" t="s">
        <v>76</v>
      </c>
      <c r="B116" t="s">
        <v>258</v>
      </c>
      <c r="C116" t="s">
        <v>262</v>
      </c>
      <c r="D116" t="str">
        <f t="shared" si="5"/>
        <v>Classic Cars</v>
      </c>
      <c r="E116" t="s">
        <v>272</v>
      </c>
      <c r="F116" s="5">
        <v>5324.4</v>
      </c>
      <c r="G116" s="5">
        <v>1064.8800000000001</v>
      </c>
      <c r="I116" t="str">
        <f t="shared" si="6"/>
        <v>Low Sales</v>
      </c>
      <c r="J116" t="str">
        <f t="shared" si="7"/>
        <v>Average Performance</v>
      </c>
      <c r="K116">
        <f t="shared" si="8"/>
        <v>2003</v>
      </c>
      <c r="L116" t="str">
        <f t="shared" si="9"/>
        <v>November</v>
      </c>
    </row>
    <row r="117" spans="1:12" x14ac:dyDescent="0.25">
      <c r="A117" t="s">
        <v>77</v>
      </c>
      <c r="C117" t="s">
        <v>262</v>
      </c>
      <c r="D117" t="str">
        <f t="shared" si="5"/>
        <v>Classic Cars</v>
      </c>
      <c r="E117" t="s">
        <v>272</v>
      </c>
      <c r="F117" s="5">
        <v>5197.92</v>
      </c>
      <c r="G117" s="5">
        <v>1039.5840000000001</v>
      </c>
      <c r="I117" t="str">
        <f t="shared" si="6"/>
        <v>Low Sales</v>
      </c>
      <c r="J117" t="str">
        <f t="shared" si="7"/>
        <v>Average Performance</v>
      </c>
      <c r="K117">
        <f t="shared" si="8"/>
        <v>2004</v>
      </c>
      <c r="L117" t="str">
        <f t="shared" si="9"/>
        <v>January</v>
      </c>
    </row>
    <row r="118" spans="1:12" x14ac:dyDescent="0.25">
      <c r="A118" t="s">
        <v>78</v>
      </c>
      <c r="C118" t="s">
        <v>262</v>
      </c>
      <c r="D118" t="str">
        <f t="shared" si="5"/>
        <v>Classic Cars</v>
      </c>
      <c r="E118" t="s">
        <v>272</v>
      </c>
      <c r="F118" s="5">
        <v>5997.6</v>
      </c>
      <c r="G118" s="5">
        <v>1199.52</v>
      </c>
      <c r="I118" t="str">
        <f t="shared" si="6"/>
        <v>Low Sales</v>
      </c>
      <c r="J118" t="str">
        <f t="shared" si="7"/>
        <v>Average Performance</v>
      </c>
      <c r="K118">
        <f t="shared" si="8"/>
        <v>2004</v>
      </c>
      <c r="L118" t="str">
        <f t="shared" si="9"/>
        <v>February</v>
      </c>
    </row>
    <row r="119" spans="1:12" x14ac:dyDescent="0.25">
      <c r="A119" t="s">
        <v>79</v>
      </c>
      <c r="C119" t="s">
        <v>262</v>
      </c>
      <c r="D119" t="str">
        <f t="shared" si="5"/>
        <v>Classic Cars</v>
      </c>
      <c r="E119" t="s">
        <v>272</v>
      </c>
      <c r="F119" s="5">
        <v>2910.4</v>
      </c>
      <c r="G119" s="5">
        <v>582.08000000000004</v>
      </c>
      <c r="I119" t="str">
        <f t="shared" si="6"/>
        <v>Low Sales</v>
      </c>
      <c r="J119" t="str">
        <f t="shared" si="7"/>
        <v>Average Performance</v>
      </c>
      <c r="K119">
        <f t="shared" si="8"/>
        <v>2004</v>
      </c>
      <c r="L119" t="str">
        <f t="shared" si="9"/>
        <v>May</v>
      </c>
    </row>
    <row r="120" spans="1:12" x14ac:dyDescent="0.25">
      <c r="A120" t="s">
        <v>80</v>
      </c>
      <c r="C120" t="s">
        <v>262</v>
      </c>
      <c r="D120" t="str">
        <f t="shared" si="5"/>
        <v>Classic Cars</v>
      </c>
      <c r="E120" t="s">
        <v>272</v>
      </c>
      <c r="F120" s="5">
        <v>3378.24</v>
      </c>
      <c r="G120" s="5">
        <v>675.64800000000002</v>
      </c>
      <c r="I120" t="str">
        <f t="shared" si="6"/>
        <v>Low Sales</v>
      </c>
      <c r="J120" t="str">
        <f t="shared" si="7"/>
        <v>Average Performance</v>
      </c>
      <c r="K120">
        <f t="shared" si="8"/>
        <v>2004</v>
      </c>
      <c r="L120" t="str">
        <f t="shared" si="9"/>
        <v>June</v>
      </c>
    </row>
    <row r="121" spans="1:12" x14ac:dyDescent="0.25">
      <c r="A121" t="s">
        <v>81</v>
      </c>
      <c r="B121" t="s">
        <v>258</v>
      </c>
      <c r="C121" t="s">
        <v>262</v>
      </c>
      <c r="D121" t="str">
        <f t="shared" si="5"/>
        <v>Classic Cars</v>
      </c>
      <c r="E121" t="s">
        <v>272</v>
      </c>
      <c r="F121" s="5">
        <v>3508.8</v>
      </c>
      <c r="G121" s="5">
        <v>701.7600000000001</v>
      </c>
      <c r="I121" t="str">
        <f t="shared" si="6"/>
        <v>Low Sales</v>
      </c>
      <c r="J121" t="str">
        <f t="shared" si="7"/>
        <v>Average Performance</v>
      </c>
      <c r="K121">
        <f t="shared" si="8"/>
        <v>2004</v>
      </c>
      <c r="L121" t="str">
        <f t="shared" si="9"/>
        <v>July</v>
      </c>
    </row>
    <row r="122" spans="1:12" x14ac:dyDescent="0.25">
      <c r="A122" t="s">
        <v>82</v>
      </c>
      <c r="C122" t="s">
        <v>262</v>
      </c>
      <c r="D122" t="str">
        <f t="shared" si="5"/>
        <v>Classic Cars</v>
      </c>
      <c r="E122" t="s">
        <v>272</v>
      </c>
      <c r="F122" s="5">
        <v>2992</v>
      </c>
      <c r="G122" s="5">
        <v>598.4</v>
      </c>
      <c r="I122" t="str">
        <f t="shared" si="6"/>
        <v>Low Sales</v>
      </c>
      <c r="J122" t="str">
        <f t="shared" si="7"/>
        <v>Average Performance</v>
      </c>
      <c r="K122">
        <f t="shared" si="8"/>
        <v>2004</v>
      </c>
      <c r="L122" t="str">
        <f t="shared" si="9"/>
        <v>August</v>
      </c>
    </row>
    <row r="123" spans="1:12" x14ac:dyDescent="0.25">
      <c r="A123" t="s">
        <v>83</v>
      </c>
      <c r="C123" t="s">
        <v>262</v>
      </c>
      <c r="D123" t="str">
        <f t="shared" si="5"/>
        <v>Classic Cars</v>
      </c>
      <c r="E123" t="s">
        <v>272</v>
      </c>
      <c r="F123" s="5">
        <v>3427.2</v>
      </c>
      <c r="G123" s="5">
        <v>685.44</v>
      </c>
      <c r="I123" t="str">
        <f t="shared" si="6"/>
        <v>Low Sales</v>
      </c>
      <c r="J123" t="str">
        <f t="shared" si="7"/>
        <v>Average Performance</v>
      </c>
      <c r="K123">
        <f t="shared" si="8"/>
        <v>2004</v>
      </c>
      <c r="L123" t="str">
        <f t="shared" si="9"/>
        <v>September</v>
      </c>
    </row>
    <row r="124" spans="1:12" x14ac:dyDescent="0.25">
      <c r="A124" t="s">
        <v>84</v>
      </c>
      <c r="C124" t="s">
        <v>262</v>
      </c>
      <c r="D124" t="str">
        <f t="shared" si="5"/>
        <v>Classic Cars</v>
      </c>
      <c r="E124" t="s">
        <v>272</v>
      </c>
      <c r="F124" s="5">
        <v>2692.8</v>
      </c>
      <c r="G124" s="5">
        <v>538.56000000000006</v>
      </c>
      <c r="I124" t="str">
        <f t="shared" si="6"/>
        <v>Low Sales</v>
      </c>
      <c r="J124" t="str">
        <f t="shared" si="7"/>
        <v>Average Performance</v>
      </c>
      <c r="K124">
        <f t="shared" si="8"/>
        <v>2004</v>
      </c>
      <c r="L124" t="str">
        <f t="shared" si="9"/>
        <v>October</v>
      </c>
    </row>
    <row r="125" spans="1:12" x14ac:dyDescent="0.25">
      <c r="A125" t="s">
        <v>85</v>
      </c>
      <c r="B125" t="s">
        <v>258</v>
      </c>
      <c r="C125" t="s">
        <v>262</v>
      </c>
      <c r="D125" t="str">
        <f t="shared" si="5"/>
        <v>Classic Cars</v>
      </c>
      <c r="E125" t="s">
        <v>272</v>
      </c>
      <c r="F125" s="5">
        <v>4128.96</v>
      </c>
      <c r="G125" s="5">
        <v>825.79200000000003</v>
      </c>
      <c r="I125" t="str">
        <f t="shared" si="6"/>
        <v>Low Sales</v>
      </c>
      <c r="J125" t="str">
        <f t="shared" si="7"/>
        <v>Average Performance</v>
      </c>
      <c r="K125">
        <f t="shared" si="8"/>
        <v>2004</v>
      </c>
      <c r="L125" t="str">
        <f t="shared" si="9"/>
        <v>November</v>
      </c>
    </row>
    <row r="126" spans="1:12" x14ac:dyDescent="0.25">
      <c r="A126" t="s">
        <v>86</v>
      </c>
      <c r="B126" t="s">
        <v>258</v>
      </c>
      <c r="C126" t="s">
        <v>262</v>
      </c>
      <c r="D126" t="str">
        <f t="shared" si="5"/>
        <v>Classic Cars</v>
      </c>
      <c r="E126" t="s">
        <v>272</v>
      </c>
      <c r="F126" s="5">
        <v>3051.71</v>
      </c>
      <c r="G126" s="5">
        <v>610.34199999999998</v>
      </c>
      <c r="I126" t="str">
        <f t="shared" si="6"/>
        <v>Low Sales</v>
      </c>
      <c r="J126" t="str">
        <f t="shared" si="7"/>
        <v>Average Performance</v>
      </c>
      <c r="K126">
        <f t="shared" si="8"/>
        <v>2004</v>
      </c>
      <c r="L126" t="str">
        <f t="shared" si="9"/>
        <v>November</v>
      </c>
    </row>
    <row r="127" spans="1:12" x14ac:dyDescent="0.25">
      <c r="A127" t="s">
        <v>87</v>
      </c>
      <c r="C127" t="s">
        <v>262</v>
      </c>
      <c r="D127" t="str">
        <f t="shared" si="5"/>
        <v>Classic Cars</v>
      </c>
      <c r="E127" t="s">
        <v>272</v>
      </c>
      <c r="F127" s="5">
        <v>1201.25</v>
      </c>
      <c r="G127" s="5">
        <v>240.25</v>
      </c>
      <c r="I127" t="str">
        <f t="shared" si="6"/>
        <v>Low Sales</v>
      </c>
      <c r="J127" t="str">
        <f t="shared" si="7"/>
        <v>Average Performance</v>
      </c>
      <c r="K127">
        <f t="shared" si="8"/>
        <v>2004</v>
      </c>
      <c r="L127" t="str">
        <f t="shared" si="9"/>
        <v>November</v>
      </c>
    </row>
    <row r="128" spans="1:12" x14ac:dyDescent="0.25">
      <c r="A128" t="s">
        <v>88</v>
      </c>
      <c r="B128" t="s">
        <v>258</v>
      </c>
      <c r="C128" t="s">
        <v>262</v>
      </c>
      <c r="D128" t="str">
        <f t="shared" si="5"/>
        <v>Classic Cars</v>
      </c>
      <c r="E128" t="s">
        <v>272</v>
      </c>
      <c r="F128" s="5">
        <v>1962.22</v>
      </c>
      <c r="G128" s="5">
        <v>392.44400000000002</v>
      </c>
      <c r="I128" t="str">
        <f t="shared" si="6"/>
        <v>Low Sales</v>
      </c>
      <c r="J128" t="str">
        <f t="shared" si="7"/>
        <v>Average Performance</v>
      </c>
      <c r="K128">
        <f t="shared" si="8"/>
        <v>2004</v>
      </c>
      <c r="L128" t="str">
        <f t="shared" si="9"/>
        <v>December</v>
      </c>
    </row>
    <row r="129" spans="1:12" x14ac:dyDescent="0.25">
      <c r="A129" t="s">
        <v>89</v>
      </c>
      <c r="B129" t="s">
        <v>258</v>
      </c>
      <c r="C129" t="s">
        <v>262</v>
      </c>
      <c r="D129" t="str">
        <f t="shared" si="5"/>
        <v>Classic Cars</v>
      </c>
      <c r="E129" t="s">
        <v>272</v>
      </c>
      <c r="F129" s="5">
        <v>2624.64</v>
      </c>
      <c r="G129" s="5">
        <v>524.928</v>
      </c>
      <c r="I129" t="str">
        <f t="shared" si="6"/>
        <v>Low Sales</v>
      </c>
      <c r="J129" t="str">
        <f t="shared" si="7"/>
        <v>Average Performance</v>
      </c>
      <c r="K129">
        <f t="shared" si="8"/>
        <v>2004</v>
      </c>
      <c r="L129" t="str">
        <f t="shared" si="9"/>
        <v>December</v>
      </c>
    </row>
    <row r="130" spans="1:12" x14ac:dyDescent="0.25">
      <c r="A130" t="s">
        <v>90</v>
      </c>
      <c r="B130" t="s">
        <v>258</v>
      </c>
      <c r="C130" t="s">
        <v>262</v>
      </c>
      <c r="D130" t="str">
        <f t="shared" si="5"/>
        <v>Classic Cars</v>
      </c>
      <c r="E130" t="s">
        <v>272</v>
      </c>
      <c r="F130" s="5">
        <v>4046.25</v>
      </c>
      <c r="G130" s="5">
        <v>809.25</v>
      </c>
      <c r="I130" t="str">
        <f t="shared" si="6"/>
        <v>Low Sales</v>
      </c>
      <c r="J130" t="str">
        <f t="shared" si="7"/>
        <v>Average Performance</v>
      </c>
      <c r="K130">
        <f t="shared" si="8"/>
        <v>2005</v>
      </c>
      <c r="L130" t="str">
        <f t="shared" si="9"/>
        <v>January</v>
      </c>
    </row>
    <row r="131" spans="1:12" x14ac:dyDescent="0.25">
      <c r="A131" t="s">
        <v>91</v>
      </c>
      <c r="C131" t="s">
        <v>262</v>
      </c>
      <c r="D131" t="str">
        <f t="shared" ref="D131:D194" si="10">PROPER(TRIM(C131))</f>
        <v>Classic Cars</v>
      </c>
      <c r="E131" t="s">
        <v>272</v>
      </c>
      <c r="F131" s="5">
        <v>4846.7</v>
      </c>
      <c r="G131" s="5">
        <v>969.34</v>
      </c>
      <c r="I131" t="str">
        <f t="shared" ref="I131:I194" si="11">IF(F131&gt;50000,"High Sales","Low Sales")</f>
        <v>Low Sales</v>
      </c>
      <c r="J131" t="str">
        <f t="shared" ref="J131:J194" si="12">IF(AND(F131&gt;30000,G131&gt;5000),"Good Performance","Average Performance")</f>
        <v>Average Performance</v>
      </c>
      <c r="K131">
        <f t="shared" ref="K131:K194" si="13">YEAR(A131)</f>
        <v>2005</v>
      </c>
      <c r="L131" t="str">
        <f t="shared" ref="L131:L194" si="14">TEXT(A131,"mmmm")</f>
        <v>February</v>
      </c>
    </row>
    <row r="132" spans="1:12" x14ac:dyDescent="0.25">
      <c r="A132" t="s">
        <v>92</v>
      </c>
      <c r="B132" t="s">
        <v>258</v>
      </c>
      <c r="C132" t="s">
        <v>262</v>
      </c>
      <c r="D132" t="str">
        <f t="shared" si="10"/>
        <v>Classic Cars</v>
      </c>
      <c r="E132" t="s">
        <v>272</v>
      </c>
      <c r="F132" s="5">
        <v>3370.56</v>
      </c>
      <c r="G132" s="5">
        <v>674.11200000000008</v>
      </c>
      <c r="I132" t="str">
        <f t="shared" si="11"/>
        <v>Low Sales</v>
      </c>
      <c r="J132" t="str">
        <f t="shared" si="12"/>
        <v>Average Performance</v>
      </c>
      <c r="K132">
        <f t="shared" si="13"/>
        <v>2005</v>
      </c>
      <c r="L132" t="str">
        <f t="shared" si="14"/>
        <v>March</v>
      </c>
    </row>
    <row r="133" spans="1:12" x14ac:dyDescent="0.25">
      <c r="A133" t="s">
        <v>93</v>
      </c>
      <c r="C133" t="s">
        <v>262</v>
      </c>
      <c r="D133" t="str">
        <f t="shared" si="10"/>
        <v>Classic Cars</v>
      </c>
      <c r="E133" t="s">
        <v>272</v>
      </c>
      <c r="F133" s="5">
        <v>9661.44</v>
      </c>
      <c r="G133" s="5">
        <v>1932.288</v>
      </c>
      <c r="I133" t="str">
        <f t="shared" si="11"/>
        <v>Low Sales</v>
      </c>
      <c r="J133" t="str">
        <f t="shared" si="12"/>
        <v>Average Performance</v>
      </c>
      <c r="K133">
        <f t="shared" si="13"/>
        <v>2005</v>
      </c>
      <c r="L133" t="str">
        <f t="shared" si="14"/>
        <v>April</v>
      </c>
    </row>
    <row r="134" spans="1:12" x14ac:dyDescent="0.25">
      <c r="A134" t="s">
        <v>94</v>
      </c>
      <c r="C134" t="s">
        <v>262</v>
      </c>
      <c r="D134" t="str">
        <f t="shared" si="10"/>
        <v>Classic Cars</v>
      </c>
      <c r="E134" t="s">
        <v>272</v>
      </c>
      <c r="F134" s="5">
        <v>2764.88</v>
      </c>
      <c r="G134" s="5">
        <v>552.976</v>
      </c>
      <c r="I134" t="str">
        <f t="shared" si="11"/>
        <v>Low Sales</v>
      </c>
      <c r="J134" t="str">
        <f t="shared" si="12"/>
        <v>Average Performance</v>
      </c>
      <c r="K134">
        <f t="shared" si="13"/>
        <v>2005</v>
      </c>
      <c r="L134" t="str">
        <f t="shared" si="14"/>
        <v>May</v>
      </c>
    </row>
    <row r="135" spans="1:12" x14ac:dyDescent="0.25">
      <c r="A135" t="s">
        <v>32</v>
      </c>
      <c r="B135" t="s">
        <v>258</v>
      </c>
      <c r="C135" t="s">
        <v>262</v>
      </c>
      <c r="D135" t="str">
        <f t="shared" si="10"/>
        <v>Classic Cars</v>
      </c>
      <c r="E135" t="s">
        <v>273</v>
      </c>
      <c r="F135" s="5">
        <v>5398.26</v>
      </c>
      <c r="G135" s="5">
        <v>1079.652</v>
      </c>
      <c r="I135" t="str">
        <f t="shared" si="11"/>
        <v>Low Sales</v>
      </c>
      <c r="J135" t="str">
        <f t="shared" si="12"/>
        <v>Average Performance</v>
      </c>
      <c r="K135">
        <f t="shared" si="13"/>
        <v>2003</v>
      </c>
      <c r="L135" t="str">
        <f t="shared" si="14"/>
        <v>January</v>
      </c>
    </row>
    <row r="136" spans="1:12" x14ac:dyDescent="0.25">
      <c r="A136" t="s">
        <v>95</v>
      </c>
      <c r="B136" t="s">
        <v>258</v>
      </c>
      <c r="C136" t="s">
        <v>262</v>
      </c>
      <c r="D136" t="str">
        <f t="shared" si="10"/>
        <v>Classic Cars</v>
      </c>
      <c r="E136" t="s">
        <v>273</v>
      </c>
      <c r="F136" s="5">
        <v>4305.28</v>
      </c>
      <c r="G136" s="5">
        <v>861.05600000000004</v>
      </c>
      <c r="I136" t="str">
        <f t="shared" si="11"/>
        <v>Low Sales</v>
      </c>
      <c r="J136" t="str">
        <f t="shared" si="12"/>
        <v>Average Performance</v>
      </c>
      <c r="K136">
        <f t="shared" si="13"/>
        <v>2003</v>
      </c>
      <c r="L136" t="str">
        <f t="shared" si="14"/>
        <v>April</v>
      </c>
    </row>
    <row r="137" spans="1:12" x14ac:dyDescent="0.25">
      <c r="A137" t="s">
        <v>34</v>
      </c>
      <c r="B137" t="s">
        <v>258</v>
      </c>
      <c r="C137" t="s">
        <v>262</v>
      </c>
      <c r="D137" t="str">
        <f t="shared" si="10"/>
        <v>Classic Cars</v>
      </c>
      <c r="E137" t="s">
        <v>273</v>
      </c>
      <c r="F137" s="5">
        <v>3347.74</v>
      </c>
      <c r="G137" s="5">
        <v>669.548</v>
      </c>
      <c r="I137" t="str">
        <f t="shared" si="11"/>
        <v>Low Sales</v>
      </c>
      <c r="J137" t="str">
        <f t="shared" si="12"/>
        <v>Average Performance</v>
      </c>
      <c r="K137">
        <f t="shared" si="13"/>
        <v>2003</v>
      </c>
      <c r="L137" t="str">
        <f t="shared" si="14"/>
        <v>May</v>
      </c>
    </row>
    <row r="138" spans="1:12" x14ac:dyDescent="0.25">
      <c r="A138" t="s">
        <v>35</v>
      </c>
      <c r="C138" t="s">
        <v>262</v>
      </c>
      <c r="D138" t="str">
        <f t="shared" si="10"/>
        <v>Classic Cars</v>
      </c>
      <c r="E138" t="s">
        <v>273</v>
      </c>
      <c r="F138" s="5">
        <v>3188.12</v>
      </c>
      <c r="G138" s="5">
        <v>637.62400000000002</v>
      </c>
      <c r="I138" t="str">
        <f t="shared" si="11"/>
        <v>Low Sales</v>
      </c>
      <c r="J138" t="str">
        <f t="shared" si="12"/>
        <v>Average Performance</v>
      </c>
      <c r="K138">
        <f t="shared" si="13"/>
        <v>2003</v>
      </c>
      <c r="L138" t="str">
        <f t="shared" si="14"/>
        <v>July</v>
      </c>
    </row>
    <row r="139" spans="1:12" x14ac:dyDescent="0.25">
      <c r="A139" t="s">
        <v>36</v>
      </c>
      <c r="B139" t="s">
        <v>260</v>
      </c>
      <c r="C139" t="s">
        <v>262</v>
      </c>
      <c r="D139" t="str">
        <f t="shared" si="10"/>
        <v>Classic Cars</v>
      </c>
      <c r="E139" t="s">
        <v>273</v>
      </c>
      <c r="F139" s="5">
        <v>3191.2</v>
      </c>
      <c r="G139" s="5">
        <v>638.24</v>
      </c>
      <c r="I139" t="str">
        <f t="shared" si="11"/>
        <v>Low Sales</v>
      </c>
      <c r="J139" t="str">
        <f t="shared" si="12"/>
        <v>Average Performance</v>
      </c>
      <c r="K139">
        <f t="shared" si="13"/>
        <v>2003</v>
      </c>
      <c r="L139" t="str">
        <f t="shared" si="14"/>
        <v>September</v>
      </c>
    </row>
    <row r="140" spans="1:12" x14ac:dyDescent="0.25">
      <c r="A140" t="s">
        <v>96</v>
      </c>
      <c r="B140" t="s">
        <v>258</v>
      </c>
      <c r="C140" t="s">
        <v>262</v>
      </c>
      <c r="D140" t="str">
        <f t="shared" si="10"/>
        <v>Classic Cars</v>
      </c>
      <c r="E140" t="s">
        <v>273</v>
      </c>
      <c r="F140" s="5">
        <v>3536.82</v>
      </c>
      <c r="G140" s="5">
        <v>707.36400000000003</v>
      </c>
      <c r="I140" t="str">
        <f t="shared" si="11"/>
        <v>Low Sales</v>
      </c>
      <c r="J140" t="str">
        <f t="shared" si="12"/>
        <v>Average Performance</v>
      </c>
      <c r="K140">
        <f t="shared" si="13"/>
        <v>2003</v>
      </c>
      <c r="L140" t="str">
        <f t="shared" si="14"/>
        <v>October</v>
      </c>
    </row>
    <row r="141" spans="1:12" x14ac:dyDescent="0.25">
      <c r="A141" t="s">
        <v>38</v>
      </c>
      <c r="B141" t="s">
        <v>258</v>
      </c>
      <c r="C141" t="s">
        <v>262</v>
      </c>
      <c r="D141" t="str">
        <f t="shared" si="10"/>
        <v>Classic Cars</v>
      </c>
      <c r="E141" t="s">
        <v>273</v>
      </c>
      <c r="F141" s="5">
        <v>5362.83</v>
      </c>
      <c r="G141" s="5">
        <v>1072.566</v>
      </c>
      <c r="I141" t="str">
        <f t="shared" si="11"/>
        <v>Low Sales</v>
      </c>
      <c r="J141" t="str">
        <f t="shared" si="12"/>
        <v>Average Performance</v>
      </c>
      <c r="K141">
        <f t="shared" si="13"/>
        <v>2003</v>
      </c>
      <c r="L141" t="str">
        <f t="shared" si="14"/>
        <v>November</v>
      </c>
    </row>
    <row r="142" spans="1:12" x14ac:dyDescent="0.25">
      <c r="A142" t="s">
        <v>39</v>
      </c>
      <c r="C142" t="s">
        <v>262</v>
      </c>
      <c r="D142" t="str">
        <f t="shared" si="10"/>
        <v>Classic Cars</v>
      </c>
      <c r="E142" t="s">
        <v>273</v>
      </c>
      <c r="F142" s="5">
        <v>3433.36</v>
      </c>
      <c r="G142" s="5">
        <v>686.67200000000003</v>
      </c>
      <c r="I142" t="str">
        <f t="shared" si="11"/>
        <v>Low Sales</v>
      </c>
      <c r="J142" t="str">
        <f t="shared" si="12"/>
        <v>Average Performance</v>
      </c>
      <c r="K142">
        <f t="shared" si="13"/>
        <v>2003</v>
      </c>
      <c r="L142" t="str">
        <f t="shared" si="14"/>
        <v>November</v>
      </c>
    </row>
    <row r="143" spans="1:12" x14ac:dyDescent="0.25">
      <c r="A143" t="s">
        <v>40</v>
      </c>
      <c r="B143" t="s">
        <v>258</v>
      </c>
      <c r="C143" t="s">
        <v>262</v>
      </c>
      <c r="D143" t="str">
        <f t="shared" si="10"/>
        <v>Classic Cars</v>
      </c>
      <c r="E143" t="s">
        <v>273</v>
      </c>
      <c r="F143" s="5">
        <v>4263.74</v>
      </c>
      <c r="G143" s="5">
        <v>852.74800000000005</v>
      </c>
      <c r="I143" t="str">
        <f t="shared" si="11"/>
        <v>Low Sales</v>
      </c>
      <c r="J143" t="str">
        <f t="shared" si="12"/>
        <v>Average Performance</v>
      </c>
      <c r="K143">
        <f t="shared" si="13"/>
        <v>2003</v>
      </c>
      <c r="L143" t="str">
        <f t="shared" si="14"/>
        <v>November</v>
      </c>
    </row>
    <row r="144" spans="1:12" x14ac:dyDescent="0.25">
      <c r="A144" t="s">
        <v>97</v>
      </c>
      <c r="C144" t="s">
        <v>262</v>
      </c>
      <c r="D144" t="str">
        <f t="shared" si="10"/>
        <v>Classic Cars</v>
      </c>
      <c r="E144" t="s">
        <v>273</v>
      </c>
      <c r="F144" s="5">
        <v>4076.19</v>
      </c>
      <c r="G144" s="5">
        <v>815.23800000000006</v>
      </c>
      <c r="I144" t="str">
        <f t="shared" si="11"/>
        <v>Low Sales</v>
      </c>
      <c r="J144" t="str">
        <f t="shared" si="12"/>
        <v>Average Performance</v>
      </c>
      <c r="K144">
        <f t="shared" si="13"/>
        <v>2003</v>
      </c>
      <c r="L144" t="str">
        <f t="shared" si="14"/>
        <v>December</v>
      </c>
    </row>
    <row r="145" spans="1:12" x14ac:dyDescent="0.25">
      <c r="A145" t="s">
        <v>98</v>
      </c>
      <c r="B145" t="s">
        <v>259</v>
      </c>
      <c r="C145" t="s">
        <v>262</v>
      </c>
      <c r="D145" t="str">
        <f t="shared" si="10"/>
        <v>Classic Cars</v>
      </c>
      <c r="E145" t="s">
        <v>273</v>
      </c>
      <c r="F145" s="5">
        <v>7020.48</v>
      </c>
      <c r="G145" s="5">
        <v>1404.096</v>
      </c>
      <c r="I145" t="str">
        <f t="shared" si="11"/>
        <v>Low Sales</v>
      </c>
      <c r="J145" t="str">
        <f t="shared" si="12"/>
        <v>Average Performance</v>
      </c>
      <c r="K145">
        <f t="shared" si="13"/>
        <v>2004</v>
      </c>
      <c r="L145" t="str">
        <f t="shared" si="14"/>
        <v>February</v>
      </c>
    </row>
    <row r="146" spans="1:12" x14ac:dyDescent="0.25">
      <c r="A146" t="s">
        <v>99</v>
      </c>
      <c r="C146" t="s">
        <v>262</v>
      </c>
      <c r="D146" t="str">
        <f t="shared" si="10"/>
        <v>Classic Cars</v>
      </c>
      <c r="E146" t="s">
        <v>273</v>
      </c>
      <c r="F146" s="5">
        <v>6426.5</v>
      </c>
      <c r="G146" s="5">
        <v>1285.3</v>
      </c>
      <c r="I146" t="str">
        <f t="shared" si="11"/>
        <v>Low Sales</v>
      </c>
      <c r="J146" t="str">
        <f t="shared" si="12"/>
        <v>Average Performance</v>
      </c>
      <c r="K146">
        <f t="shared" si="13"/>
        <v>2004</v>
      </c>
      <c r="L146" t="str">
        <f t="shared" si="14"/>
        <v>March</v>
      </c>
    </row>
    <row r="147" spans="1:12" x14ac:dyDescent="0.25">
      <c r="A147" t="s">
        <v>44</v>
      </c>
      <c r="C147" t="s">
        <v>262</v>
      </c>
      <c r="D147" t="str">
        <f t="shared" si="10"/>
        <v>Classic Cars</v>
      </c>
      <c r="E147" t="s">
        <v>273</v>
      </c>
      <c r="F147" s="5">
        <v>4591.72</v>
      </c>
      <c r="G147" s="5">
        <v>918.34400000000005</v>
      </c>
      <c r="I147" t="str">
        <f t="shared" si="11"/>
        <v>Low Sales</v>
      </c>
      <c r="J147" t="str">
        <f t="shared" si="12"/>
        <v>Average Performance</v>
      </c>
      <c r="K147">
        <f t="shared" si="13"/>
        <v>2004</v>
      </c>
      <c r="L147" t="str">
        <f t="shared" si="14"/>
        <v>May</v>
      </c>
    </row>
    <row r="148" spans="1:12" x14ac:dyDescent="0.25">
      <c r="A148" t="s">
        <v>45</v>
      </c>
      <c r="B148" t="s">
        <v>259</v>
      </c>
      <c r="C148" t="s">
        <v>262</v>
      </c>
      <c r="D148" t="str">
        <f t="shared" si="10"/>
        <v>Classic Cars</v>
      </c>
      <c r="E148" t="s">
        <v>273</v>
      </c>
      <c r="F148" s="5">
        <v>4033.38</v>
      </c>
      <c r="G148" s="5">
        <v>806.67600000000004</v>
      </c>
      <c r="I148" t="str">
        <f t="shared" si="11"/>
        <v>Low Sales</v>
      </c>
      <c r="J148" t="str">
        <f t="shared" si="12"/>
        <v>Average Performance</v>
      </c>
      <c r="K148">
        <f t="shared" si="13"/>
        <v>2004</v>
      </c>
      <c r="L148" t="str">
        <f t="shared" si="14"/>
        <v>June</v>
      </c>
    </row>
    <row r="149" spans="1:12" x14ac:dyDescent="0.25">
      <c r="A149" t="s">
        <v>46</v>
      </c>
      <c r="B149" t="s">
        <v>259</v>
      </c>
      <c r="C149" t="s">
        <v>262</v>
      </c>
      <c r="D149" t="str">
        <f t="shared" si="10"/>
        <v>Classic Cars</v>
      </c>
      <c r="E149" t="s">
        <v>273</v>
      </c>
      <c r="F149" s="5">
        <v>4302.08</v>
      </c>
      <c r="G149" s="5">
        <v>860.41600000000005</v>
      </c>
      <c r="I149" t="str">
        <f t="shared" si="11"/>
        <v>Low Sales</v>
      </c>
      <c r="J149" t="str">
        <f t="shared" si="12"/>
        <v>Average Performance</v>
      </c>
      <c r="K149">
        <f t="shared" si="13"/>
        <v>2004</v>
      </c>
      <c r="L149" t="str">
        <f t="shared" si="14"/>
        <v>July</v>
      </c>
    </row>
    <row r="150" spans="1:12" x14ac:dyDescent="0.25">
      <c r="A150" t="s">
        <v>100</v>
      </c>
      <c r="C150" t="s">
        <v>262</v>
      </c>
      <c r="D150" t="str">
        <f t="shared" si="10"/>
        <v>Classic Cars</v>
      </c>
      <c r="E150" t="s">
        <v>273</v>
      </c>
      <c r="F150" s="5">
        <v>7020.64</v>
      </c>
      <c r="G150" s="5">
        <v>1404.1279999999999</v>
      </c>
      <c r="I150" t="str">
        <f t="shared" si="11"/>
        <v>Low Sales</v>
      </c>
      <c r="J150" t="str">
        <f t="shared" si="12"/>
        <v>Average Performance</v>
      </c>
      <c r="K150">
        <f t="shared" si="13"/>
        <v>2004</v>
      </c>
      <c r="L150" t="str">
        <f t="shared" si="14"/>
        <v>August</v>
      </c>
    </row>
    <row r="151" spans="1:12" x14ac:dyDescent="0.25">
      <c r="A151" t="s">
        <v>48</v>
      </c>
      <c r="B151" t="s">
        <v>258</v>
      </c>
      <c r="C151" t="s">
        <v>262</v>
      </c>
      <c r="D151" t="str">
        <f t="shared" si="10"/>
        <v>Classic Cars</v>
      </c>
      <c r="E151" t="s">
        <v>273</v>
      </c>
      <c r="F151" s="5">
        <v>3855.9</v>
      </c>
      <c r="G151" s="5">
        <v>771.18000000000006</v>
      </c>
      <c r="I151" t="str">
        <f t="shared" si="11"/>
        <v>Low Sales</v>
      </c>
      <c r="J151" t="str">
        <f t="shared" si="12"/>
        <v>Average Performance</v>
      </c>
      <c r="K151">
        <f t="shared" si="13"/>
        <v>2004</v>
      </c>
      <c r="L151" t="str">
        <f t="shared" si="14"/>
        <v>September</v>
      </c>
    </row>
    <row r="152" spans="1:12" x14ac:dyDescent="0.25">
      <c r="A152" t="s">
        <v>101</v>
      </c>
      <c r="C152" t="s">
        <v>262</v>
      </c>
      <c r="D152" t="str">
        <f t="shared" si="10"/>
        <v>Classic Cars</v>
      </c>
      <c r="E152" t="s">
        <v>273</v>
      </c>
      <c r="F152" s="5">
        <v>6680.78</v>
      </c>
      <c r="G152" s="5">
        <v>1336.1559999999999</v>
      </c>
      <c r="I152" t="str">
        <f t="shared" si="11"/>
        <v>Low Sales</v>
      </c>
      <c r="J152" t="str">
        <f t="shared" si="12"/>
        <v>Average Performance</v>
      </c>
      <c r="K152">
        <f t="shared" si="13"/>
        <v>2004</v>
      </c>
      <c r="L152" t="str">
        <f t="shared" si="14"/>
        <v>October</v>
      </c>
    </row>
    <row r="153" spans="1:12" x14ac:dyDescent="0.25">
      <c r="A153" t="s">
        <v>102</v>
      </c>
      <c r="C153" t="s">
        <v>262</v>
      </c>
      <c r="D153" t="str">
        <f t="shared" si="10"/>
        <v>Classic Cars</v>
      </c>
      <c r="E153" t="s">
        <v>273</v>
      </c>
      <c r="F153" s="5">
        <v>6678</v>
      </c>
      <c r="G153" s="5">
        <v>1335.6</v>
      </c>
      <c r="I153" t="str">
        <f t="shared" si="11"/>
        <v>Low Sales</v>
      </c>
      <c r="J153" t="str">
        <f t="shared" si="12"/>
        <v>Average Performance</v>
      </c>
      <c r="K153">
        <f t="shared" si="13"/>
        <v>2004</v>
      </c>
      <c r="L153" t="str">
        <f t="shared" si="14"/>
        <v>October</v>
      </c>
    </row>
    <row r="154" spans="1:12" x14ac:dyDescent="0.25">
      <c r="A154" t="s">
        <v>51</v>
      </c>
      <c r="C154" t="s">
        <v>262</v>
      </c>
      <c r="D154" t="str">
        <f t="shared" si="10"/>
        <v>Classic Cars</v>
      </c>
      <c r="E154" t="s">
        <v>273</v>
      </c>
      <c r="F154" s="5">
        <v>2851.54</v>
      </c>
      <c r="G154" s="5">
        <v>570.30799999999999</v>
      </c>
      <c r="I154" t="str">
        <f t="shared" si="11"/>
        <v>Low Sales</v>
      </c>
      <c r="J154" t="str">
        <f t="shared" si="12"/>
        <v>Average Performance</v>
      </c>
      <c r="K154">
        <f t="shared" si="13"/>
        <v>2004</v>
      </c>
      <c r="L154" t="str">
        <f t="shared" si="14"/>
        <v>November</v>
      </c>
    </row>
    <row r="155" spans="1:12" x14ac:dyDescent="0.25">
      <c r="A155" t="s">
        <v>103</v>
      </c>
      <c r="B155" t="s">
        <v>258</v>
      </c>
      <c r="C155" t="s">
        <v>262</v>
      </c>
      <c r="D155" t="str">
        <f t="shared" si="10"/>
        <v>Classic Cars</v>
      </c>
      <c r="E155" t="s">
        <v>273</v>
      </c>
      <c r="F155" s="5">
        <v>3188.12</v>
      </c>
      <c r="G155" s="5">
        <v>637.62400000000002</v>
      </c>
      <c r="I155" t="str">
        <f t="shared" si="11"/>
        <v>Low Sales</v>
      </c>
      <c r="J155" t="str">
        <f t="shared" si="12"/>
        <v>Average Performance</v>
      </c>
      <c r="K155">
        <f t="shared" si="13"/>
        <v>2004</v>
      </c>
      <c r="L155" t="str">
        <f t="shared" si="14"/>
        <v>November</v>
      </c>
    </row>
    <row r="156" spans="1:12" x14ac:dyDescent="0.25">
      <c r="A156" t="s">
        <v>53</v>
      </c>
      <c r="B156" t="s">
        <v>259</v>
      </c>
      <c r="C156" t="s">
        <v>262</v>
      </c>
      <c r="D156" t="str">
        <f t="shared" si="10"/>
        <v>Classic Cars</v>
      </c>
      <c r="E156" t="s">
        <v>273</v>
      </c>
      <c r="F156" s="5">
        <v>4428</v>
      </c>
      <c r="G156" s="5">
        <v>885.6</v>
      </c>
      <c r="I156" t="str">
        <f t="shared" si="11"/>
        <v>Low Sales</v>
      </c>
      <c r="J156" t="str">
        <f t="shared" si="12"/>
        <v>Average Performance</v>
      </c>
      <c r="K156">
        <f t="shared" si="13"/>
        <v>2004</v>
      </c>
      <c r="L156" t="str">
        <f t="shared" si="14"/>
        <v>November</v>
      </c>
    </row>
    <row r="157" spans="1:12" x14ac:dyDescent="0.25">
      <c r="A157" t="s">
        <v>54</v>
      </c>
      <c r="C157" t="s">
        <v>262</v>
      </c>
      <c r="D157" t="str">
        <f t="shared" si="10"/>
        <v>Classic Cars</v>
      </c>
      <c r="E157" t="s">
        <v>273</v>
      </c>
      <c r="F157" s="5">
        <v>5780.92</v>
      </c>
      <c r="G157" s="5">
        <v>1156.184</v>
      </c>
      <c r="I157" t="str">
        <f t="shared" si="11"/>
        <v>Low Sales</v>
      </c>
      <c r="J157" t="str">
        <f t="shared" si="12"/>
        <v>Average Performance</v>
      </c>
      <c r="K157">
        <f t="shared" si="13"/>
        <v>2004</v>
      </c>
      <c r="L157" t="str">
        <f t="shared" si="14"/>
        <v>December</v>
      </c>
    </row>
    <row r="158" spans="1:12" x14ac:dyDescent="0.25">
      <c r="A158" t="s">
        <v>55</v>
      </c>
      <c r="B158" t="s">
        <v>259</v>
      </c>
      <c r="C158" t="s">
        <v>262</v>
      </c>
      <c r="D158" t="str">
        <f t="shared" si="10"/>
        <v>Classic Cars</v>
      </c>
      <c r="E158" t="s">
        <v>273</v>
      </c>
      <c r="F158" s="5">
        <v>2297.0500000000002</v>
      </c>
      <c r="G158" s="5">
        <v>459.41000000000008</v>
      </c>
      <c r="I158" t="str">
        <f t="shared" si="11"/>
        <v>Low Sales</v>
      </c>
      <c r="J158" t="str">
        <f t="shared" si="12"/>
        <v>Average Performance</v>
      </c>
      <c r="K158">
        <f t="shared" si="13"/>
        <v>2005</v>
      </c>
      <c r="L158" t="str">
        <f t="shared" si="14"/>
        <v>January</v>
      </c>
    </row>
    <row r="159" spans="1:12" x14ac:dyDescent="0.25">
      <c r="A159" t="s">
        <v>56</v>
      </c>
      <c r="C159" t="s">
        <v>262</v>
      </c>
      <c r="D159" t="str">
        <f t="shared" si="10"/>
        <v>Classic Cars</v>
      </c>
      <c r="E159" t="s">
        <v>273</v>
      </c>
      <c r="F159" s="5">
        <v>6231.54</v>
      </c>
      <c r="G159" s="5">
        <v>1246.308</v>
      </c>
      <c r="I159" t="str">
        <f t="shared" si="11"/>
        <v>Low Sales</v>
      </c>
      <c r="J159" t="str">
        <f t="shared" si="12"/>
        <v>Average Performance</v>
      </c>
      <c r="K159">
        <f t="shared" si="13"/>
        <v>2005</v>
      </c>
      <c r="L159" t="str">
        <f t="shared" si="14"/>
        <v>February</v>
      </c>
    </row>
    <row r="160" spans="1:12" x14ac:dyDescent="0.25">
      <c r="A160" t="s">
        <v>57</v>
      </c>
      <c r="B160" t="s">
        <v>259</v>
      </c>
      <c r="C160" t="s">
        <v>262</v>
      </c>
      <c r="D160" t="str">
        <f t="shared" si="10"/>
        <v>Classic Cars</v>
      </c>
      <c r="E160" t="s">
        <v>273</v>
      </c>
      <c r="F160" s="5">
        <v>1735.3</v>
      </c>
      <c r="G160" s="5">
        <v>347.06</v>
      </c>
      <c r="I160" t="str">
        <f t="shared" si="11"/>
        <v>Low Sales</v>
      </c>
      <c r="J160" t="str">
        <f t="shared" si="12"/>
        <v>Average Performance</v>
      </c>
      <c r="K160">
        <f t="shared" si="13"/>
        <v>2005</v>
      </c>
      <c r="L160" t="str">
        <f t="shared" si="14"/>
        <v>March</v>
      </c>
    </row>
    <row r="161" spans="1:12" x14ac:dyDescent="0.25">
      <c r="A161" t="s">
        <v>58</v>
      </c>
      <c r="C161" t="s">
        <v>262</v>
      </c>
      <c r="D161" t="str">
        <f t="shared" si="10"/>
        <v>Classic Cars</v>
      </c>
      <c r="E161" t="s">
        <v>273</v>
      </c>
      <c r="F161" s="5">
        <v>4427.7299999999996</v>
      </c>
      <c r="G161" s="5">
        <v>885.54599999999994</v>
      </c>
      <c r="I161" t="str">
        <f t="shared" si="11"/>
        <v>Low Sales</v>
      </c>
      <c r="J161" t="str">
        <f t="shared" si="12"/>
        <v>Average Performance</v>
      </c>
      <c r="K161">
        <f t="shared" si="13"/>
        <v>2005</v>
      </c>
      <c r="L161" t="str">
        <f t="shared" si="14"/>
        <v>May</v>
      </c>
    </row>
    <row r="162" spans="1:12" x14ac:dyDescent="0.25">
      <c r="A162" t="s">
        <v>59</v>
      </c>
      <c r="B162" t="s">
        <v>258</v>
      </c>
      <c r="C162" t="s">
        <v>262</v>
      </c>
      <c r="D162" t="str">
        <f t="shared" si="10"/>
        <v>Classic Cars</v>
      </c>
      <c r="E162" t="s">
        <v>273</v>
      </c>
      <c r="F162" s="5">
        <v>5894.94</v>
      </c>
      <c r="G162" s="5">
        <v>1178.9880000000001</v>
      </c>
      <c r="I162" t="str">
        <f t="shared" si="11"/>
        <v>Low Sales</v>
      </c>
      <c r="J162" t="str">
        <f t="shared" si="12"/>
        <v>Average Performance</v>
      </c>
      <c r="K162">
        <f t="shared" si="13"/>
        <v>2005</v>
      </c>
      <c r="L162" t="str">
        <f t="shared" si="14"/>
        <v>May</v>
      </c>
    </row>
    <row r="163" spans="1:12" x14ac:dyDescent="0.25">
      <c r="A163" t="s">
        <v>104</v>
      </c>
      <c r="B163" t="s">
        <v>260</v>
      </c>
      <c r="C163" t="s">
        <v>262</v>
      </c>
      <c r="D163" t="str">
        <f t="shared" si="10"/>
        <v>Classic Cars</v>
      </c>
      <c r="E163" t="s">
        <v>274</v>
      </c>
      <c r="F163" s="5">
        <v>5265.15</v>
      </c>
      <c r="G163" s="5">
        <v>1053.03</v>
      </c>
      <c r="I163" t="str">
        <f t="shared" si="11"/>
        <v>Low Sales</v>
      </c>
      <c r="J163" t="str">
        <f t="shared" si="12"/>
        <v>Average Performance</v>
      </c>
      <c r="K163">
        <f t="shared" si="13"/>
        <v>2003</v>
      </c>
      <c r="L163" t="str">
        <f t="shared" si="14"/>
        <v>March</v>
      </c>
    </row>
    <row r="164" spans="1:12" x14ac:dyDescent="0.25">
      <c r="A164" t="s">
        <v>105</v>
      </c>
      <c r="B164" t="s">
        <v>258</v>
      </c>
      <c r="C164" t="s">
        <v>262</v>
      </c>
      <c r="D164" t="str">
        <f t="shared" si="10"/>
        <v>Classic Cars</v>
      </c>
      <c r="E164" t="s">
        <v>274</v>
      </c>
      <c r="F164" s="5">
        <v>7599.9</v>
      </c>
      <c r="G164" s="5">
        <v>1519.98</v>
      </c>
      <c r="I164" t="str">
        <f t="shared" si="11"/>
        <v>Low Sales</v>
      </c>
      <c r="J164" t="str">
        <f t="shared" si="12"/>
        <v>Average Performance</v>
      </c>
      <c r="K164">
        <f t="shared" si="13"/>
        <v>2003</v>
      </c>
      <c r="L164" t="str">
        <f t="shared" si="14"/>
        <v>May</v>
      </c>
    </row>
    <row r="165" spans="1:12" x14ac:dyDescent="0.25">
      <c r="A165" t="s">
        <v>106</v>
      </c>
      <c r="C165" t="s">
        <v>262</v>
      </c>
      <c r="D165" t="str">
        <f t="shared" si="10"/>
        <v>Classic Cars</v>
      </c>
      <c r="E165" t="s">
        <v>274</v>
      </c>
      <c r="F165" s="5">
        <v>8008.56</v>
      </c>
      <c r="G165" s="5">
        <v>1601.712</v>
      </c>
      <c r="I165" t="str">
        <f t="shared" si="11"/>
        <v>Low Sales</v>
      </c>
      <c r="J165" t="str">
        <f t="shared" si="12"/>
        <v>Average Performance</v>
      </c>
      <c r="K165">
        <f t="shared" si="13"/>
        <v>2003</v>
      </c>
      <c r="L165" t="str">
        <f t="shared" si="14"/>
        <v>July</v>
      </c>
    </row>
    <row r="166" spans="1:12" x14ac:dyDescent="0.25">
      <c r="A166" t="s">
        <v>107</v>
      </c>
      <c r="C166" t="s">
        <v>262</v>
      </c>
      <c r="D166" t="str">
        <f t="shared" si="10"/>
        <v>Classic Cars</v>
      </c>
      <c r="E166" t="s">
        <v>274</v>
      </c>
      <c r="F166" s="5">
        <v>9245.76</v>
      </c>
      <c r="G166" s="5">
        <v>1849.152</v>
      </c>
      <c r="I166" t="str">
        <f t="shared" si="11"/>
        <v>Low Sales</v>
      </c>
      <c r="J166" t="str">
        <f t="shared" si="12"/>
        <v>Average Performance</v>
      </c>
      <c r="K166">
        <f t="shared" si="13"/>
        <v>2003</v>
      </c>
      <c r="L166" t="str">
        <f t="shared" si="14"/>
        <v>September</v>
      </c>
    </row>
    <row r="167" spans="1:12" x14ac:dyDescent="0.25">
      <c r="A167" t="s">
        <v>10</v>
      </c>
      <c r="C167" t="s">
        <v>262</v>
      </c>
      <c r="D167" t="str">
        <f t="shared" si="10"/>
        <v>Classic Cars</v>
      </c>
      <c r="E167" t="s">
        <v>274</v>
      </c>
      <c r="F167" s="5">
        <v>8296.35</v>
      </c>
      <c r="G167" s="5">
        <v>1659.27</v>
      </c>
      <c r="I167" t="str">
        <f t="shared" si="11"/>
        <v>Low Sales</v>
      </c>
      <c r="J167" t="str">
        <f t="shared" si="12"/>
        <v>Average Performance</v>
      </c>
      <c r="K167">
        <f t="shared" si="13"/>
        <v>2003</v>
      </c>
      <c r="L167" t="str">
        <f t="shared" si="14"/>
        <v>October</v>
      </c>
    </row>
    <row r="168" spans="1:12" x14ac:dyDescent="0.25">
      <c r="A168" t="s">
        <v>108</v>
      </c>
      <c r="B168" t="s">
        <v>259</v>
      </c>
      <c r="C168" t="s">
        <v>262</v>
      </c>
      <c r="D168" t="str">
        <f t="shared" si="10"/>
        <v>Classic Cars</v>
      </c>
      <c r="E168" t="s">
        <v>274</v>
      </c>
      <c r="F168" s="5">
        <v>5019.8999999999996</v>
      </c>
      <c r="G168" s="5">
        <v>1003.98</v>
      </c>
      <c r="I168" t="str">
        <f t="shared" si="11"/>
        <v>Low Sales</v>
      </c>
      <c r="J168" t="str">
        <f t="shared" si="12"/>
        <v>Average Performance</v>
      </c>
      <c r="K168">
        <f t="shared" si="13"/>
        <v>2003</v>
      </c>
      <c r="L168" t="str">
        <f t="shared" si="14"/>
        <v>November</v>
      </c>
    </row>
    <row r="169" spans="1:12" x14ac:dyDescent="0.25">
      <c r="A169" t="s">
        <v>109</v>
      </c>
      <c r="B169" t="s">
        <v>258</v>
      </c>
      <c r="C169" t="s">
        <v>262</v>
      </c>
      <c r="D169" t="str">
        <f t="shared" si="10"/>
        <v>Classic Cars</v>
      </c>
      <c r="E169" t="s">
        <v>274</v>
      </c>
      <c r="F169" s="5">
        <v>5411.07</v>
      </c>
      <c r="G169" s="5">
        <v>1082.2139999999999</v>
      </c>
      <c r="I169" t="str">
        <f t="shared" si="11"/>
        <v>Low Sales</v>
      </c>
      <c r="J169" t="str">
        <f t="shared" si="12"/>
        <v>Average Performance</v>
      </c>
      <c r="K169">
        <f t="shared" si="13"/>
        <v>2003</v>
      </c>
      <c r="L169" t="str">
        <f t="shared" si="14"/>
        <v>November</v>
      </c>
    </row>
    <row r="170" spans="1:12" x14ac:dyDescent="0.25">
      <c r="A170" t="s">
        <v>110</v>
      </c>
      <c r="B170" t="s">
        <v>258</v>
      </c>
      <c r="C170" t="s">
        <v>262</v>
      </c>
      <c r="D170" t="str">
        <f t="shared" si="10"/>
        <v>Classic Cars</v>
      </c>
      <c r="E170" t="s">
        <v>274</v>
      </c>
      <c r="F170" s="5">
        <v>3840.9</v>
      </c>
      <c r="G170" s="5">
        <v>768.18000000000006</v>
      </c>
      <c r="I170" t="str">
        <f t="shared" si="11"/>
        <v>Low Sales</v>
      </c>
      <c r="J170" t="str">
        <f t="shared" si="12"/>
        <v>Average Performance</v>
      </c>
      <c r="K170">
        <f t="shared" si="13"/>
        <v>2003</v>
      </c>
      <c r="L170" t="str">
        <f t="shared" si="14"/>
        <v>November</v>
      </c>
    </row>
    <row r="171" spans="1:12" x14ac:dyDescent="0.25">
      <c r="A171" t="s">
        <v>111</v>
      </c>
      <c r="B171" t="s">
        <v>258</v>
      </c>
      <c r="C171" t="s">
        <v>262</v>
      </c>
      <c r="D171" t="str">
        <f t="shared" si="10"/>
        <v>Classic Cars</v>
      </c>
      <c r="E171" t="s">
        <v>274</v>
      </c>
      <c r="F171" s="5">
        <v>3930.4</v>
      </c>
      <c r="G171" s="5">
        <v>786.08</v>
      </c>
      <c r="I171" t="str">
        <f t="shared" si="11"/>
        <v>Low Sales</v>
      </c>
      <c r="J171" t="str">
        <f t="shared" si="12"/>
        <v>Average Performance</v>
      </c>
      <c r="K171">
        <f t="shared" si="13"/>
        <v>2003</v>
      </c>
      <c r="L171" t="str">
        <f t="shared" si="14"/>
        <v>December</v>
      </c>
    </row>
    <row r="172" spans="1:12" x14ac:dyDescent="0.25">
      <c r="A172" t="s">
        <v>15</v>
      </c>
      <c r="B172" t="s">
        <v>258</v>
      </c>
      <c r="C172" t="s">
        <v>262</v>
      </c>
      <c r="D172" t="str">
        <f t="shared" si="10"/>
        <v>Classic Cars</v>
      </c>
      <c r="E172" t="s">
        <v>274</v>
      </c>
      <c r="F172" s="5">
        <v>7498.9</v>
      </c>
      <c r="G172" s="5">
        <v>1499.78</v>
      </c>
      <c r="I172" t="str">
        <f t="shared" si="11"/>
        <v>Low Sales</v>
      </c>
      <c r="J172" t="str">
        <f t="shared" si="12"/>
        <v>Average Performance</v>
      </c>
      <c r="K172">
        <f t="shared" si="13"/>
        <v>2004</v>
      </c>
      <c r="L172" t="str">
        <f t="shared" si="14"/>
        <v>January</v>
      </c>
    </row>
    <row r="173" spans="1:12" x14ac:dyDescent="0.25">
      <c r="A173" t="s">
        <v>112</v>
      </c>
      <c r="B173" t="s">
        <v>258</v>
      </c>
      <c r="C173" t="s">
        <v>262</v>
      </c>
      <c r="D173" t="str">
        <f t="shared" si="10"/>
        <v>Classic Cars</v>
      </c>
      <c r="E173" t="s">
        <v>274</v>
      </c>
      <c r="F173" s="5">
        <v>4517.91</v>
      </c>
      <c r="G173" s="5">
        <v>903.58199999999999</v>
      </c>
      <c r="I173" t="str">
        <f t="shared" si="11"/>
        <v>Low Sales</v>
      </c>
      <c r="J173" t="str">
        <f t="shared" si="12"/>
        <v>Average Performance</v>
      </c>
      <c r="K173">
        <f t="shared" si="13"/>
        <v>2004</v>
      </c>
      <c r="L173" t="str">
        <f t="shared" si="14"/>
        <v>February</v>
      </c>
    </row>
    <row r="174" spans="1:12" x14ac:dyDescent="0.25">
      <c r="A174" t="s">
        <v>113</v>
      </c>
      <c r="B174" t="s">
        <v>258</v>
      </c>
      <c r="C174" t="s">
        <v>262</v>
      </c>
      <c r="D174" t="str">
        <f t="shared" si="10"/>
        <v>Classic Cars</v>
      </c>
      <c r="E174" t="s">
        <v>274</v>
      </c>
      <c r="F174" s="5">
        <v>5774.72</v>
      </c>
      <c r="G174" s="5">
        <v>1154.944</v>
      </c>
      <c r="I174" t="str">
        <f t="shared" si="11"/>
        <v>Low Sales</v>
      </c>
      <c r="J174" t="str">
        <f t="shared" si="12"/>
        <v>Average Performance</v>
      </c>
      <c r="K174">
        <f t="shared" si="13"/>
        <v>2004</v>
      </c>
      <c r="L174" t="str">
        <f t="shared" si="14"/>
        <v>April</v>
      </c>
    </row>
    <row r="175" spans="1:12" x14ac:dyDescent="0.25">
      <c r="A175" t="s">
        <v>114</v>
      </c>
      <c r="B175" t="s">
        <v>258</v>
      </c>
      <c r="C175" t="s">
        <v>262</v>
      </c>
      <c r="D175" t="str">
        <f t="shared" si="10"/>
        <v>Classic Cars</v>
      </c>
      <c r="E175" t="s">
        <v>274</v>
      </c>
      <c r="F175" s="5">
        <v>3922.56</v>
      </c>
      <c r="G175" s="5">
        <v>784.51200000000006</v>
      </c>
      <c r="I175" t="str">
        <f t="shared" si="11"/>
        <v>Low Sales</v>
      </c>
      <c r="J175" t="str">
        <f t="shared" si="12"/>
        <v>Average Performance</v>
      </c>
      <c r="K175">
        <f t="shared" si="13"/>
        <v>2004</v>
      </c>
      <c r="L175" t="str">
        <f t="shared" si="14"/>
        <v>June</v>
      </c>
    </row>
    <row r="176" spans="1:12" x14ac:dyDescent="0.25">
      <c r="A176" t="s">
        <v>115</v>
      </c>
      <c r="B176" t="s">
        <v>258</v>
      </c>
      <c r="C176" t="s">
        <v>262</v>
      </c>
      <c r="D176" t="str">
        <f t="shared" si="10"/>
        <v>Classic Cars</v>
      </c>
      <c r="E176" t="s">
        <v>274</v>
      </c>
      <c r="F176" s="5">
        <v>9160.36</v>
      </c>
      <c r="G176" s="5">
        <v>1832.0719999999999</v>
      </c>
      <c r="I176" t="str">
        <f t="shared" si="11"/>
        <v>Low Sales</v>
      </c>
      <c r="J176" t="str">
        <f t="shared" si="12"/>
        <v>Average Performance</v>
      </c>
      <c r="K176">
        <f t="shared" si="13"/>
        <v>2004</v>
      </c>
      <c r="L176" t="str">
        <f t="shared" si="14"/>
        <v>July</v>
      </c>
    </row>
    <row r="177" spans="1:12" x14ac:dyDescent="0.25">
      <c r="A177" t="s">
        <v>116</v>
      </c>
      <c r="C177" t="s">
        <v>262</v>
      </c>
      <c r="D177" t="str">
        <f t="shared" si="10"/>
        <v>Classic Cars</v>
      </c>
      <c r="E177" t="s">
        <v>274</v>
      </c>
      <c r="F177" s="5">
        <v>9631</v>
      </c>
      <c r="G177" s="5">
        <v>1926.2</v>
      </c>
      <c r="I177" t="str">
        <f t="shared" si="11"/>
        <v>Low Sales</v>
      </c>
      <c r="J177" t="str">
        <f t="shared" si="12"/>
        <v>Average Performance</v>
      </c>
      <c r="K177">
        <f t="shared" si="13"/>
        <v>2004</v>
      </c>
      <c r="L177" t="str">
        <f t="shared" si="14"/>
        <v>August</v>
      </c>
    </row>
    <row r="178" spans="1:12" x14ac:dyDescent="0.25">
      <c r="A178" t="s">
        <v>117</v>
      </c>
      <c r="B178" t="s">
        <v>258</v>
      </c>
      <c r="C178" t="s">
        <v>262</v>
      </c>
      <c r="D178" t="str">
        <f t="shared" si="10"/>
        <v>Classic Cars</v>
      </c>
      <c r="E178" t="s">
        <v>274</v>
      </c>
      <c r="F178" s="5">
        <v>3432.24</v>
      </c>
      <c r="G178" s="5">
        <v>686.44799999999998</v>
      </c>
      <c r="I178" t="str">
        <f t="shared" si="11"/>
        <v>Low Sales</v>
      </c>
      <c r="J178" t="str">
        <f t="shared" si="12"/>
        <v>Average Performance</v>
      </c>
      <c r="K178">
        <f t="shared" si="13"/>
        <v>2004</v>
      </c>
      <c r="L178" t="str">
        <f t="shared" si="14"/>
        <v>August</v>
      </c>
    </row>
    <row r="179" spans="1:12" x14ac:dyDescent="0.25">
      <c r="A179" t="s">
        <v>118</v>
      </c>
      <c r="B179" t="s">
        <v>258</v>
      </c>
      <c r="C179" t="s">
        <v>262</v>
      </c>
      <c r="D179" t="str">
        <f t="shared" si="10"/>
        <v>Classic Cars</v>
      </c>
      <c r="E179" t="s">
        <v>274</v>
      </c>
      <c r="F179" s="5">
        <v>5521.89</v>
      </c>
      <c r="G179" s="5">
        <v>1104.3779999999999</v>
      </c>
      <c r="I179" t="str">
        <f t="shared" si="11"/>
        <v>Low Sales</v>
      </c>
      <c r="J179" t="str">
        <f t="shared" si="12"/>
        <v>Average Performance</v>
      </c>
      <c r="K179">
        <f t="shared" si="13"/>
        <v>2003</v>
      </c>
      <c r="L179" t="str">
        <f t="shared" si="14"/>
        <v>October</v>
      </c>
    </row>
    <row r="180" spans="1:12" x14ac:dyDescent="0.25">
      <c r="A180" t="s">
        <v>119</v>
      </c>
      <c r="B180" t="s">
        <v>258</v>
      </c>
      <c r="C180" t="s">
        <v>262</v>
      </c>
      <c r="D180" t="str">
        <f t="shared" si="10"/>
        <v>Classic Cars</v>
      </c>
      <c r="E180" t="s">
        <v>274</v>
      </c>
      <c r="F180" s="5">
        <v>6934.62</v>
      </c>
      <c r="G180" s="5">
        <v>1386.924</v>
      </c>
      <c r="I180" t="str">
        <f t="shared" si="11"/>
        <v>Low Sales</v>
      </c>
      <c r="J180" t="str">
        <f t="shared" si="12"/>
        <v>Average Performance</v>
      </c>
      <c r="K180">
        <f t="shared" si="13"/>
        <v>2004</v>
      </c>
      <c r="L180" t="str">
        <f t="shared" si="14"/>
        <v>October</v>
      </c>
    </row>
    <row r="181" spans="1:12" x14ac:dyDescent="0.25">
      <c r="A181" t="s">
        <v>120</v>
      </c>
      <c r="B181" t="s">
        <v>258</v>
      </c>
      <c r="C181" t="s">
        <v>262</v>
      </c>
      <c r="D181" t="str">
        <f t="shared" si="10"/>
        <v>Classic Cars</v>
      </c>
      <c r="E181" t="s">
        <v>274</v>
      </c>
      <c r="F181" s="5">
        <v>6876.11</v>
      </c>
      <c r="G181" s="5">
        <v>1375.222</v>
      </c>
      <c r="I181" t="str">
        <f t="shared" si="11"/>
        <v>Low Sales</v>
      </c>
      <c r="J181" t="str">
        <f t="shared" si="12"/>
        <v>Average Performance</v>
      </c>
      <c r="K181">
        <f t="shared" si="13"/>
        <v>2004</v>
      </c>
      <c r="L181" t="str">
        <f t="shared" si="14"/>
        <v>November</v>
      </c>
    </row>
    <row r="182" spans="1:12" x14ac:dyDescent="0.25">
      <c r="A182" t="s">
        <v>25</v>
      </c>
      <c r="C182" t="s">
        <v>262</v>
      </c>
      <c r="D182" t="str">
        <f t="shared" si="10"/>
        <v>Classic Cars</v>
      </c>
      <c r="E182" t="s">
        <v>274</v>
      </c>
      <c r="F182" s="5">
        <v>2930.27</v>
      </c>
      <c r="G182" s="5">
        <v>586.05399999999997</v>
      </c>
      <c r="I182" t="str">
        <f t="shared" si="11"/>
        <v>Low Sales</v>
      </c>
      <c r="J182" t="str">
        <f t="shared" si="12"/>
        <v>Average Performance</v>
      </c>
      <c r="K182">
        <f t="shared" si="13"/>
        <v>2004</v>
      </c>
      <c r="L182" t="str">
        <f t="shared" si="14"/>
        <v>November</v>
      </c>
    </row>
    <row r="183" spans="1:12" x14ac:dyDescent="0.25">
      <c r="A183" t="s">
        <v>26</v>
      </c>
      <c r="B183" t="s">
        <v>258</v>
      </c>
      <c r="C183" t="s">
        <v>262</v>
      </c>
      <c r="D183" t="str">
        <f t="shared" si="10"/>
        <v>Classic Cars</v>
      </c>
      <c r="E183" t="s">
        <v>274</v>
      </c>
      <c r="F183" s="5">
        <v>3584.25</v>
      </c>
      <c r="G183" s="5">
        <v>716.85</v>
      </c>
      <c r="I183" t="str">
        <f t="shared" si="11"/>
        <v>Low Sales</v>
      </c>
      <c r="J183" t="str">
        <f t="shared" si="12"/>
        <v>Average Performance</v>
      </c>
      <c r="K183">
        <f t="shared" si="13"/>
        <v>2004</v>
      </c>
      <c r="L183" t="str">
        <f t="shared" si="14"/>
        <v>November</v>
      </c>
    </row>
    <row r="184" spans="1:12" x14ac:dyDescent="0.25">
      <c r="A184" t="s">
        <v>121</v>
      </c>
      <c r="B184" t="s">
        <v>258</v>
      </c>
      <c r="C184" t="s">
        <v>262</v>
      </c>
      <c r="D184" t="str">
        <f t="shared" si="10"/>
        <v>Classic Cars</v>
      </c>
      <c r="E184" t="s">
        <v>274</v>
      </c>
      <c r="F184" s="5">
        <v>2817.87</v>
      </c>
      <c r="G184" s="5">
        <v>563.57399999999996</v>
      </c>
      <c r="I184" t="str">
        <f t="shared" si="11"/>
        <v>Low Sales</v>
      </c>
      <c r="J184" t="str">
        <f t="shared" si="12"/>
        <v>Average Performance</v>
      </c>
      <c r="K184">
        <f t="shared" si="13"/>
        <v>2005</v>
      </c>
      <c r="L184" t="str">
        <f t="shared" si="14"/>
        <v>January</v>
      </c>
    </row>
    <row r="185" spans="1:12" x14ac:dyDescent="0.25">
      <c r="A185" t="s">
        <v>28</v>
      </c>
      <c r="B185" t="s">
        <v>258</v>
      </c>
      <c r="C185" t="s">
        <v>262</v>
      </c>
      <c r="D185" t="str">
        <f t="shared" si="10"/>
        <v>Classic Cars</v>
      </c>
      <c r="E185" t="s">
        <v>274</v>
      </c>
      <c r="F185" s="5">
        <v>3420</v>
      </c>
      <c r="G185" s="5">
        <v>684</v>
      </c>
      <c r="I185" t="str">
        <f t="shared" si="11"/>
        <v>Low Sales</v>
      </c>
      <c r="J185" t="str">
        <f t="shared" si="12"/>
        <v>Average Performance</v>
      </c>
      <c r="K185">
        <f t="shared" si="13"/>
        <v>2005</v>
      </c>
      <c r="L185" t="str">
        <f t="shared" si="14"/>
        <v>February</v>
      </c>
    </row>
    <row r="186" spans="1:12" x14ac:dyDescent="0.25">
      <c r="A186" t="s">
        <v>29</v>
      </c>
      <c r="B186" t="s">
        <v>258</v>
      </c>
      <c r="C186" t="s">
        <v>262</v>
      </c>
      <c r="D186" t="str">
        <f t="shared" si="10"/>
        <v>Classic Cars</v>
      </c>
      <c r="E186" t="s">
        <v>274</v>
      </c>
      <c r="F186" s="5">
        <v>2575.04</v>
      </c>
      <c r="G186" s="5">
        <v>515.00800000000004</v>
      </c>
      <c r="I186" t="str">
        <f t="shared" si="11"/>
        <v>Low Sales</v>
      </c>
      <c r="J186" t="str">
        <f t="shared" si="12"/>
        <v>Average Performance</v>
      </c>
      <c r="K186">
        <f t="shared" si="13"/>
        <v>2005</v>
      </c>
      <c r="L186" t="str">
        <f t="shared" si="14"/>
        <v>March</v>
      </c>
    </row>
    <row r="187" spans="1:12" x14ac:dyDescent="0.25">
      <c r="A187" t="s">
        <v>122</v>
      </c>
      <c r="B187" t="s">
        <v>258</v>
      </c>
      <c r="C187" t="s">
        <v>262</v>
      </c>
      <c r="D187" t="str">
        <f t="shared" si="10"/>
        <v>Classic Cars</v>
      </c>
      <c r="E187" t="s">
        <v>274</v>
      </c>
      <c r="F187" s="5">
        <v>1961.28</v>
      </c>
      <c r="G187" s="5">
        <v>392.25599999999997</v>
      </c>
      <c r="I187" t="str">
        <f t="shared" si="11"/>
        <v>Low Sales</v>
      </c>
      <c r="J187" t="str">
        <f t="shared" si="12"/>
        <v>Average Performance</v>
      </c>
      <c r="K187">
        <f t="shared" si="13"/>
        <v>2005</v>
      </c>
      <c r="L187" t="str">
        <f t="shared" si="14"/>
        <v>May</v>
      </c>
    </row>
    <row r="188" spans="1:12" x14ac:dyDescent="0.25">
      <c r="A188" t="s">
        <v>68</v>
      </c>
      <c r="B188" t="s">
        <v>258</v>
      </c>
      <c r="C188" t="s">
        <v>262</v>
      </c>
      <c r="D188" t="str">
        <f t="shared" si="10"/>
        <v>Classic Cars</v>
      </c>
      <c r="E188" t="s">
        <v>275</v>
      </c>
      <c r="F188" s="5">
        <v>8690.36</v>
      </c>
      <c r="G188" s="5">
        <v>1738.0719999999999</v>
      </c>
      <c r="I188" t="str">
        <f t="shared" si="11"/>
        <v>Low Sales</v>
      </c>
      <c r="J188" t="str">
        <f t="shared" si="12"/>
        <v>Average Performance</v>
      </c>
      <c r="K188">
        <f t="shared" si="13"/>
        <v>2003</v>
      </c>
      <c r="L188" t="str">
        <f t="shared" si="14"/>
        <v>February</v>
      </c>
    </row>
    <row r="189" spans="1:12" x14ac:dyDescent="0.25">
      <c r="A189" t="s">
        <v>123</v>
      </c>
      <c r="B189" t="s">
        <v>260</v>
      </c>
      <c r="C189" t="s">
        <v>262</v>
      </c>
      <c r="D189" t="str">
        <f t="shared" si="10"/>
        <v>Classic Cars</v>
      </c>
      <c r="E189" t="s">
        <v>275</v>
      </c>
      <c r="F189" s="5">
        <v>6034.38</v>
      </c>
      <c r="G189" s="5">
        <v>1206.876</v>
      </c>
      <c r="I189" t="str">
        <f t="shared" si="11"/>
        <v>Low Sales</v>
      </c>
      <c r="J189" t="str">
        <f t="shared" si="12"/>
        <v>Average Performance</v>
      </c>
      <c r="K189">
        <f t="shared" si="13"/>
        <v>2003</v>
      </c>
      <c r="L189" t="str">
        <f t="shared" si="14"/>
        <v>April</v>
      </c>
    </row>
    <row r="190" spans="1:12" x14ac:dyDescent="0.25">
      <c r="A190" t="s">
        <v>124</v>
      </c>
      <c r="C190" t="s">
        <v>262</v>
      </c>
      <c r="D190" t="str">
        <f t="shared" si="10"/>
        <v>Classic Cars</v>
      </c>
      <c r="E190" t="s">
        <v>275</v>
      </c>
      <c r="F190" s="5">
        <v>11279.2</v>
      </c>
      <c r="G190" s="5">
        <v>2255.84</v>
      </c>
      <c r="I190" t="str">
        <f t="shared" si="11"/>
        <v>Low Sales</v>
      </c>
      <c r="J190" t="str">
        <f t="shared" si="12"/>
        <v>Average Performance</v>
      </c>
      <c r="K190">
        <f t="shared" si="13"/>
        <v>2003</v>
      </c>
      <c r="L190" t="str">
        <f t="shared" si="14"/>
        <v>June</v>
      </c>
    </row>
    <row r="191" spans="1:12" x14ac:dyDescent="0.25">
      <c r="A191" t="s">
        <v>125</v>
      </c>
      <c r="C191" t="s">
        <v>262</v>
      </c>
      <c r="D191" t="str">
        <f t="shared" si="10"/>
        <v>Classic Cars</v>
      </c>
      <c r="E191" t="s">
        <v>275</v>
      </c>
      <c r="F191" s="5">
        <v>8023.29</v>
      </c>
      <c r="G191" s="5">
        <v>1604.6579999999999</v>
      </c>
      <c r="I191" t="str">
        <f t="shared" si="11"/>
        <v>Low Sales</v>
      </c>
      <c r="J191" t="str">
        <f t="shared" si="12"/>
        <v>Average Performance</v>
      </c>
      <c r="K191">
        <f t="shared" si="13"/>
        <v>2003</v>
      </c>
      <c r="L191" t="str">
        <f t="shared" si="14"/>
        <v>August</v>
      </c>
    </row>
    <row r="192" spans="1:12" x14ac:dyDescent="0.25">
      <c r="A192" t="s">
        <v>126</v>
      </c>
      <c r="B192" t="s">
        <v>258</v>
      </c>
      <c r="C192" t="s">
        <v>262</v>
      </c>
      <c r="D192" t="str">
        <f t="shared" si="10"/>
        <v>Classic Cars</v>
      </c>
      <c r="E192" t="s">
        <v>275</v>
      </c>
      <c r="F192" s="5">
        <v>4904</v>
      </c>
      <c r="G192" s="5">
        <v>980.80000000000007</v>
      </c>
      <c r="I192" t="str">
        <f t="shared" si="11"/>
        <v>Low Sales</v>
      </c>
      <c r="J192" t="str">
        <f t="shared" si="12"/>
        <v>Average Performance</v>
      </c>
      <c r="K192">
        <f t="shared" si="13"/>
        <v>2003</v>
      </c>
      <c r="L192" t="str">
        <f t="shared" si="14"/>
        <v>September</v>
      </c>
    </row>
    <row r="193" spans="1:12" x14ac:dyDescent="0.25">
      <c r="A193" t="s">
        <v>127</v>
      </c>
      <c r="B193" t="s">
        <v>260</v>
      </c>
      <c r="C193" t="s">
        <v>262</v>
      </c>
      <c r="D193" t="str">
        <f t="shared" si="10"/>
        <v>Classic Cars</v>
      </c>
      <c r="E193" t="s">
        <v>275</v>
      </c>
      <c r="F193" s="5">
        <v>8594.52</v>
      </c>
      <c r="G193" s="5">
        <v>1718.904</v>
      </c>
      <c r="I193" t="str">
        <f t="shared" si="11"/>
        <v>Low Sales</v>
      </c>
      <c r="J193" t="str">
        <f t="shared" si="12"/>
        <v>Average Performance</v>
      </c>
      <c r="K193">
        <f t="shared" si="13"/>
        <v>2003</v>
      </c>
      <c r="L193" t="str">
        <f t="shared" si="14"/>
        <v>October</v>
      </c>
    </row>
    <row r="194" spans="1:12" x14ac:dyDescent="0.25">
      <c r="A194" t="s">
        <v>38</v>
      </c>
      <c r="B194" t="s">
        <v>258</v>
      </c>
      <c r="C194" t="s">
        <v>262</v>
      </c>
      <c r="D194" t="str">
        <f t="shared" si="10"/>
        <v>Classic Cars</v>
      </c>
      <c r="E194" t="s">
        <v>275</v>
      </c>
      <c r="F194" s="5">
        <v>7474.5</v>
      </c>
      <c r="G194" s="5">
        <v>1494.9</v>
      </c>
      <c r="I194" t="str">
        <f t="shared" si="11"/>
        <v>Low Sales</v>
      </c>
      <c r="J194" t="str">
        <f t="shared" si="12"/>
        <v>Average Performance</v>
      </c>
      <c r="K194">
        <f t="shared" si="13"/>
        <v>2003</v>
      </c>
      <c r="L194" t="str">
        <f t="shared" si="14"/>
        <v>November</v>
      </c>
    </row>
    <row r="195" spans="1:12" x14ac:dyDescent="0.25">
      <c r="A195" t="s">
        <v>75</v>
      </c>
      <c r="C195" t="s">
        <v>262</v>
      </c>
      <c r="D195" t="str">
        <f t="shared" ref="D195:D258" si="15">PROPER(TRIM(C195))</f>
        <v>Classic Cars</v>
      </c>
      <c r="E195" t="s">
        <v>275</v>
      </c>
      <c r="F195" s="5">
        <v>3883.74</v>
      </c>
      <c r="G195" s="5">
        <v>776.74800000000005</v>
      </c>
      <c r="I195" t="str">
        <f t="shared" ref="I195:I258" si="16">IF(F195&gt;50000,"High Sales","Low Sales")</f>
        <v>Low Sales</v>
      </c>
      <c r="J195" t="str">
        <f t="shared" ref="J195:J258" si="17">IF(AND(F195&gt;30000,G195&gt;5000),"Good Performance","Average Performance")</f>
        <v>Average Performance</v>
      </c>
      <c r="K195">
        <f t="shared" ref="K195:K258" si="18">YEAR(A195)</f>
        <v>2003</v>
      </c>
      <c r="L195" t="str">
        <f t="shared" ref="L195:L258" si="19">TEXT(A195,"mmmm")</f>
        <v>November</v>
      </c>
    </row>
    <row r="196" spans="1:12" x14ac:dyDescent="0.25">
      <c r="A196" t="s">
        <v>76</v>
      </c>
      <c r="C196" t="s">
        <v>262</v>
      </c>
      <c r="D196" t="str">
        <f t="shared" si="15"/>
        <v>Classic Cars</v>
      </c>
      <c r="E196" t="s">
        <v>275</v>
      </c>
      <c r="F196" s="5">
        <v>8887.7000000000007</v>
      </c>
      <c r="G196" s="5">
        <v>1777.54</v>
      </c>
      <c r="I196" t="str">
        <f t="shared" si="16"/>
        <v>Low Sales</v>
      </c>
      <c r="J196" t="str">
        <f t="shared" si="17"/>
        <v>Average Performance</v>
      </c>
      <c r="K196">
        <f t="shared" si="18"/>
        <v>2003</v>
      </c>
      <c r="L196" t="str">
        <f t="shared" si="19"/>
        <v>November</v>
      </c>
    </row>
    <row r="197" spans="1:12" x14ac:dyDescent="0.25">
      <c r="A197" t="s">
        <v>128</v>
      </c>
      <c r="B197" t="s">
        <v>258</v>
      </c>
      <c r="C197" t="s">
        <v>262</v>
      </c>
      <c r="D197" t="str">
        <f t="shared" si="15"/>
        <v>Classic Cars</v>
      </c>
      <c r="E197" t="s">
        <v>275</v>
      </c>
      <c r="F197" s="5">
        <v>8602.92</v>
      </c>
      <c r="G197" s="5">
        <v>1720.5840000000001</v>
      </c>
      <c r="I197" t="str">
        <f t="shared" si="16"/>
        <v>Low Sales</v>
      </c>
      <c r="J197" t="str">
        <f t="shared" si="17"/>
        <v>Average Performance</v>
      </c>
      <c r="K197">
        <f t="shared" si="18"/>
        <v>2004</v>
      </c>
      <c r="L197" t="str">
        <f t="shared" si="19"/>
        <v>January</v>
      </c>
    </row>
    <row r="198" spans="1:12" x14ac:dyDescent="0.25">
      <c r="A198" t="s">
        <v>129</v>
      </c>
      <c r="B198" t="s">
        <v>258</v>
      </c>
      <c r="C198" t="s">
        <v>262</v>
      </c>
      <c r="D198" t="str">
        <f t="shared" si="15"/>
        <v>Classic Cars</v>
      </c>
      <c r="E198" t="s">
        <v>275</v>
      </c>
      <c r="F198" s="5">
        <v>7181.44</v>
      </c>
      <c r="G198" s="5">
        <v>1436.288</v>
      </c>
      <c r="I198" t="str">
        <f t="shared" si="16"/>
        <v>Low Sales</v>
      </c>
      <c r="J198" t="str">
        <f t="shared" si="17"/>
        <v>Average Performance</v>
      </c>
      <c r="K198">
        <f t="shared" si="18"/>
        <v>2004</v>
      </c>
      <c r="L198" t="str">
        <f t="shared" si="19"/>
        <v>February</v>
      </c>
    </row>
    <row r="199" spans="1:12" x14ac:dyDescent="0.25">
      <c r="A199" t="s">
        <v>130</v>
      </c>
      <c r="B199" t="s">
        <v>258</v>
      </c>
      <c r="C199" t="s">
        <v>262</v>
      </c>
      <c r="D199" t="str">
        <f t="shared" si="15"/>
        <v>Classic Cars</v>
      </c>
      <c r="E199" t="s">
        <v>275</v>
      </c>
      <c r="F199" s="5">
        <v>8378.58</v>
      </c>
      <c r="G199" s="5">
        <v>1675.7159999999999</v>
      </c>
      <c r="I199" t="str">
        <f t="shared" si="16"/>
        <v>Low Sales</v>
      </c>
      <c r="J199" t="str">
        <f t="shared" si="17"/>
        <v>Average Performance</v>
      </c>
      <c r="K199">
        <f t="shared" si="18"/>
        <v>2004</v>
      </c>
      <c r="L199" t="str">
        <f t="shared" si="19"/>
        <v>March</v>
      </c>
    </row>
    <row r="200" spans="1:12" x14ac:dyDescent="0.25">
      <c r="A200" t="s">
        <v>131</v>
      </c>
      <c r="B200" t="s">
        <v>258</v>
      </c>
      <c r="C200" t="s">
        <v>262</v>
      </c>
      <c r="D200" t="str">
        <f t="shared" si="15"/>
        <v>Classic Cars</v>
      </c>
      <c r="E200" t="s">
        <v>275</v>
      </c>
      <c r="F200" s="5">
        <v>10606.2</v>
      </c>
      <c r="G200" s="5">
        <v>2121.2399999999998</v>
      </c>
      <c r="I200" t="str">
        <f t="shared" si="16"/>
        <v>Low Sales</v>
      </c>
      <c r="J200" t="str">
        <f t="shared" si="17"/>
        <v>Average Performance</v>
      </c>
      <c r="K200">
        <f t="shared" si="18"/>
        <v>2004</v>
      </c>
      <c r="L200" t="str">
        <f t="shared" si="19"/>
        <v>May</v>
      </c>
    </row>
    <row r="201" spans="1:12" x14ac:dyDescent="0.25">
      <c r="A201" t="s">
        <v>132</v>
      </c>
      <c r="C201" t="s">
        <v>262</v>
      </c>
      <c r="D201" t="str">
        <f t="shared" si="15"/>
        <v>Classic Cars</v>
      </c>
      <c r="E201" t="s">
        <v>275</v>
      </c>
      <c r="F201" s="5">
        <v>5818.4</v>
      </c>
      <c r="G201" s="5">
        <v>1163.68</v>
      </c>
      <c r="I201" t="str">
        <f t="shared" si="16"/>
        <v>Low Sales</v>
      </c>
      <c r="J201" t="str">
        <f t="shared" si="17"/>
        <v>Average Performance</v>
      </c>
      <c r="K201">
        <f t="shared" si="18"/>
        <v>2004</v>
      </c>
      <c r="L201" t="str">
        <f t="shared" si="19"/>
        <v>July</v>
      </c>
    </row>
    <row r="202" spans="1:12" x14ac:dyDescent="0.25">
      <c r="A202" t="s">
        <v>82</v>
      </c>
      <c r="C202" t="s">
        <v>262</v>
      </c>
      <c r="D202" t="str">
        <f t="shared" si="15"/>
        <v>Classic Cars</v>
      </c>
      <c r="E202" t="s">
        <v>275</v>
      </c>
      <c r="F202" s="5">
        <v>7071.27</v>
      </c>
      <c r="G202" s="5">
        <v>1414.2539999999999</v>
      </c>
      <c r="I202" t="str">
        <f t="shared" si="16"/>
        <v>Low Sales</v>
      </c>
      <c r="J202" t="str">
        <f t="shared" si="17"/>
        <v>Average Performance</v>
      </c>
      <c r="K202">
        <f t="shared" si="18"/>
        <v>2004</v>
      </c>
      <c r="L202" t="str">
        <f t="shared" si="19"/>
        <v>August</v>
      </c>
    </row>
    <row r="203" spans="1:12" x14ac:dyDescent="0.25">
      <c r="A203" t="s">
        <v>133</v>
      </c>
      <c r="B203" t="s">
        <v>258</v>
      </c>
      <c r="C203" t="s">
        <v>262</v>
      </c>
      <c r="D203" t="str">
        <f t="shared" si="15"/>
        <v>Classic Cars</v>
      </c>
      <c r="E203" t="s">
        <v>275</v>
      </c>
      <c r="F203" s="5">
        <v>8411.56</v>
      </c>
      <c r="G203" s="5">
        <v>1682.3119999999999</v>
      </c>
      <c r="I203" t="str">
        <f t="shared" si="16"/>
        <v>Low Sales</v>
      </c>
      <c r="J203" t="str">
        <f t="shared" si="17"/>
        <v>Average Performance</v>
      </c>
      <c r="K203">
        <f t="shared" si="18"/>
        <v>2004</v>
      </c>
      <c r="L203" t="str">
        <f t="shared" si="19"/>
        <v>September</v>
      </c>
    </row>
    <row r="204" spans="1:12" x14ac:dyDescent="0.25">
      <c r="A204" t="s">
        <v>84</v>
      </c>
      <c r="B204" t="s">
        <v>258</v>
      </c>
      <c r="C204" t="s">
        <v>262</v>
      </c>
      <c r="D204" t="str">
        <f t="shared" si="15"/>
        <v>Classic Cars</v>
      </c>
      <c r="E204" t="s">
        <v>275</v>
      </c>
      <c r="F204" s="5">
        <v>6570.76</v>
      </c>
      <c r="G204" s="5">
        <v>1314.152</v>
      </c>
      <c r="I204" t="str">
        <f t="shared" si="16"/>
        <v>Low Sales</v>
      </c>
      <c r="J204" t="str">
        <f t="shared" si="17"/>
        <v>Average Performance</v>
      </c>
      <c r="K204">
        <f t="shared" si="18"/>
        <v>2004</v>
      </c>
      <c r="L204" t="str">
        <f t="shared" si="19"/>
        <v>October</v>
      </c>
    </row>
    <row r="205" spans="1:12" x14ac:dyDescent="0.25">
      <c r="A205" t="s">
        <v>102</v>
      </c>
      <c r="B205" t="s">
        <v>258</v>
      </c>
      <c r="C205" t="s">
        <v>262</v>
      </c>
      <c r="D205" t="str">
        <f t="shared" si="15"/>
        <v>Classic Cars</v>
      </c>
      <c r="E205" t="s">
        <v>275</v>
      </c>
      <c r="F205" s="5">
        <v>7975.44</v>
      </c>
      <c r="G205" s="5">
        <v>1595.088</v>
      </c>
      <c r="I205" t="str">
        <f t="shared" si="16"/>
        <v>Low Sales</v>
      </c>
      <c r="J205" t="str">
        <f t="shared" si="17"/>
        <v>Average Performance</v>
      </c>
      <c r="K205">
        <f t="shared" si="18"/>
        <v>2004</v>
      </c>
      <c r="L205" t="str">
        <f t="shared" si="19"/>
        <v>October</v>
      </c>
    </row>
    <row r="206" spans="1:12" x14ac:dyDescent="0.25">
      <c r="A206" t="s">
        <v>86</v>
      </c>
      <c r="B206" t="s">
        <v>258</v>
      </c>
      <c r="C206" t="s">
        <v>262</v>
      </c>
      <c r="D206" t="str">
        <f t="shared" si="15"/>
        <v>Classic Cars</v>
      </c>
      <c r="E206" t="s">
        <v>275</v>
      </c>
      <c r="F206" s="5">
        <v>2688</v>
      </c>
      <c r="G206" s="5">
        <v>537.6</v>
      </c>
      <c r="I206" t="str">
        <f t="shared" si="16"/>
        <v>Low Sales</v>
      </c>
      <c r="J206" t="str">
        <f t="shared" si="17"/>
        <v>Average Performance</v>
      </c>
      <c r="K206">
        <f t="shared" si="18"/>
        <v>2004</v>
      </c>
      <c r="L206" t="str">
        <f t="shared" si="19"/>
        <v>November</v>
      </c>
    </row>
    <row r="207" spans="1:12" x14ac:dyDescent="0.25">
      <c r="A207" t="s">
        <v>134</v>
      </c>
      <c r="B207" t="s">
        <v>258</v>
      </c>
      <c r="C207" t="s">
        <v>262</v>
      </c>
      <c r="D207" t="str">
        <f t="shared" si="15"/>
        <v>Classic Cars</v>
      </c>
      <c r="E207" t="s">
        <v>275</v>
      </c>
      <c r="F207" s="5">
        <v>1888.26</v>
      </c>
      <c r="G207" s="5">
        <v>377.65199999999999</v>
      </c>
      <c r="I207" t="str">
        <f t="shared" si="16"/>
        <v>Low Sales</v>
      </c>
      <c r="J207" t="str">
        <f t="shared" si="17"/>
        <v>Average Performance</v>
      </c>
      <c r="K207">
        <f t="shared" si="18"/>
        <v>2004</v>
      </c>
      <c r="L207" t="str">
        <f t="shared" si="19"/>
        <v>November</v>
      </c>
    </row>
    <row r="208" spans="1:12" x14ac:dyDescent="0.25">
      <c r="A208" t="s">
        <v>85</v>
      </c>
      <c r="B208" t="s">
        <v>258</v>
      </c>
      <c r="C208" t="s">
        <v>262</v>
      </c>
      <c r="D208" t="str">
        <f t="shared" si="15"/>
        <v>Classic Cars</v>
      </c>
      <c r="E208" t="s">
        <v>275</v>
      </c>
      <c r="F208" s="5">
        <v>2513.2800000000002</v>
      </c>
      <c r="G208" s="5">
        <v>502.65600000000012</v>
      </c>
      <c r="I208" t="str">
        <f t="shared" si="16"/>
        <v>Low Sales</v>
      </c>
      <c r="J208" t="str">
        <f t="shared" si="17"/>
        <v>Average Performance</v>
      </c>
      <c r="K208">
        <f t="shared" si="18"/>
        <v>2004</v>
      </c>
      <c r="L208" t="str">
        <f t="shared" si="19"/>
        <v>November</v>
      </c>
    </row>
    <row r="209" spans="1:12" x14ac:dyDescent="0.25">
      <c r="A209" t="s">
        <v>89</v>
      </c>
      <c r="B209" t="s">
        <v>258</v>
      </c>
      <c r="C209" t="s">
        <v>262</v>
      </c>
      <c r="D209" t="str">
        <f t="shared" si="15"/>
        <v>Classic Cars</v>
      </c>
      <c r="E209" t="s">
        <v>275</v>
      </c>
      <c r="F209" s="5">
        <v>4764.4799999999996</v>
      </c>
      <c r="G209" s="5">
        <v>952.89599999999996</v>
      </c>
      <c r="I209" t="str">
        <f t="shared" si="16"/>
        <v>Low Sales</v>
      </c>
      <c r="J209" t="str">
        <f t="shared" si="17"/>
        <v>Average Performance</v>
      </c>
      <c r="K209">
        <f t="shared" si="18"/>
        <v>2004</v>
      </c>
      <c r="L209" t="str">
        <f t="shared" si="19"/>
        <v>December</v>
      </c>
    </row>
    <row r="210" spans="1:12" x14ac:dyDescent="0.25">
      <c r="A210" t="s">
        <v>135</v>
      </c>
      <c r="C210" t="s">
        <v>262</v>
      </c>
      <c r="D210" t="str">
        <f t="shared" si="15"/>
        <v>Classic Cars</v>
      </c>
      <c r="E210" t="s">
        <v>275</v>
      </c>
      <c r="F210" s="5">
        <v>3560.64</v>
      </c>
      <c r="G210" s="5">
        <v>712.12800000000004</v>
      </c>
      <c r="I210" t="str">
        <f t="shared" si="16"/>
        <v>Low Sales</v>
      </c>
      <c r="J210" t="str">
        <f t="shared" si="17"/>
        <v>Average Performance</v>
      </c>
      <c r="K210">
        <f t="shared" si="18"/>
        <v>2005</v>
      </c>
      <c r="L210" t="str">
        <f t="shared" si="19"/>
        <v>January</v>
      </c>
    </row>
    <row r="211" spans="1:12" x14ac:dyDescent="0.25">
      <c r="A211" t="s">
        <v>56</v>
      </c>
      <c r="C211" t="s">
        <v>262</v>
      </c>
      <c r="D211" t="str">
        <f t="shared" si="15"/>
        <v>Classic Cars</v>
      </c>
      <c r="E211" t="s">
        <v>275</v>
      </c>
      <c r="F211" s="5">
        <v>3823.64</v>
      </c>
      <c r="G211" s="5">
        <v>764.72800000000007</v>
      </c>
      <c r="I211" t="str">
        <f t="shared" si="16"/>
        <v>Low Sales</v>
      </c>
      <c r="J211" t="str">
        <f t="shared" si="17"/>
        <v>Average Performance</v>
      </c>
      <c r="K211">
        <f t="shared" si="18"/>
        <v>2005</v>
      </c>
      <c r="L211" t="str">
        <f t="shared" si="19"/>
        <v>February</v>
      </c>
    </row>
    <row r="212" spans="1:12" x14ac:dyDescent="0.25">
      <c r="A212" t="s">
        <v>92</v>
      </c>
      <c r="B212" t="s">
        <v>258</v>
      </c>
      <c r="C212" t="s">
        <v>262</v>
      </c>
      <c r="D212" t="str">
        <f t="shared" si="15"/>
        <v>Classic Cars</v>
      </c>
      <c r="E212" t="s">
        <v>275</v>
      </c>
      <c r="F212" s="5">
        <v>2280.96</v>
      </c>
      <c r="G212" s="5">
        <v>456.19200000000001</v>
      </c>
      <c r="I212" t="str">
        <f t="shared" si="16"/>
        <v>Low Sales</v>
      </c>
      <c r="J212" t="str">
        <f t="shared" si="17"/>
        <v>Average Performance</v>
      </c>
      <c r="K212">
        <f t="shared" si="18"/>
        <v>2005</v>
      </c>
      <c r="L212" t="str">
        <f t="shared" si="19"/>
        <v>March</v>
      </c>
    </row>
    <row r="213" spans="1:12" x14ac:dyDescent="0.25">
      <c r="A213" t="s">
        <v>136</v>
      </c>
      <c r="C213" t="s">
        <v>262</v>
      </c>
      <c r="D213" t="str">
        <f t="shared" si="15"/>
        <v>Classic Cars</v>
      </c>
      <c r="E213" t="s">
        <v>275</v>
      </c>
      <c r="F213" s="5">
        <v>8677.7999999999993</v>
      </c>
      <c r="G213" s="5">
        <v>1735.56</v>
      </c>
      <c r="I213" t="str">
        <f t="shared" si="16"/>
        <v>Low Sales</v>
      </c>
      <c r="J213" t="str">
        <f t="shared" si="17"/>
        <v>Average Performance</v>
      </c>
      <c r="K213">
        <f t="shared" si="18"/>
        <v>2005</v>
      </c>
      <c r="L213" t="str">
        <f t="shared" si="19"/>
        <v>May</v>
      </c>
    </row>
    <row r="214" spans="1:12" x14ac:dyDescent="0.25">
      <c r="A214" t="s">
        <v>32</v>
      </c>
      <c r="B214" t="s">
        <v>258</v>
      </c>
      <c r="C214" t="s">
        <v>263</v>
      </c>
      <c r="D214" t="str">
        <f t="shared" si="15"/>
        <v>Trucks And Buses</v>
      </c>
      <c r="E214" t="s">
        <v>276</v>
      </c>
      <c r="F214" s="5">
        <v>3394.98</v>
      </c>
      <c r="G214" s="5">
        <v>678.99600000000009</v>
      </c>
      <c r="I214" t="str">
        <f t="shared" si="16"/>
        <v>Low Sales</v>
      </c>
      <c r="J214" t="str">
        <f t="shared" si="17"/>
        <v>Average Performance</v>
      </c>
      <c r="K214">
        <f t="shared" si="18"/>
        <v>2003</v>
      </c>
      <c r="L214" t="str">
        <f t="shared" si="19"/>
        <v>January</v>
      </c>
    </row>
    <row r="215" spans="1:12" x14ac:dyDescent="0.25">
      <c r="A215" t="s">
        <v>137</v>
      </c>
      <c r="C215" t="s">
        <v>263</v>
      </c>
      <c r="D215" t="str">
        <f t="shared" si="15"/>
        <v>Trucks And Buses</v>
      </c>
      <c r="E215" t="s">
        <v>276</v>
      </c>
      <c r="F215" s="5">
        <v>3415.44</v>
      </c>
      <c r="G215" s="5">
        <v>683.08800000000008</v>
      </c>
      <c r="I215" t="str">
        <f t="shared" si="16"/>
        <v>Low Sales</v>
      </c>
      <c r="J215" t="str">
        <f t="shared" si="17"/>
        <v>Average Performance</v>
      </c>
      <c r="K215">
        <f t="shared" si="18"/>
        <v>2003</v>
      </c>
      <c r="L215" t="str">
        <f t="shared" si="19"/>
        <v>March</v>
      </c>
    </row>
    <row r="216" spans="1:12" x14ac:dyDescent="0.25">
      <c r="A216" t="s">
        <v>34</v>
      </c>
      <c r="B216" t="s">
        <v>258</v>
      </c>
      <c r="C216" t="s">
        <v>263</v>
      </c>
      <c r="D216" t="str">
        <f t="shared" si="15"/>
        <v>Trucks And Buses</v>
      </c>
      <c r="E216" t="s">
        <v>276</v>
      </c>
      <c r="F216" s="5">
        <v>2439.5700000000002</v>
      </c>
      <c r="G216" s="5">
        <v>487.91399999999999</v>
      </c>
      <c r="I216" t="str">
        <f t="shared" si="16"/>
        <v>Low Sales</v>
      </c>
      <c r="J216" t="str">
        <f t="shared" si="17"/>
        <v>Average Performance</v>
      </c>
      <c r="K216">
        <f t="shared" si="18"/>
        <v>2003</v>
      </c>
      <c r="L216" t="str">
        <f t="shared" si="19"/>
        <v>May</v>
      </c>
    </row>
    <row r="217" spans="1:12" x14ac:dyDescent="0.25">
      <c r="A217" t="s">
        <v>35</v>
      </c>
      <c r="C217" t="s">
        <v>263</v>
      </c>
      <c r="D217" t="str">
        <f t="shared" si="15"/>
        <v>Trucks And Buses</v>
      </c>
      <c r="E217" t="s">
        <v>276</v>
      </c>
      <c r="F217" s="5">
        <v>4829.8</v>
      </c>
      <c r="G217" s="5">
        <v>965.96</v>
      </c>
      <c r="I217" t="str">
        <f t="shared" si="16"/>
        <v>Low Sales</v>
      </c>
      <c r="J217" t="str">
        <f t="shared" si="17"/>
        <v>Average Performance</v>
      </c>
      <c r="K217">
        <f t="shared" si="18"/>
        <v>2003</v>
      </c>
      <c r="L217" t="str">
        <f t="shared" si="19"/>
        <v>July</v>
      </c>
    </row>
    <row r="218" spans="1:12" x14ac:dyDescent="0.25">
      <c r="A218" t="s">
        <v>36</v>
      </c>
      <c r="B218" t="s">
        <v>260</v>
      </c>
      <c r="C218" t="s">
        <v>263</v>
      </c>
      <c r="D218" t="str">
        <f t="shared" si="15"/>
        <v>Trucks And Buses</v>
      </c>
      <c r="E218" t="s">
        <v>276</v>
      </c>
      <c r="F218" s="5">
        <v>4100.1000000000004</v>
      </c>
      <c r="G218" s="5">
        <v>820.0200000000001</v>
      </c>
      <c r="I218" t="str">
        <f t="shared" si="16"/>
        <v>Low Sales</v>
      </c>
      <c r="J218" t="str">
        <f t="shared" si="17"/>
        <v>Average Performance</v>
      </c>
      <c r="K218">
        <f t="shared" si="18"/>
        <v>2003</v>
      </c>
      <c r="L218" t="str">
        <f t="shared" si="19"/>
        <v>September</v>
      </c>
    </row>
    <row r="219" spans="1:12" x14ac:dyDescent="0.25">
      <c r="A219" t="s">
        <v>96</v>
      </c>
      <c r="B219" t="s">
        <v>258</v>
      </c>
      <c r="C219" t="s">
        <v>263</v>
      </c>
      <c r="D219" t="str">
        <f t="shared" si="15"/>
        <v>Trucks And Buses</v>
      </c>
      <c r="E219" t="s">
        <v>276</v>
      </c>
      <c r="F219" s="5">
        <v>6563.06</v>
      </c>
      <c r="G219" s="5">
        <v>1312.6120000000001</v>
      </c>
      <c r="I219" t="str">
        <f t="shared" si="16"/>
        <v>Low Sales</v>
      </c>
      <c r="J219" t="str">
        <f t="shared" si="17"/>
        <v>Average Performance</v>
      </c>
      <c r="K219">
        <f t="shared" si="18"/>
        <v>2003</v>
      </c>
      <c r="L219" t="str">
        <f t="shared" si="19"/>
        <v>October</v>
      </c>
    </row>
    <row r="220" spans="1:12" x14ac:dyDescent="0.25">
      <c r="A220" t="s">
        <v>38</v>
      </c>
      <c r="B220" t="s">
        <v>259</v>
      </c>
      <c r="C220" t="s">
        <v>263</v>
      </c>
      <c r="D220" t="str">
        <f t="shared" si="15"/>
        <v>Trucks And Buses</v>
      </c>
      <c r="E220" t="s">
        <v>276</v>
      </c>
      <c r="F220" s="5">
        <v>6817.22</v>
      </c>
      <c r="G220" s="5">
        <v>1363.444</v>
      </c>
      <c r="I220" t="str">
        <f t="shared" si="16"/>
        <v>Low Sales</v>
      </c>
      <c r="J220" t="str">
        <f t="shared" si="17"/>
        <v>Average Performance</v>
      </c>
      <c r="K220">
        <f t="shared" si="18"/>
        <v>2003</v>
      </c>
      <c r="L220" t="str">
        <f t="shared" si="19"/>
        <v>November</v>
      </c>
    </row>
    <row r="221" spans="1:12" x14ac:dyDescent="0.25">
      <c r="A221" t="s">
        <v>39</v>
      </c>
      <c r="C221" t="s">
        <v>263</v>
      </c>
      <c r="D221" t="str">
        <f t="shared" si="15"/>
        <v>Trucks And Buses</v>
      </c>
      <c r="E221" t="s">
        <v>276</v>
      </c>
      <c r="F221" s="5">
        <v>6163.94</v>
      </c>
      <c r="G221" s="5">
        <v>1232.788</v>
      </c>
      <c r="I221" t="str">
        <f t="shared" si="16"/>
        <v>Low Sales</v>
      </c>
      <c r="J221" t="str">
        <f t="shared" si="17"/>
        <v>Average Performance</v>
      </c>
      <c r="K221">
        <f t="shared" si="18"/>
        <v>2003</v>
      </c>
      <c r="L221" t="str">
        <f t="shared" si="19"/>
        <v>November</v>
      </c>
    </row>
    <row r="222" spans="1:12" x14ac:dyDescent="0.25">
      <c r="A222" t="s">
        <v>40</v>
      </c>
      <c r="B222" t="s">
        <v>258</v>
      </c>
      <c r="C222" t="s">
        <v>263</v>
      </c>
      <c r="D222" t="str">
        <f t="shared" si="15"/>
        <v>Trucks And Buses</v>
      </c>
      <c r="E222" t="s">
        <v>276</v>
      </c>
      <c r="F222" s="5">
        <v>4933.92</v>
      </c>
      <c r="G222" s="5">
        <v>986.78400000000011</v>
      </c>
      <c r="I222" t="str">
        <f t="shared" si="16"/>
        <v>Low Sales</v>
      </c>
      <c r="J222" t="str">
        <f t="shared" si="17"/>
        <v>Average Performance</v>
      </c>
      <c r="K222">
        <f t="shared" si="18"/>
        <v>2003</v>
      </c>
      <c r="L222" t="str">
        <f t="shared" si="19"/>
        <v>November</v>
      </c>
    </row>
    <row r="223" spans="1:12" x14ac:dyDescent="0.25">
      <c r="A223" t="s">
        <v>41</v>
      </c>
      <c r="C223" t="s">
        <v>263</v>
      </c>
      <c r="D223" t="str">
        <f t="shared" si="15"/>
        <v>Trucks And Buses</v>
      </c>
      <c r="E223" t="s">
        <v>276</v>
      </c>
      <c r="F223" s="5">
        <v>4056.36</v>
      </c>
      <c r="G223" s="5">
        <v>811.27200000000005</v>
      </c>
      <c r="I223" t="str">
        <f t="shared" si="16"/>
        <v>Low Sales</v>
      </c>
      <c r="J223" t="str">
        <f t="shared" si="17"/>
        <v>Average Performance</v>
      </c>
      <c r="K223">
        <f t="shared" si="18"/>
        <v>2003</v>
      </c>
      <c r="L223" t="str">
        <f t="shared" si="19"/>
        <v>December</v>
      </c>
    </row>
    <row r="224" spans="1:12" x14ac:dyDescent="0.25">
      <c r="A224" t="s">
        <v>138</v>
      </c>
      <c r="B224" t="s">
        <v>258</v>
      </c>
      <c r="C224" t="s">
        <v>263</v>
      </c>
      <c r="D224" t="str">
        <f t="shared" si="15"/>
        <v>Trucks And Buses</v>
      </c>
      <c r="E224" t="s">
        <v>276</v>
      </c>
      <c r="F224" s="5">
        <v>5759.42</v>
      </c>
      <c r="G224" s="5">
        <v>1151.884</v>
      </c>
      <c r="I224" t="str">
        <f t="shared" si="16"/>
        <v>Low Sales</v>
      </c>
      <c r="J224" t="str">
        <f t="shared" si="17"/>
        <v>Average Performance</v>
      </c>
      <c r="K224">
        <f t="shared" si="18"/>
        <v>2004</v>
      </c>
      <c r="L224" t="str">
        <f t="shared" si="19"/>
        <v>February</v>
      </c>
    </row>
    <row r="225" spans="1:12" x14ac:dyDescent="0.25">
      <c r="A225" t="s">
        <v>99</v>
      </c>
      <c r="C225" t="s">
        <v>263</v>
      </c>
      <c r="D225" t="str">
        <f t="shared" si="15"/>
        <v>Trucks And Buses</v>
      </c>
      <c r="E225" t="s">
        <v>276</v>
      </c>
      <c r="F225" s="5">
        <v>3451</v>
      </c>
      <c r="G225" s="5">
        <v>690.2</v>
      </c>
      <c r="I225" t="str">
        <f t="shared" si="16"/>
        <v>Low Sales</v>
      </c>
      <c r="J225" t="str">
        <f t="shared" si="17"/>
        <v>Average Performance</v>
      </c>
      <c r="K225">
        <f t="shared" si="18"/>
        <v>2004</v>
      </c>
      <c r="L225" t="str">
        <f t="shared" si="19"/>
        <v>March</v>
      </c>
    </row>
    <row r="226" spans="1:12" x14ac:dyDescent="0.25">
      <c r="A226" t="s">
        <v>44</v>
      </c>
      <c r="C226" t="s">
        <v>263</v>
      </c>
      <c r="D226" t="str">
        <f t="shared" si="15"/>
        <v>Trucks And Buses</v>
      </c>
      <c r="E226" t="s">
        <v>276</v>
      </c>
      <c r="F226" s="5">
        <v>5920.4</v>
      </c>
      <c r="G226" s="5">
        <v>1184.08</v>
      </c>
      <c r="I226" t="str">
        <f t="shared" si="16"/>
        <v>Low Sales</v>
      </c>
      <c r="J226" t="str">
        <f t="shared" si="17"/>
        <v>Average Performance</v>
      </c>
      <c r="K226">
        <f t="shared" si="18"/>
        <v>2004</v>
      </c>
      <c r="L226" t="str">
        <f t="shared" si="19"/>
        <v>May</v>
      </c>
    </row>
    <row r="227" spans="1:12" x14ac:dyDescent="0.25">
      <c r="A227" t="s">
        <v>45</v>
      </c>
      <c r="B227" t="s">
        <v>260</v>
      </c>
      <c r="C227" t="s">
        <v>263</v>
      </c>
      <c r="D227" t="str">
        <f t="shared" si="15"/>
        <v>Trucks And Buses</v>
      </c>
      <c r="E227" t="s">
        <v>276</v>
      </c>
      <c r="F227" s="5">
        <v>6668.24</v>
      </c>
      <c r="G227" s="5">
        <v>1333.6479999999999</v>
      </c>
      <c r="I227" t="str">
        <f t="shared" si="16"/>
        <v>Low Sales</v>
      </c>
      <c r="J227" t="str">
        <f t="shared" si="17"/>
        <v>Average Performance</v>
      </c>
      <c r="K227">
        <f t="shared" si="18"/>
        <v>2004</v>
      </c>
      <c r="L227" t="str">
        <f t="shared" si="19"/>
        <v>June</v>
      </c>
    </row>
    <row r="228" spans="1:12" x14ac:dyDescent="0.25">
      <c r="A228" t="s">
        <v>46</v>
      </c>
      <c r="B228" t="s">
        <v>259</v>
      </c>
      <c r="C228" t="s">
        <v>263</v>
      </c>
      <c r="D228" t="str">
        <f t="shared" si="15"/>
        <v>Trucks And Buses</v>
      </c>
      <c r="E228" t="s">
        <v>276</v>
      </c>
      <c r="F228" s="5">
        <v>4094.72</v>
      </c>
      <c r="G228" s="5">
        <v>818.94399999999996</v>
      </c>
      <c r="I228" t="str">
        <f t="shared" si="16"/>
        <v>Low Sales</v>
      </c>
      <c r="J228" t="str">
        <f t="shared" si="17"/>
        <v>Average Performance</v>
      </c>
      <c r="K228">
        <f t="shared" si="18"/>
        <v>2004</v>
      </c>
      <c r="L228" t="str">
        <f t="shared" si="19"/>
        <v>July</v>
      </c>
    </row>
    <row r="229" spans="1:12" x14ac:dyDescent="0.25">
      <c r="A229" t="s">
        <v>100</v>
      </c>
      <c r="C229" t="s">
        <v>263</v>
      </c>
      <c r="D229" t="str">
        <f t="shared" si="15"/>
        <v>Trucks And Buses</v>
      </c>
      <c r="E229" t="s">
        <v>276</v>
      </c>
      <c r="F229" s="5">
        <v>2938.5</v>
      </c>
      <c r="G229" s="5">
        <v>587.70000000000005</v>
      </c>
      <c r="I229" t="str">
        <f t="shared" si="16"/>
        <v>Low Sales</v>
      </c>
      <c r="J229" t="str">
        <f t="shared" si="17"/>
        <v>Average Performance</v>
      </c>
      <c r="K229">
        <f t="shared" si="18"/>
        <v>2004</v>
      </c>
      <c r="L229" t="str">
        <f t="shared" si="19"/>
        <v>August</v>
      </c>
    </row>
    <row r="230" spans="1:12" x14ac:dyDescent="0.25">
      <c r="A230" t="s">
        <v>48</v>
      </c>
      <c r="B230" t="s">
        <v>258</v>
      </c>
      <c r="C230" t="s">
        <v>263</v>
      </c>
      <c r="D230" t="str">
        <f t="shared" si="15"/>
        <v>Trucks And Buses</v>
      </c>
      <c r="E230" t="s">
        <v>276</v>
      </c>
      <c r="F230" s="5">
        <v>6387.8</v>
      </c>
      <c r="G230" s="5">
        <v>1277.56</v>
      </c>
      <c r="I230" t="str">
        <f t="shared" si="16"/>
        <v>Low Sales</v>
      </c>
      <c r="J230" t="str">
        <f t="shared" si="17"/>
        <v>Average Performance</v>
      </c>
      <c r="K230">
        <f t="shared" si="18"/>
        <v>2004</v>
      </c>
      <c r="L230" t="str">
        <f t="shared" si="19"/>
        <v>September</v>
      </c>
    </row>
    <row r="231" spans="1:12" x14ac:dyDescent="0.25">
      <c r="A231" t="s">
        <v>49</v>
      </c>
      <c r="B231" t="s">
        <v>258</v>
      </c>
      <c r="C231" t="s">
        <v>263</v>
      </c>
      <c r="D231" t="str">
        <f t="shared" si="15"/>
        <v>Trucks And Buses</v>
      </c>
      <c r="E231" t="s">
        <v>276</v>
      </c>
      <c r="F231" s="5">
        <v>6396</v>
      </c>
      <c r="G231" s="5">
        <v>1279.2</v>
      </c>
      <c r="I231" t="str">
        <f t="shared" si="16"/>
        <v>Low Sales</v>
      </c>
      <c r="J231" t="str">
        <f t="shared" si="17"/>
        <v>Average Performance</v>
      </c>
      <c r="K231">
        <f t="shared" si="18"/>
        <v>2004</v>
      </c>
      <c r="L231" t="str">
        <f t="shared" si="19"/>
        <v>October</v>
      </c>
    </row>
    <row r="232" spans="1:12" x14ac:dyDescent="0.25">
      <c r="A232" t="s">
        <v>102</v>
      </c>
      <c r="C232" t="s">
        <v>263</v>
      </c>
      <c r="D232" t="str">
        <f t="shared" si="15"/>
        <v>Trucks And Buses</v>
      </c>
      <c r="E232" t="s">
        <v>276</v>
      </c>
      <c r="F232" s="5">
        <v>2669.1</v>
      </c>
      <c r="G232" s="5">
        <v>533.82000000000005</v>
      </c>
      <c r="I232" t="str">
        <f t="shared" si="16"/>
        <v>Low Sales</v>
      </c>
      <c r="J232" t="str">
        <f t="shared" si="17"/>
        <v>Average Performance</v>
      </c>
      <c r="K232">
        <f t="shared" si="18"/>
        <v>2004</v>
      </c>
      <c r="L232" t="str">
        <f t="shared" si="19"/>
        <v>October</v>
      </c>
    </row>
    <row r="233" spans="1:12" x14ac:dyDescent="0.25">
      <c r="A233" t="s">
        <v>51</v>
      </c>
      <c r="C233" t="s">
        <v>263</v>
      </c>
      <c r="D233" t="str">
        <f t="shared" si="15"/>
        <v>Trucks And Buses</v>
      </c>
      <c r="E233" t="s">
        <v>276</v>
      </c>
      <c r="F233" s="5">
        <v>4784.13</v>
      </c>
      <c r="G233" s="5">
        <v>956.82600000000002</v>
      </c>
      <c r="I233" t="str">
        <f t="shared" si="16"/>
        <v>Low Sales</v>
      </c>
      <c r="J233" t="str">
        <f t="shared" si="17"/>
        <v>Average Performance</v>
      </c>
      <c r="K233">
        <f t="shared" si="18"/>
        <v>2004</v>
      </c>
      <c r="L233" t="str">
        <f t="shared" si="19"/>
        <v>November</v>
      </c>
    </row>
    <row r="234" spans="1:12" x14ac:dyDescent="0.25">
      <c r="A234" t="s">
        <v>52</v>
      </c>
      <c r="C234" t="s">
        <v>263</v>
      </c>
      <c r="D234" t="str">
        <f t="shared" si="15"/>
        <v>Trucks And Buses</v>
      </c>
      <c r="E234" t="s">
        <v>276</v>
      </c>
      <c r="F234" s="5">
        <v>3273.93</v>
      </c>
      <c r="G234" s="5">
        <v>654.78600000000006</v>
      </c>
      <c r="I234" t="str">
        <f t="shared" si="16"/>
        <v>Low Sales</v>
      </c>
      <c r="J234" t="str">
        <f t="shared" si="17"/>
        <v>Average Performance</v>
      </c>
      <c r="K234">
        <f t="shared" si="18"/>
        <v>2004</v>
      </c>
      <c r="L234" t="str">
        <f t="shared" si="19"/>
        <v>November</v>
      </c>
    </row>
    <row r="235" spans="1:12" x14ac:dyDescent="0.25">
      <c r="A235" t="s">
        <v>53</v>
      </c>
      <c r="B235" t="s">
        <v>259</v>
      </c>
      <c r="C235" t="s">
        <v>263</v>
      </c>
      <c r="D235" t="str">
        <f t="shared" si="15"/>
        <v>Trucks And Buses</v>
      </c>
      <c r="E235" t="s">
        <v>276</v>
      </c>
      <c r="F235" s="5">
        <v>3586.43</v>
      </c>
      <c r="G235" s="5">
        <v>717.28600000000006</v>
      </c>
      <c r="I235" t="str">
        <f t="shared" si="16"/>
        <v>Low Sales</v>
      </c>
      <c r="J235" t="str">
        <f t="shared" si="17"/>
        <v>Average Performance</v>
      </c>
      <c r="K235">
        <f t="shared" si="18"/>
        <v>2004</v>
      </c>
      <c r="L235" t="str">
        <f t="shared" si="19"/>
        <v>November</v>
      </c>
    </row>
    <row r="236" spans="1:12" x14ac:dyDescent="0.25">
      <c r="A236" t="s">
        <v>54</v>
      </c>
      <c r="C236" t="s">
        <v>263</v>
      </c>
      <c r="D236" t="str">
        <f t="shared" si="15"/>
        <v>Trucks And Buses</v>
      </c>
      <c r="E236" t="s">
        <v>276</v>
      </c>
      <c r="F236" s="5">
        <v>5960.36</v>
      </c>
      <c r="G236" s="5">
        <v>1192.0719999999999</v>
      </c>
      <c r="I236" t="str">
        <f t="shared" si="16"/>
        <v>Low Sales</v>
      </c>
      <c r="J236" t="str">
        <f t="shared" si="17"/>
        <v>Average Performance</v>
      </c>
      <c r="K236">
        <f t="shared" si="18"/>
        <v>2004</v>
      </c>
      <c r="L236" t="str">
        <f t="shared" si="19"/>
        <v>December</v>
      </c>
    </row>
    <row r="237" spans="1:12" x14ac:dyDescent="0.25">
      <c r="A237" t="s">
        <v>55</v>
      </c>
      <c r="B237" t="s">
        <v>259</v>
      </c>
      <c r="C237" t="s">
        <v>263</v>
      </c>
      <c r="D237" t="str">
        <f t="shared" si="15"/>
        <v>Trucks And Buses</v>
      </c>
      <c r="E237" t="s">
        <v>276</v>
      </c>
      <c r="F237" s="5">
        <v>8470.14</v>
      </c>
      <c r="G237" s="5">
        <v>1694.028</v>
      </c>
      <c r="I237" t="str">
        <f t="shared" si="16"/>
        <v>Low Sales</v>
      </c>
      <c r="J237" t="str">
        <f t="shared" si="17"/>
        <v>Average Performance</v>
      </c>
      <c r="K237">
        <f t="shared" si="18"/>
        <v>2005</v>
      </c>
      <c r="L237" t="str">
        <f t="shared" si="19"/>
        <v>January</v>
      </c>
    </row>
    <row r="238" spans="1:12" x14ac:dyDescent="0.25">
      <c r="A238" t="s">
        <v>56</v>
      </c>
      <c r="C238" t="s">
        <v>263</v>
      </c>
      <c r="D238" t="str">
        <f t="shared" si="15"/>
        <v>Trucks And Buses</v>
      </c>
      <c r="E238" t="s">
        <v>276</v>
      </c>
      <c r="F238" s="5">
        <v>2952</v>
      </c>
      <c r="G238" s="5">
        <v>590.4</v>
      </c>
      <c r="I238" t="str">
        <f t="shared" si="16"/>
        <v>Low Sales</v>
      </c>
      <c r="J238" t="str">
        <f t="shared" si="17"/>
        <v>Average Performance</v>
      </c>
      <c r="K238">
        <f t="shared" si="18"/>
        <v>2005</v>
      </c>
      <c r="L238" t="str">
        <f t="shared" si="19"/>
        <v>February</v>
      </c>
    </row>
    <row r="239" spans="1:12" x14ac:dyDescent="0.25">
      <c r="A239" t="s">
        <v>57</v>
      </c>
      <c r="B239" t="s">
        <v>259</v>
      </c>
      <c r="C239" t="s">
        <v>263</v>
      </c>
      <c r="D239" t="str">
        <f t="shared" si="15"/>
        <v>Trucks And Buses</v>
      </c>
      <c r="E239" t="s">
        <v>276</v>
      </c>
      <c r="F239" s="5">
        <v>2464.8000000000002</v>
      </c>
      <c r="G239" s="5">
        <v>492.96</v>
      </c>
      <c r="I239" t="str">
        <f t="shared" si="16"/>
        <v>Low Sales</v>
      </c>
      <c r="J239" t="str">
        <f t="shared" si="17"/>
        <v>Average Performance</v>
      </c>
      <c r="K239">
        <f t="shared" si="18"/>
        <v>2005</v>
      </c>
      <c r="L239" t="str">
        <f t="shared" si="19"/>
        <v>March</v>
      </c>
    </row>
    <row r="240" spans="1:12" x14ac:dyDescent="0.25">
      <c r="A240" t="s">
        <v>58</v>
      </c>
      <c r="C240" t="s">
        <v>263</v>
      </c>
      <c r="D240" t="str">
        <f t="shared" si="15"/>
        <v>Trucks And Buses</v>
      </c>
      <c r="E240" t="s">
        <v>276</v>
      </c>
      <c r="F240" s="5">
        <v>6232</v>
      </c>
      <c r="G240" s="5">
        <v>1246.4000000000001</v>
      </c>
      <c r="I240" t="str">
        <f t="shared" si="16"/>
        <v>Low Sales</v>
      </c>
      <c r="J240" t="str">
        <f t="shared" si="17"/>
        <v>Average Performance</v>
      </c>
      <c r="K240">
        <f t="shared" si="18"/>
        <v>2005</v>
      </c>
      <c r="L240" t="str">
        <f t="shared" si="19"/>
        <v>May</v>
      </c>
    </row>
    <row r="241" spans="1:12" x14ac:dyDescent="0.25">
      <c r="A241" t="s">
        <v>59</v>
      </c>
      <c r="B241" t="s">
        <v>258</v>
      </c>
      <c r="C241" t="s">
        <v>263</v>
      </c>
      <c r="D241" t="str">
        <f t="shared" si="15"/>
        <v>Trucks And Buses</v>
      </c>
      <c r="E241" t="s">
        <v>276</v>
      </c>
      <c r="F241" s="5">
        <v>7969.36</v>
      </c>
      <c r="G241" s="5">
        <v>1593.8720000000001</v>
      </c>
      <c r="I241" t="str">
        <f t="shared" si="16"/>
        <v>Low Sales</v>
      </c>
      <c r="J241" t="str">
        <f t="shared" si="17"/>
        <v>Average Performance</v>
      </c>
      <c r="K241">
        <f t="shared" si="18"/>
        <v>2005</v>
      </c>
      <c r="L241" t="str">
        <f t="shared" si="19"/>
        <v>May</v>
      </c>
    </row>
    <row r="242" spans="1:12" x14ac:dyDescent="0.25">
      <c r="A242" t="s">
        <v>6</v>
      </c>
      <c r="C242" t="s">
        <v>261</v>
      </c>
      <c r="D242" t="str">
        <f t="shared" si="15"/>
        <v>Motorcycles</v>
      </c>
      <c r="E242" t="s">
        <v>277</v>
      </c>
      <c r="F242" s="5">
        <v>3036.6</v>
      </c>
      <c r="G242" s="5">
        <v>607.32000000000005</v>
      </c>
      <c r="I242" t="str">
        <f t="shared" si="16"/>
        <v>Low Sales</v>
      </c>
      <c r="J242" t="str">
        <f t="shared" si="17"/>
        <v>Average Performance</v>
      </c>
      <c r="K242">
        <f t="shared" si="18"/>
        <v>2003</v>
      </c>
      <c r="L242" t="str">
        <f t="shared" si="19"/>
        <v>February</v>
      </c>
    </row>
    <row r="243" spans="1:12" x14ac:dyDescent="0.25">
      <c r="A243" t="s">
        <v>7</v>
      </c>
      <c r="B243" t="s">
        <v>258</v>
      </c>
      <c r="C243" t="s">
        <v>261</v>
      </c>
      <c r="D243" t="str">
        <f t="shared" si="15"/>
        <v>Motorcycles</v>
      </c>
      <c r="E243" t="s">
        <v>277</v>
      </c>
      <c r="F243" s="5">
        <v>8284</v>
      </c>
      <c r="G243" s="5">
        <v>1656.8</v>
      </c>
      <c r="I243" t="str">
        <f t="shared" si="16"/>
        <v>Low Sales</v>
      </c>
      <c r="J243" t="str">
        <f t="shared" si="17"/>
        <v>Average Performance</v>
      </c>
      <c r="K243">
        <f t="shared" si="18"/>
        <v>2003</v>
      </c>
      <c r="L243" t="str">
        <f t="shared" si="19"/>
        <v>May</v>
      </c>
    </row>
    <row r="244" spans="1:12" x14ac:dyDescent="0.25">
      <c r="A244" t="s">
        <v>8</v>
      </c>
      <c r="B244" t="s">
        <v>258</v>
      </c>
      <c r="C244" t="s">
        <v>261</v>
      </c>
      <c r="D244" t="str">
        <f t="shared" si="15"/>
        <v>Motorcycles</v>
      </c>
      <c r="E244" t="s">
        <v>277</v>
      </c>
      <c r="F244" s="5">
        <v>2711.2</v>
      </c>
      <c r="G244" s="5">
        <v>542.24</v>
      </c>
      <c r="I244" t="str">
        <f t="shared" si="16"/>
        <v>Low Sales</v>
      </c>
      <c r="J244" t="str">
        <f t="shared" si="17"/>
        <v>Average Performance</v>
      </c>
      <c r="K244">
        <f t="shared" si="18"/>
        <v>2003</v>
      </c>
      <c r="L244" t="str">
        <f t="shared" si="19"/>
        <v>July</v>
      </c>
    </row>
    <row r="245" spans="1:12" x14ac:dyDescent="0.25">
      <c r="A245" t="s">
        <v>9</v>
      </c>
      <c r="C245" t="s">
        <v>261</v>
      </c>
      <c r="D245" t="str">
        <f t="shared" si="15"/>
        <v>Motorcycles</v>
      </c>
      <c r="E245" t="s">
        <v>277</v>
      </c>
      <c r="F245" s="5">
        <v>8339.7999999999993</v>
      </c>
      <c r="G245" s="5">
        <v>1667.96</v>
      </c>
      <c r="I245" t="str">
        <f t="shared" si="16"/>
        <v>Low Sales</v>
      </c>
      <c r="J245" t="str">
        <f t="shared" si="17"/>
        <v>Average Performance</v>
      </c>
      <c r="K245">
        <f t="shared" si="18"/>
        <v>2003</v>
      </c>
      <c r="L245" t="str">
        <f t="shared" si="19"/>
        <v>August</v>
      </c>
    </row>
    <row r="246" spans="1:12" x14ac:dyDescent="0.25">
      <c r="A246" t="s">
        <v>10</v>
      </c>
      <c r="C246" t="s">
        <v>261</v>
      </c>
      <c r="D246" t="str">
        <f t="shared" si="15"/>
        <v>Motorcycles</v>
      </c>
      <c r="E246" t="s">
        <v>277</v>
      </c>
      <c r="F246" s="5">
        <v>6238.84</v>
      </c>
      <c r="G246" s="5">
        <v>1247.768</v>
      </c>
      <c r="I246" t="str">
        <f t="shared" si="16"/>
        <v>Low Sales</v>
      </c>
      <c r="J246" t="str">
        <f t="shared" si="17"/>
        <v>Average Performance</v>
      </c>
      <c r="K246">
        <f t="shared" si="18"/>
        <v>2003</v>
      </c>
      <c r="L246" t="str">
        <f t="shared" si="19"/>
        <v>October</v>
      </c>
    </row>
    <row r="247" spans="1:12" x14ac:dyDescent="0.25">
      <c r="A247" t="s">
        <v>108</v>
      </c>
      <c r="B247" t="s">
        <v>259</v>
      </c>
      <c r="C247" t="s">
        <v>261</v>
      </c>
      <c r="D247" t="str">
        <f t="shared" si="15"/>
        <v>Motorcycles</v>
      </c>
      <c r="E247" t="s">
        <v>277</v>
      </c>
      <c r="F247" s="5">
        <v>4639.25</v>
      </c>
      <c r="G247" s="5">
        <v>927.85</v>
      </c>
      <c r="I247" t="str">
        <f t="shared" si="16"/>
        <v>Low Sales</v>
      </c>
      <c r="J247" t="str">
        <f t="shared" si="17"/>
        <v>Average Performance</v>
      </c>
      <c r="K247">
        <f t="shared" si="18"/>
        <v>2003</v>
      </c>
      <c r="L247" t="str">
        <f t="shared" si="19"/>
        <v>November</v>
      </c>
    </row>
    <row r="248" spans="1:12" x14ac:dyDescent="0.25">
      <c r="A248" t="s">
        <v>12</v>
      </c>
      <c r="B248" t="s">
        <v>258</v>
      </c>
      <c r="C248" t="s">
        <v>261</v>
      </c>
      <c r="D248" t="str">
        <f t="shared" si="15"/>
        <v>Motorcycles</v>
      </c>
      <c r="E248" t="s">
        <v>277</v>
      </c>
      <c r="F248" s="5">
        <v>6747.6</v>
      </c>
      <c r="G248" s="5">
        <v>1349.52</v>
      </c>
      <c r="I248" t="str">
        <f t="shared" si="16"/>
        <v>Low Sales</v>
      </c>
      <c r="J248" t="str">
        <f t="shared" si="17"/>
        <v>Average Performance</v>
      </c>
      <c r="K248">
        <f t="shared" si="18"/>
        <v>2003</v>
      </c>
      <c r="L248" t="str">
        <f t="shared" si="19"/>
        <v>November</v>
      </c>
    </row>
    <row r="249" spans="1:12" x14ac:dyDescent="0.25">
      <c r="A249" t="s">
        <v>13</v>
      </c>
      <c r="C249" t="s">
        <v>261</v>
      </c>
      <c r="D249" t="str">
        <f t="shared" si="15"/>
        <v>Motorcycles</v>
      </c>
      <c r="E249" t="s">
        <v>277</v>
      </c>
      <c r="F249" s="5">
        <v>4512.4799999999996</v>
      </c>
      <c r="G249" s="5">
        <v>902.49599999999998</v>
      </c>
      <c r="I249" t="str">
        <f t="shared" si="16"/>
        <v>Low Sales</v>
      </c>
      <c r="J249" t="str">
        <f t="shared" si="17"/>
        <v>Average Performance</v>
      </c>
      <c r="K249">
        <f t="shared" si="18"/>
        <v>2003</v>
      </c>
      <c r="L249" t="str">
        <f t="shared" si="19"/>
        <v>November</v>
      </c>
    </row>
    <row r="250" spans="1:12" x14ac:dyDescent="0.25">
      <c r="A250" t="s">
        <v>14</v>
      </c>
      <c r="C250" t="s">
        <v>261</v>
      </c>
      <c r="D250" t="str">
        <f t="shared" si="15"/>
        <v>Motorcycles</v>
      </c>
      <c r="E250" t="s">
        <v>277</v>
      </c>
      <c r="F250" s="5">
        <v>4029</v>
      </c>
      <c r="G250" s="5">
        <v>805.80000000000007</v>
      </c>
      <c r="I250" t="str">
        <f t="shared" si="16"/>
        <v>Low Sales</v>
      </c>
      <c r="J250" t="str">
        <f t="shared" si="17"/>
        <v>Average Performance</v>
      </c>
      <c r="K250">
        <f t="shared" si="18"/>
        <v>2003</v>
      </c>
      <c r="L250" t="str">
        <f t="shared" si="19"/>
        <v>December</v>
      </c>
    </row>
    <row r="251" spans="1:12" x14ac:dyDescent="0.25">
      <c r="A251" t="s">
        <v>15</v>
      </c>
      <c r="B251" t="s">
        <v>258</v>
      </c>
      <c r="C251" t="s">
        <v>261</v>
      </c>
      <c r="D251" t="str">
        <f t="shared" si="15"/>
        <v>Motorcycles</v>
      </c>
      <c r="E251" t="s">
        <v>277</v>
      </c>
      <c r="F251" s="5">
        <v>4771.8</v>
      </c>
      <c r="G251" s="5">
        <v>954.36000000000013</v>
      </c>
      <c r="I251" t="str">
        <f t="shared" si="16"/>
        <v>Low Sales</v>
      </c>
      <c r="J251" t="str">
        <f t="shared" si="17"/>
        <v>Average Performance</v>
      </c>
      <c r="K251">
        <f t="shared" si="18"/>
        <v>2004</v>
      </c>
      <c r="L251" t="str">
        <f t="shared" si="19"/>
        <v>January</v>
      </c>
    </row>
    <row r="252" spans="1:12" x14ac:dyDescent="0.25">
      <c r="A252" t="s">
        <v>139</v>
      </c>
      <c r="B252" t="s">
        <v>258</v>
      </c>
      <c r="C252" t="s">
        <v>261</v>
      </c>
      <c r="D252" t="str">
        <f t="shared" si="15"/>
        <v>Motorcycles</v>
      </c>
      <c r="E252" t="s">
        <v>277</v>
      </c>
      <c r="F252" s="5">
        <v>6087.94</v>
      </c>
      <c r="G252" s="5">
        <v>1217.588</v>
      </c>
      <c r="I252" t="str">
        <f t="shared" si="16"/>
        <v>Low Sales</v>
      </c>
      <c r="J252" t="str">
        <f t="shared" si="17"/>
        <v>Average Performance</v>
      </c>
      <c r="K252">
        <f t="shared" si="18"/>
        <v>2004</v>
      </c>
      <c r="L252" t="str">
        <f t="shared" si="19"/>
        <v>February</v>
      </c>
    </row>
    <row r="253" spans="1:12" x14ac:dyDescent="0.25">
      <c r="A253" t="s">
        <v>17</v>
      </c>
      <c r="C253" t="s">
        <v>261</v>
      </c>
      <c r="D253" t="str">
        <f t="shared" si="15"/>
        <v>Motorcycles</v>
      </c>
      <c r="E253" t="s">
        <v>277</v>
      </c>
      <c r="F253" s="5">
        <v>4193.28</v>
      </c>
      <c r="G253" s="5">
        <v>838.65599999999995</v>
      </c>
      <c r="I253" t="str">
        <f t="shared" si="16"/>
        <v>Low Sales</v>
      </c>
      <c r="J253" t="str">
        <f t="shared" si="17"/>
        <v>Average Performance</v>
      </c>
      <c r="K253">
        <f t="shared" si="18"/>
        <v>2004</v>
      </c>
      <c r="L253" t="str">
        <f t="shared" si="19"/>
        <v>April</v>
      </c>
    </row>
    <row r="254" spans="1:12" x14ac:dyDescent="0.25">
      <c r="A254" t="s">
        <v>18</v>
      </c>
      <c r="C254" t="s">
        <v>261</v>
      </c>
      <c r="D254" t="str">
        <f t="shared" si="15"/>
        <v>Motorcycles</v>
      </c>
      <c r="E254" t="s">
        <v>277</v>
      </c>
      <c r="F254" s="5">
        <v>7552.28</v>
      </c>
      <c r="G254" s="5">
        <v>1510.4559999999999</v>
      </c>
      <c r="I254" t="str">
        <f t="shared" si="16"/>
        <v>Low Sales</v>
      </c>
      <c r="J254" t="str">
        <f t="shared" si="17"/>
        <v>Average Performance</v>
      </c>
      <c r="K254">
        <f t="shared" si="18"/>
        <v>2004</v>
      </c>
      <c r="L254" t="str">
        <f t="shared" si="19"/>
        <v>May</v>
      </c>
    </row>
    <row r="255" spans="1:12" x14ac:dyDescent="0.25">
      <c r="A255" t="s">
        <v>19</v>
      </c>
      <c r="C255" t="s">
        <v>261</v>
      </c>
      <c r="D255" t="str">
        <f t="shared" si="15"/>
        <v>Motorcycles</v>
      </c>
      <c r="E255" t="s">
        <v>277</v>
      </c>
      <c r="F255" s="5">
        <v>6434.4</v>
      </c>
      <c r="G255" s="5">
        <v>1286.8800000000001</v>
      </c>
      <c r="I255" t="str">
        <f t="shared" si="16"/>
        <v>Low Sales</v>
      </c>
      <c r="J255" t="str">
        <f t="shared" si="17"/>
        <v>Average Performance</v>
      </c>
      <c r="K255">
        <f t="shared" si="18"/>
        <v>2004</v>
      </c>
      <c r="L255" t="str">
        <f t="shared" si="19"/>
        <v>June</v>
      </c>
    </row>
    <row r="256" spans="1:12" x14ac:dyDescent="0.25">
      <c r="A256" t="s">
        <v>116</v>
      </c>
      <c r="C256" t="s">
        <v>261</v>
      </c>
      <c r="D256" t="str">
        <f t="shared" si="15"/>
        <v>Motorcycles</v>
      </c>
      <c r="E256" t="s">
        <v>277</v>
      </c>
      <c r="F256" s="5">
        <v>5181.5</v>
      </c>
      <c r="G256" s="5">
        <v>1036.3</v>
      </c>
      <c r="I256" t="str">
        <f t="shared" si="16"/>
        <v>Low Sales</v>
      </c>
      <c r="J256" t="str">
        <f t="shared" si="17"/>
        <v>Average Performance</v>
      </c>
      <c r="K256">
        <f t="shared" si="18"/>
        <v>2004</v>
      </c>
      <c r="L256" t="str">
        <f t="shared" si="19"/>
        <v>August</v>
      </c>
    </row>
    <row r="257" spans="1:12" x14ac:dyDescent="0.25">
      <c r="A257" t="s">
        <v>21</v>
      </c>
      <c r="C257" t="s">
        <v>261</v>
      </c>
      <c r="D257" t="str">
        <f t="shared" si="15"/>
        <v>Motorcycles</v>
      </c>
      <c r="E257" t="s">
        <v>277</v>
      </c>
      <c r="F257" s="5">
        <v>6863.92</v>
      </c>
      <c r="G257" s="5">
        <v>1372.7840000000001</v>
      </c>
      <c r="I257" t="str">
        <f t="shared" si="16"/>
        <v>Low Sales</v>
      </c>
      <c r="J257" t="str">
        <f t="shared" si="17"/>
        <v>Average Performance</v>
      </c>
      <c r="K257">
        <f t="shared" si="18"/>
        <v>2004</v>
      </c>
      <c r="L257" t="str">
        <f t="shared" si="19"/>
        <v>August</v>
      </c>
    </row>
    <row r="258" spans="1:12" x14ac:dyDescent="0.25">
      <c r="A258" t="s">
        <v>22</v>
      </c>
      <c r="B258" t="s">
        <v>258</v>
      </c>
      <c r="C258" t="s">
        <v>261</v>
      </c>
      <c r="D258" t="str">
        <f t="shared" si="15"/>
        <v>Motorcycles</v>
      </c>
      <c r="E258" t="s">
        <v>277</v>
      </c>
      <c r="F258" s="5">
        <v>4157.04</v>
      </c>
      <c r="G258" s="5">
        <v>831.40800000000002</v>
      </c>
      <c r="I258" t="str">
        <f t="shared" si="16"/>
        <v>Low Sales</v>
      </c>
      <c r="J258" t="str">
        <f t="shared" si="17"/>
        <v>Average Performance</v>
      </c>
      <c r="K258">
        <f t="shared" si="18"/>
        <v>2004</v>
      </c>
      <c r="L258" t="str">
        <f t="shared" si="19"/>
        <v>September</v>
      </c>
    </row>
    <row r="259" spans="1:12" x14ac:dyDescent="0.25">
      <c r="A259" t="s">
        <v>23</v>
      </c>
      <c r="B259" t="s">
        <v>258</v>
      </c>
      <c r="C259" t="s">
        <v>261</v>
      </c>
      <c r="D259" t="str">
        <f t="shared" ref="D259:D322" si="20">PROPER(TRIM(C259))</f>
        <v>Motorcycles</v>
      </c>
      <c r="E259" t="s">
        <v>277</v>
      </c>
      <c r="F259" s="5">
        <v>4660.24</v>
      </c>
      <c r="G259" s="5">
        <v>932.048</v>
      </c>
      <c r="I259" t="str">
        <f t="shared" ref="I259:I322" si="21">IF(F259&gt;50000,"High Sales","Low Sales")</f>
        <v>Low Sales</v>
      </c>
      <c r="J259" t="str">
        <f t="shared" ref="J259:J322" si="22">IF(AND(F259&gt;30000,G259&gt;5000),"Good Performance","Average Performance")</f>
        <v>Average Performance</v>
      </c>
      <c r="K259">
        <f t="shared" ref="K259:K322" si="23">YEAR(A259)</f>
        <v>2004</v>
      </c>
      <c r="L259" t="str">
        <f t="shared" ref="L259:L322" si="24">TEXT(A259,"mmmm")</f>
        <v>October</v>
      </c>
    </row>
    <row r="260" spans="1:12" x14ac:dyDescent="0.25">
      <c r="A260" t="s">
        <v>120</v>
      </c>
      <c r="C260" t="s">
        <v>261</v>
      </c>
      <c r="D260" t="str">
        <f t="shared" si="20"/>
        <v>Motorcycles</v>
      </c>
      <c r="E260" t="s">
        <v>277</v>
      </c>
      <c r="F260" s="5">
        <v>4111.8</v>
      </c>
      <c r="G260" s="5">
        <v>822.36000000000013</v>
      </c>
      <c r="I260" t="str">
        <f t="shared" si="21"/>
        <v>Low Sales</v>
      </c>
      <c r="J260" t="str">
        <f t="shared" si="22"/>
        <v>Average Performance</v>
      </c>
      <c r="K260">
        <f t="shared" si="23"/>
        <v>2004</v>
      </c>
      <c r="L260" t="str">
        <f t="shared" si="24"/>
        <v>November</v>
      </c>
    </row>
    <row r="261" spans="1:12" x14ac:dyDescent="0.25">
      <c r="A261" t="s">
        <v>25</v>
      </c>
      <c r="C261" t="s">
        <v>261</v>
      </c>
      <c r="D261" t="str">
        <f t="shared" si="20"/>
        <v>Motorcycles</v>
      </c>
      <c r="E261" t="s">
        <v>277</v>
      </c>
      <c r="F261" s="5">
        <v>3542.64</v>
      </c>
      <c r="G261" s="5">
        <v>708.52800000000002</v>
      </c>
      <c r="I261" t="str">
        <f t="shared" si="21"/>
        <v>Low Sales</v>
      </c>
      <c r="J261" t="str">
        <f t="shared" si="22"/>
        <v>Average Performance</v>
      </c>
      <c r="K261">
        <f t="shared" si="23"/>
        <v>2004</v>
      </c>
      <c r="L261" t="str">
        <f t="shared" si="24"/>
        <v>November</v>
      </c>
    </row>
    <row r="262" spans="1:12" x14ac:dyDescent="0.25">
      <c r="A262" t="s">
        <v>26</v>
      </c>
      <c r="B262" t="s">
        <v>258</v>
      </c>
      <c r="C262" t="s">
        <v>261</v>
      </c>
      <c r="D262" t="str">
        <f t="shared" si="20"/>
        <v>Motorcycles</v>
      </c>
      <c r="E262" t="s">
        <v>277</v>
      </c>
      <c r="F262" s="5">
        <v>8118.55</v>
      </c>
      <c r="G262" s="5">
        <v>1623.71</v>
      </c>
      <c r="I262" t="str">
        <f t="shared" si="21"/>
        <v>Low Sales</v>
      </c>
      <c r="J262" t="str">
        <f t="shared" si="22"/>
        <v>Average Performance</v>
      </c>
      <c r="K262">
        <f t="shared" si="23"/>
        <v>2004</v>
      </c>
      <c r="L262" t="str">
        <f t="shared" si="24"/>
        <v>November</v>
      </c>
    </row>
    <row r="263" spans="1:12" x14ac:dyDescent="0.25">
      <c r="A263" t="s">
        <v>67</v>
      </c>
      <c r="C263" t="s">
        <v>261</v>
      </c>
      <c r="D263" t="str">
        <f t="shared" si="20"/>
        <v>Motorcycles</v>
      </c>
      <c r="E263" t="s">
        <v>277</v>
      </c>
      <c r="F263" s="5">
        <v>3877.06</v>
      </c>
      <c r="G263" s="5">
        <v>775.41200000000003</v>
      </c>
      <c r="I263" t="str">
        <f t="shared" si="21"/>
        <v>Low Sales</v>
      </c>
      <c r="J263" t="str">
        <f t="shared" si="22"/>
        <v>Average Performance</v>
      </c>
      <c r="K263">
        <f t="shared" si="23"/>
        <v>2005</v>
      </c>
      <c r="L263" t="str">
        <f t="shared" si="24"/>
        <v>January</v>
      </c>
    </row>
    <row r="264" spans="1:12" x14ac:dyDescent="0.25">
      <c r="A264" t="s">
        <v>28</v>
      </c>
      <c r="B264" t="s">
        <v>258</v>
      </c>
      <c r="C264" t="s">
        <v>261</v>
      </c>
      <c r="D264" t="str">
        <f t="shared" si="20"/>
        <v>Motorcycles</v>
      </c>
      <c r="E264" t="s">
        <v>277</v>
      </c>
      <c r="F264" s="5">
        <v>3867.08</v>
      </c>
      <c r="G264" s="5">
        <v>773.41600000000005</v>
      </c>
      <c r="I264" t="str">
        <f t="shared" si="21"/>
        <v>Low Sales</v>
      </c>
      <c r="J264" t="str">
        <f t="shared" si="22"/>
        <v>Average Performance</v>
      </c>
      <c r="K264">
        <f t="shared" si="23"/>
        <v>2005</v>
      </c>
      <c r="L264" t="str">
        <f t="shared" si="24"/>
        <v>February</v>
      </c>
    </row>
    <row r="265" spans="1:12" x14ac:dyDescent="0.25">
      <c r="A265" t="s">
        <v>29</v>
      </c>
      <c r="C265" t="s">
        <v>261</v>
      </c>
      <c r="D265" t="str">
        <f t="shared" si="20"/>
        <v>Motorcycles</v>
      </c>
      <c r="E265" t="s">
        <v>277</v>
      </c>
      <c r="F265" s="5">
        <v>5951.44</v>
      </c>
      <c r="G265" s="5">
        <v>1190.288</v>
      </c>
      <c r="I265" t="str">
        <f t="shared" si="21"/>
        <v>Low Sales</v>
      </c>
      <c r="J265" t="str">
        <f t="shared" si="22"/>
        <v>Average Performance</v>
      </c>
      <c r="K265">
        <f t="shared" si="23"/>
        <v>2005</v>
      </c>
      <c r="L265" t="str">
        <f t="shared" si="24"/>
        <v>March</v>
      </c>
    </row>
    <row r="266" spans="1:12" x14ac:dyDescent="0.25">
      <c r="A266" t="s">
        <v>30</v>
      </c>
      <c r="B266" t="s">
        <v>258</v>
      </c>
      <c r="C266" t="s">
        <v>261</v>
      </c>
      <c r="D266" t="str">
        <f t="shared" si="20"/>
        <v>Motorcycles</v>
      </c>
      <c r="E266" t="s">
        <v>277</v>
      </c>
      <c r="F266" s="5">
        <v>8648.64</v>
      </c>
      <c r="G266" s="5">
        <v>1729.7280000000001</v>
      </c>
      <c r="I266" t="str">
        <f t="shared" si="21"/>
        <v>Low Sales</v>
      </c>
      <c r="J266" t="str">
        <f t="shared" si="22"/>
        <v>Average Performance</v>
      </c>
      <c r="K266">
        <f t="shared" si="23"/>
        <v>2005</v>
      </c>
      <c r="L266" t="str">
        <f t="shared" si="24"/>
        <v>April</v>
      </c>
    </row>
    <row r="267" spans="1:12" x14ac:dyDescent="0.25">
      <c r="A267" t="s">
        <v>31</v>
      </c>
      <c r="B267" t="s">
        <v>258</v>
      </c>
      <c r="C267" t="s">
        <v>261</v>
      </c>
      <c r="D267" t="str">
        <f t="shared" si="20"/>
        <v>Motorcycles</v>
      </c>
      <c r="E267" t="s">
        <v>277</v>
      </c>
      <c r="F267" s="5">
        <v>3447.78</v>
      </c>
      <c r="G267" s="5">
        <v>689.55600000000004</v>
      </c>
      <c r="I267" t="str">
        <f t="shared" si="21"/>
        <v>Low Sales</v>
      </c>
      <c r="J267" t="str">
        <f t="shared" si="22"/>
        <v>Average Performance</v>
      </c>
      <c r="K267">
        <f t="shared" si="23"/>
        <v>2005</v>
      </c>
      <c r="L267" t="str">
        <f t="shared" si="24"/>
        <v>May</v>
      </c>
    </row>
    <row r="268" spans="1:12" x14ac:dyDescent="0.25">
      <c r="A268" t="s">
        <v>140</v>
      </c>
      <c r="B268" t="s">
        <v>258</v>
      </c>
      <c r="C268" t="s">
        <v>262</v>
      </c>
      <c r="D268" t="str">
        <f t="shared" si="20"/>
        <v>Classic Cars</v>
      </c>
      <c r="E268" t="s">
        <v>278</v>
      </c>
      <c r="F268" s="5">
        <v>5958.5</v>
      </c>
      <c r="G268" s="5">
        <v>1191.7</v>
      </c>
      <c r="I268" t="str">
        <f t="shared" si="21"/>
        <v>Low Sales</v>
      </c>
      <c r="J268" t="str">
        <f t="shared" si="22"/>
        <v>Average Performance</v>
      </c>
      <c r="K268">
        <f t="shared" si="23"/>
        <v>2003</v>
      </c>
      <c r="L268" t="str">
        <f t="shared" si="24"/>
        <v>January</v>
      </c>
    </row>
    <row r="269" spans="1:12" x14ac:dyDescent="0.25">
      <c r="A269" t="s">
        <v>123</v>
      </c>
      <c r="B269" t="s">
        <v>260</v>
      </c>
      <c r="C269" t="s">
        <v>262</v>
      </c>
      <c r="D269" t="str">
        <f t="shared" si="20"/>
        <v>Classic Cars</v>
      </c>
      <c r="E269" t="s">
        <v>278</v>
      </c>
      <c r="F269" s="5">
        <v>5911.64</v>
      </c>
      <c r="G269" s="5">
        <v>1182.328</v>
      </c>
      <c r="I269" t="str">
        <f t="shared" si="21"/>
        <v>Low Sales</v>
      </c>
      <c r="J269" t="str">
        <f t="shared" si="22"/>
        <v>Average Performance</v>
      </c>
      <c r="K269">
        <f t="shared" si="23"/>
        <v>2003</v>
      </c>
      <c r="L269" t="str">
        <f t="shared" si="24"/>
        <v>April</v>
      </c>
    </row>
    <row r="270" spans="1:12" x14ac:dyDescent="0.25">
      <c r="A270" t="s">
        <v>124</v>
      </c>
      <c r="C270" t="s">
        <v>262</v>
      </c>
      <c r="D270" t="str">
        <f t="shared" si="20"/>
        <v>Classic Cars</v>
      </c>
      <c r="E270" t="s">
        <v>278</v>
      </c>
      <c r="F270" s="5">
        <v>7366.44</v>
      </c>
      <c r="G270" s="5">
        <v>1473.288</v>
      </c>
      <c r="I270" t="str">
        <f t="shared" si="21"/>
        <v>Low Sales</v>
      </c>
      <c r="J270" t="str">
        <f t="shared" si="22"/>
        <v>Average Performance</v>
      </c>
      <c r="K270">
        <f t="shared" si="23"/>
        <v>2003</v>
      </c>
      <c r="L270" t="str">
        <f t="shared" si="24"/>
        <v>June</v>
      </c>
    </row>
    <row r="271" spans="1:12" x14ac:dyDescent="0.25">
      <c r="A271" t="s">
        <v>125</v>
      </c>
      <c r="C271" t="s">
        <v>262</v>
      </c>
      <c r="D271" t="str">
        <f t="shared" si="20"/>
        <v>Classic Cars</v>
      </c>
      <c r="E271" t="s">
        <v>278</v>
      </c>
      <c r="F271" s="5">
        <v>4985.6400000000003</v>
      </c>
      <c r="G271" s="5">
        <v>997.12800000000016</v>
      </c>
      <c r="I271" t="str">
        <f t="shared" si="21"/>
        <v>Low Sales</v>
      </c>
      <c r="J271" t="str">
        <f t="shared" si="22"/>
        <v>Average Performance</v>
      </c>
      <c r="K271">
        <f t="shared" si="23"/>
        <v>2003</v>
      </c>
      <c r="L271" t="str">
        <f t="shared" si="24"/>
        <v>August</v>
      </c>
    </row>
    <row r="272" spans="1:12" x14ac:dyDescent="0.25">
      <c r="A272" t="s">
        <v>126</v>
      </c>
      <c r="B272" t="s">
        <v>258</v>
      </c>
      <c r="C272" t="s">
        <v>262</v>
      </c>
      <c r="D272" t="str">
        <f t="shared" si="20"/>
        <v>Classic Cars</v>
      </c>
      <c r="E272" t="s">
        <v>278</v>
      </c>
      <c r="F272" s="5">
        <v>5393.64</v>
      </c>
      <c r="G272" s="5">
        <v>1078.7280000000001</v>
      </c>
      <c r="I272" t="str">
        <f t="shared" si="21"/>
        <v>Low Sales</v>
      </c>
      <c r="J272" t="str">
        <f t="shared" si="22"/>
        <v>Average Performance</v>
      </c>
      <c r="K272">
        <f t="shared" si="23"/>
        <v>2003</v>
      </c>
      <c r="L272" t="str">
        <f t="shared" si="24"/>
        <v>September</v>
      </c>
    </row>
    <row r="273" spans="1:12" x14ac:dyDescent="0.25">
      <c r="A273" t="s">
        <v>127</v>
      </c>
      <c r="B273" t="s">
        <v>260</v>
      </c>
      <c r="C273" t="s">
        <v>262</v>
      </c>
      <c r="D273" t="str">
        <f t="shared" si="20"/>
        <v>Classic Cars</v>
      </c>
      <c r="E273" t="s">
        <v>278</v>
      </c>
      <c r="F273" s="5">
        <v>4880.0200000000004</v>
      </c>
      <c r="G273" s="5">
        <v>976.00400000000013</v>
      </c>
      <c r="I273" t="str">
        <f t="shared" si="21"/>
        <v>Low Sales</v>
      </c>
      <c r="J273" t="str">
        <f t="shared" si="22"/>
        <v>Average Performance</v>
      </c>
      <c r="K273">
        <f t="shared" si="23"/>
        <v>2003</v>
      </c>
      <c r="L273" t="str">
        <f t="shared" si="24"/>
        <v>October</v>
      </c>
    </row>
    <row r="274" spans="1:12" x14ac:dyDescent="0.25">
      <c r="A274" t="s">
        <v>38</v>
      </c>
      <c r="B274" t="s">
        <v>258</v>
      </c>
      <c r="C274" t="s">
        <v>262</v>
      </c>
      <c r="D274" t="str">
        <f t="shared" si="20"/>
        <v>Classic Cars</v>
      </c>
      <c r="E274" t="s">
        <v>278</v>
      </c>
      <c r="F274" s="5">
        <v>8378.69</v>
      </c>
      <c r="G274" s="5">
        <v>1675.7380000000001</v>
      </c>
      <c r="I274" t="str">
        <f t="shared" si="21"/>
        <v>Low Sales</v>
      </c>
      <c r="J274" t="str">
        <f t="shared" si="22"/>
        <v>Average Performance</v>
      </c>
      <c r="K274">
        <f t="shared" si="23"/>
        <v>2003</v>
      </c>
      <c r="L274" t="str">
        <f t="shared" si="24"/>
        <v>November</v>
      </c>
    </row>
    <row r="275" spans="1:12" x14ac:dyDescent="0.25">
      <c r="A275" t="s">
        <v>75</v>
      </c>
      <c r="C275" t="s">
        <v>262</v>
      </c>
      <c r="D275" t="str">
        <f t="shared" si="20"/>
        <v>Classic Cars</v>
      </c>
      <c r="E275" t="s">
        <v>278</v>
      </c>
      <c r="F275" s="5">
        <v>4038.21</v>
      </c>
      <c r="G275" s="5">
        <v>807.64200000000005</v>
      </c>
      <c r="I275" t="str">
        <f t="shared" si="21"/>
        <v>Low Sales</v>
      </c>
      <c r="J275" t="str">
        <f t="shared" si="22"/>
        <v>Average Performance</v>
      </c>
      <c r="K275">
        <f t="shared" si="23"/>
        <v>2003</v>
      </c>
      <c r="L275" t="str">
        <f t="shared" si="24"/>
        <v>November</v>
      </c>
    </row>
    <row r="276" spans="1:12" x14ac:dyDescent="0.25">
      <c r="A276" t="s">
        <v>76</v>
      </c>
      <c r="C276" t="s">
        <v>262</v>
      </c>
      <c r="D276" t="str">
        <f t="shared" si="20"/>
        <v>Classic Cars</v>
      </c>
      <c r="E276" t="s">
        <v>278</v>
      </c>
      <c r="F276" s="5">
        <v>3807.12</v>
      </c>
      <c r="G276" s="5">
        <v>761.42399999999998</v>
      </c>
      <c r="I276" t="str">
        <f t="shared" si="21"/>
        <v>Low Sales</v>
      </c>
      <c r="J276" t="str">
        <f t="shared" si="22"/>
        <v>Average Performance</v>
      </c>
      <c r="K276">
        <f t="shared" si="23"/>
        <v>2003</v>
      </c>
      <c r="L276" t="str">
        <f t="shared" si="24"/>
        <v>November</v>
      </c>
    </row>
    <row r="277" spans="1:12" x14ac:dyDescent="0.25">
      <c r="A277" t="s">
        <v>128</v>
      </c>
      <c r="B277" t="s">
        <v>258</v>
      </c>
      <c r="C277" t="s">
        <v>262</v>
      </c>
      <c r="D277" t="str">
        <f t="shared" si="20"/>
        <v>Classic Cars</v>
      </c>
      <c r="E277" t="s">
        <v>278</v>
      </c>
      <c r="F277" s="5">
        <v>3142.36</v>
      </c>
      <c r="G277" s="5">
        <v>628.47200000000009</v>
      </c>
      <c r="I277" t="str">
        <f t="shared" si="21"/>
        <v>Low Sales</v>
      </c>
      <c r="J277" t="str">
        <f t="shared" si="22"/>
        <v>Average Performance</v>
      </c>
      <c r="K277">
        <f t="shared" si="23"/>
        <v>2004</v>
      </c>
      <c r="L277" t="str">
        <f t="shared" si="24"/>
        <v>January</v>
      </c>
    </row>
    <row r="278" spans="1:12" x14ac:dyDescent="0.25">
      <c r="A278" t="s">
        <v>129</v>
      </c>
      <c r="B278" t="s">
        <v>258</v>
      </c>
      <c r="C278" t="s">
        <v>262</v>
      </c>
      <c r="D278" t="str">
        <f t="shared" si="20"/>
        <v>Classic Cars</v>
      </c>
      <c r="E278" t="s">
        <v>278</v>
      </c>
      <c r="F278" s="5">
        <v>4713.6000000000004</v>
      </c>
      <c r="G278" s="5">
        <v>942.72000000000014</v>
      </c>
      <c r="I278" t="str">
        <f t="shared" si="21"/>
        <v>Low Sales</v>
      </c>
      <c r="J278" t="str">
        <f t="shared" si="22"/>
        <v>Average Performance</v>
      </c>
      <c r="K278">
        <f t="shared" si="23"/>
        <v>2004</v>
      </c>
      <c r="L278" t="str">
        <f t="shared" si="24"/>
        <v>February</v>
      </c>
    </row>
    <row r="279" spans="1:12" x14ac:dyDescent="0.25">
      <c r="A279" t="s">
        <v>141</v>
      </c>
      <c r="B279" t="s">
        <v>258</v>
      </c>
      <c r="C279" t="s">
        <v>262</v>
      </c>
      <c r="D279" t="str">
        <f t="shared" si="20"/>
        <v>Classic Cars</v>
      </c>
      <c r="E279" t="s">
        <v>278</v>
      </c>
      <c r="F279" s="5">
        <v>7016.31</v>
      </c>
      <c r="G279" s="5">
        <v>1403.2619999999999</v>
      </c>
      <c r="I279" t="str">
        <f t="shared" si="21"/>
        <v>Low Sales</v>
      </c>
      <c r="J279" t="str">
        <f t="shared" si="22"/>
        <v>Average Performance</v>
      </c>
      <c r="K279">
        <f t="shared" si="23"/>
        <v>2004</v>
      </c>
      <c r="L279" t="str">
        <f t="shared" si="24"/>
        <v>March</v>
      </c>
    </row>
    <row r="280" spans="1:12" x14ac:dyDescent="0.25">
      <c r="A280" t="s">
        <v>131</v>
      </c>
      <c r="B280" t="s">
        <v>258</v>
      </c>
      <c r="C280" t="s">
        <v>262</v>
      </c>
      <c r="D280" t="str">
        <f t="shared" si="20"/>
        <v>Classic Cars</v>
      </c>
      <c r="E280" t="s">
        <v>278</v>
      </c>
      <c r="F280" s="5">
        <v>4381.25</v>
      </c>
      <c r="G280" s="5">
        <v>876.25</v>
      </c>
      <c r="I280" t="str">
        <f t="shared" si="21"/>
        <v>Low Sales</v>
      </c>
      <c r="J280" t="str">
        <f t="shared" si="22"/>
        <v>Average Performance</v>
      </c>
      <c r="K280">
        <f t="shared" si="23"/>
        <v>2004</v>
      </c>
      <c r="L280" t="str">
        <f t="shared" si="24"/>
        <v>May</v>
      </c>
    </row>
    <row r="281" spans="1:12" x14ac:dyDescent="0.25">
      <c r="A281" t="s">
        <v>132</v>
      </c>
      <c r="C281" t="s">
        <v>262</v>
      </c>
      <c r="D281" t="str">
        <f t="shared" si="20"/>
        <v>Classic Cars</v>
      </c>
      <c r="E281" t="s">
        <v>278</v>
      </c>
      <c r="F281" s="5">
        <v>4283.01</v>
      </c>
      <c r="G281" s="5">
        <v>856.60200000000009</v>
      </c>
      <c r="I281" t="str">
        <f t="shared" si="21"/>
        <v>Low Sales</v>
      </c>
      <c r="J281" t="str">
        <f t="shared" si="22"/>
        <v>Average Performance</v>
      </c>
      <c r="K281">
        <f t="shared" si="23"/>
        <v>2004</v>
      </c>
      <c r="L281" t="str">
        <f t="shared" si="24"/>
        <v>July</v>
      </c>
    </row>
    <row r="282" spans="1:12" x14ac:dyDescent="0.25">
      <c r="A282" t="s">
        <v>82</v>
      </c>
      <c r="C282" t="s">
        <v>262</v>
      </c>
      <c r="D282" t="str">
        <f t="shared" si="20"/>
        <v>Classic Cars</v>
      </c>
      <c r="E282" t="s">
        <v>278</v>
      </c>
      <c r="F282" s="5">
        <v>4364.82</v>
      </c>
      <c r="G282" s="5">
        <v>872.96399999999994</v>
      </c>
      <c r="I282" t="str">
        <f t="shared" si="21"/>
        <v>Low Sales</v>
      </c>
      <c r="J282" t="str">
        <f t="shared" si="22"/>
        <v>Average Performance</v>
      </c>
      <c r="K282">
        <f t="shared" si="23"/>
        <v>2004</v>
      </c>
      <c r="L282" t="str">
        <f t="shared" si="24"/>
        <v>August</v>
      </c>
    </row>
    <row r="283" spans="1:12" x14ac:dyDescent="0.25">
      <c r="A283" t="s">
        <v>133</v>
      </c>
      <c r="B283" t="s">
        <v>258</v>
      </c>
      <c r="C283" t="s">
        <v>262</v>
      </c>
      <c r="D283" t="str">
        <f t="shared" si="20"/>
        <v>Classic Cars</v>
      </c>
      <c r="E283" t="s">
        <v>278</v>
      </c>
      <c r="F283" s="5">
        <v>4242.24</v>
      </c>
      <c r="G283" s="5">
        <v>848.44799999999998</v>
      </c>
      <c r="I283" t="str">
        <f t="shared" si="21"/>
        <v>Low Sales</v>
      </c>
      <c r="J283" t="str">
        <f t="shared" si="22"/>
        <v>Average Performance</v>
      </c>
      <c r="K283">
        <f t="shared" si="23"/>
        <v>2004</v>
      </c>
      <c r="L283" t="str">
        <f t="shared" si="24"/>
        <v>September</v>
      </c>
    </row>
    <row r="284" spans="1:12" x14ac:dyDescent="0.25">
      <c r="A284" t="s">
        <v>84</v>
      </c>
      <c r="B284" t="s">
        <v>258</v>
      </c>
      <c r="C284" t="s">
        <v>262</v>
      </c>
      <c r="D284" t="str">
        <f t="shared" si="20"/>
        <v>Classic Cars</v>
      </c>
      <c r="E284" t="s">
        <v>278</v>
      </c>
      <c r="F284" s="5">
        <v>4982.7</v>
      </c>
      <c r="G284" s="5">
        <v>996.54</v>
      </c>
      <c r="I284" t="str">
        <f t="shared" si="21"/>
        <v>Low Sales</v>
      </c>
      <c r="J284" t="str">
        <f t="shared" si="22"/>
        <v>Average Performance</v>
      </c>
      <c r="K284">
        <f t="shared" si="23"/>
        <v>2004</v>
      </c>
      <c r="L284" t="str">
        <f t="shared" si="24"/>
        <v>October</v>
      </c>
    </row>
    <row r="285" spans="1:12" x14ac:dyDescent="0.25">
      <c r="A285" t="s">
        <v>102</v>
      </c>
      <c r="B285" t="s">
        <v>258</v>
      </c>
      <c r="C285" t="s">
        <v>262</v>
      </c>
      <c r="D285" t="str">
        <f t="shared" si="20"/>
        <v>Classic Cars</v>
      </c>
      <c r="E285" t="s">
        <v>278</v>
      </c>
      <c r="F285" s="5">
        <v>6393.54</v>
      </c>
      <c r="G285" s="5">
        <v>1278.7080000000001</v>
      </c>
      <c r="I285" t="str">
        <f t="shared" si="21"/>
        <v>Low Sales</v>
      </c>
      <c r="J285" t="str">
        <f t="shared" si="22"/>
        <v>Average Performance</v>
      </c>
      <c r="K285">
        <f t="shared" si="23"/>
        <v>2004</v>
      </c>
      <c r="L285" t="str">
        <f t="shared" si="24"/>
        <v>October</v>
      </c>
    </row>
    <row r="286" spans="1:12" x14ac:dyDescent="0.25">
      <c r="A286" t="s">
        <v>86</v>
      </c>
      <c r="C286" t="s">
        <v>262</v>
      </c>
      <c r="D286" t="str">
        <f t="shared" si="20"/>
        <v>Classic Cars</v>
      </c>
      <c r="E286" t="s">
        <v>278</v>
      </c>
      <c r="F286" s="5">
        <v>1466.91</v>
      </c>
      <c r="G286" s="5">
        <v>293.38200000000001</v>
      </c>
      <c r="I286" t="str">
        <f t="shared" si="21"/>
        <v>Low Sales</v>
      </c>
      <c r="J286" t="str">
        <f t="shared" si="22"/>
        <v>Average Performance</v>
      </c>
      <c r="K286">
        <f t="shared" si="23"/>
        <v>2004</v>
      </c>
      <c r="L286" t="str">
        <f t="shared" si="24"/>
        <v>November</v>
      </c>
    </row>
    <row r="287" spans="1:12" x14ac:dyDescent="0.25">
      <c r="A287" t="s">
        <v>134</v>
      </c>
      <c r="B287" t="s">
        <v>258</v>
      </c>
      <c r="C287" t="s">
        <v>262</v>
      </c>
      <c r="D287" t="str">
        <f t="shared" si="20"/>
        <v>Classic Cars</v>
      </c>
      <c r="E287" t="s">
        <v>278</v>
      </c>
      <c r="F287" s="5">
        <v>4059.33</v>
      </c>
      <c r="G287" s="5">
        <v>811.86599999999999</v>
      </c>
      <c r="I287" t="str">
        <f t="shared" si="21"/>
        <v>Low Sales</v>
      </c>
      <c r="J287" t="str">
        <f t="shared" si="22"/>
        <v>Average Performance</v>
      </c>
      <c r="K287">
        <f t="shared" si="23"/>
        <v>2004</v>
      </c>
      <c r="L287" t="str">
        <f t="shared" si="24"/>
        <v>November</v>
      </c>
    </row>
    <row r="288" spans="1:12" x14ac:dyDescent="0.25">
      <c r="A288" t="s">
        <v>85</v>
      </c>
      <c r="B288" t="s">
        <v>258</v>
      </c>
      <c r="C288" t="s">
        <v>262</v>
      </c>
      <c r="D288" t="str">
        <f t="shared" si="20"/>
        <v>Classic Cars</v>
      </c>
      <c r="E288" t="s">
        <v>278</v>
      </c>
      <c r="F288" s="5">
        <v>4801.5200000000004</v>
      </c>
      <c r="G288" s="5">
        <v>960.30400000000009</v>
      </c>
      <c r="I288" t="str">
        <f t="shared" si="21"/>
        <v>Low Sales</v>
      </c>
      <c r="J288" t="str">
        <f t="shared" si="22"/>
        <v>Average Performance</v>
      </c>
      <c r="K288">
        <f t="shared" si="23"/>
        <v>2004</v>
      </c>
      <c r="L288" t="str">
        <f t="shared" si="24"/>
        <v>November</v>
      </c>
    </row>
    <row r="289" spans="1:12" x14ac:dyDescent="0.25">
      <c r="A289" t="s">
        <v>54</v>
      </c>
      <c r="B289" t="s">
        <v>258</v>
      </c>
      <c r="C289" t="s">
        <v>262</v>
      </c>
      <c r="D289" t="str">
        <f t="shared" si="20"/>
        <v>Classic Cars</v>
      </c>
      <c r="E289" t="s">
        <v>278</v>
      </c>
      <c r="F289" s="5">
        <v>2711.66</v>
      </c>
      <c r="G289" s="5">
        <v>542.33199999999999</v>
      </c>
      <c r="I289" t="str">
        <f t="shared" si="21"/>
        <v>Low Sales</v>
      </c>
      <c r="J289" t="str">
        <f t="shared" si="22"/>
        <v>Average Performance</v>
      </c>
      <c r="K289">
        <f t="shared" si="23"/>
        <v>2004</v>
      </c>
      <c r="L289" t="str">
        <f t="shared" si="24"/>
        <v>December</v>
      </c>
    </row>
    <row r="290" spans="1:12" x14ac:dyDescent="0.25">
      <c r="A290" t="s">
        <v>142</v>
      </c>
      <c r="B290" t="s">
        <v>260</v>
      </c>
      <c r="C290" t="s">
        <v>262</v>
      </c>
      <c r="D290" t="str">
        <f t="shared" si="20"/>
        <v>Classic Cars</v>
      </c>
      <c r="E290" t="s">
        <v>278</v>
      </c>
      <c r="F290" s="5">
        <v>5862</v>
      </c>
      <c r="G290" s="5">
        <v>1172.4000000000001</v>
      </c>
      <c r="I290" t="str">
        <f t="shared" si="21"/>
        <v>Low Sales</v>
      </c>
      <c r="J290" t="str">
        <f t="shared" si="22"/>
        <v>Average Performance</v>
      </c>
      <c r="K290">
        <f t="shared" si="23"/>
        <v>2005</v>
      </c>
      <c r="L290" t="str">
        <f t="shared" si="24"/>
        <v>January</v>
      </c>
    </row>
    <row r="291" spans="1:12" x14ac:dyDescent="0.25">
      <c r="A291" t="s">
        <v>56</v>
      </c>
      <c r="C291" t="s">
        <v>262</v>
      </c>
      <c r="D291" t="str">
        <f t="shared" si="20"/>
        <v>Classic Cars</v>
      </c>
      <c r="E291" t="s">
        <v>278</v>
      </c>
      <c r="F291" s="5">
        <v>4071.85</v>
      </c>
      <c r="G291" s="5">
        <v>814.37</v>
      </c>
      <c r="I291" t="str">
        <f t="shared" si="21"/>
        <v>Low Sales</v>
      </c>
      <c r="J291" t="str">
        <f t="shared" si="22"/>
        <v>Average Performance</v>
      </c>
      <c r="K291">
        <f t="shared" si="23"/>
        <v>2005</v>
      </c>
      <c r="L291" t="str">
        <f t="shared" si="24"/>
        <v>February</v>
      </c>
    </row>
    <row r="292" spans="1:12" x14ac:dyDescent="0.25">
      <c r="A292" t="s">
        <v>136</v>
      </c>
      <c r="C292" t="s">
        <v>262</v>
      </c>
      <c r="D292" t="str">
        <f t="shared" si="20"/>
        <v>Classic Cars</v>
      </c>
      <c r="E292" t="s">
        <v>278</v>
      </c>
      <c r="F292" s="5">
        <v>8236.75</v>
      </c>
      <c r="G292" s="5">
        <v>1647.35</v>
      </c>
      <c r="I292" t="str">
        <f t="shared" si="21"/>
        <v>Low Sales</v>
      </c>
      <c r="J292" t="str">
        <f t="shared" si="22"/>
        <v>Average Performance</v>
      </c>
      <c r="K292">
        <f t="shared" si="23"/>
        <v>2005</v>
      </c>
      <c r="L292" t="str">
        <f t="shared" si="24"/>
        <v>May</v>
      </c>
    </row>
    <row r="293" spans="1:12" x14ac:dyDescent="0.25">
      <c r="A293" t="s">
        <v>104</v>
      </c>
      <c r="B293" t="s">
        <v>260</v>
      </c>
      <c r="C293" t="s">
        <v>262</v>
      </c>
      <c r="D293" t="str">
        <f t="shared" si="20"/>
        <v>Classic Cars</v>
      </c>
      <c r="E293" t="s">
        <v>279</v>
      </c>
      <c r="F293" s="5">
        <v>6130.35</v>
      </c>
      <c r="G293" s="5">
        <v>1226.07</v>
      </c>
      <c r="I293" t="str">
        <f t="shared" si="21"/>
        <v>Low Sales</v>
      </c>
      <c r="J293" t="str">
        <f t="shared" si="22"/>
        <v>Average Performance</v>
      </c>
      <c r="K293">
        <f t="shared" si="23"/>
        <v>2003</v>
      </c>
      <c r="L293" t="str">
        <f t="shared" si="24"/>
        <v>March</v>
      </c>
    </row>
    <row r="294" spans="1:12" x14ac:dyDescent="0.25">
      <c r="A294" t="s">
        <v>105</v>
      </c>
      <c r="B294" t="s">
        <v>258</v>
      </c>
      <c r="C294" t="s">
        <v>262</v>
      </c>
      <c r="D294" t="str">
        <f t="shared" si="20"/>
        <v>Classic Cars</v>
      </c>
      <c r="E294" t="s">
        <v>279</v>
      </c>
      <c r="F294" s="5">
        <v>3693.34</v>
      </c>
      <c r="G294" s="5">
        <v>738.66800000000012</v>
      </c>
      <c r="I294" t="str">
        <f t="shared" si="21"/>
        <v>Low Sales</v>
      </c>
      <c r="J294" t="str">
        <f t="shared" si="22"/>
        <v>Average Performance</v>
      </c>
      <c r="K294">
        <f t="shared" si="23"/>
        <v>2003</v>
      </c>
      <c r="L294" t="str">
        <f t="shared" si="24"/>
        <v>May</v>
      </c>
    </row>
    <row r="295" spans="1:12" x14ac:dyDescent="0.25">
      <c r="A295" t="s">
        <v>106</v>
      </c>
      <c r="C295" t="s">
        <v>262</v>
      </c>
      <c r="D295" t="str">
        <f t="shared" si="20"/>
        <v>Classic Cars</v>
      </c>
      <c r="E295" t="s">
        <v>279</v>
      </c>
      <c r="F295" s="5">
        <v>6031.68</v>
      </c>
      <c r="G295" s="5">
        <v>1206.336</v>
      </c>
      <c r="I295" t="str">
        <f t="shared" si="21"/>
        <v>Low Sales</v>
      </c>
      <c r="J295" t="str">
        <f t="shared" si="22"/>
        <v>Average Performance</v>
      </c>
      <c r="K295">
        <f t="shared" si="23"/>
        <v>2003</v>
      </c>
      <c r="L295" t="str">
        <f t="shared" si="24"/>
        <v>July</v>
      </c>
    </row>
    <row r="296" spans="1:12" x14ac:dyDescent="0.25">
      <c r="A296" t="s">
        <v>107</v>
      </c>
      <c r="C296" t="s">
        <v>262</v>
      </c>
      <c r="D296" t="str">
        <f t="shared" si="20"/>
        <v>Classic Cars</v>
      </c>
      <c r="E296" t="s">
        <v>279</v>
      </c>
      <c r="F296" s="5">
        <v>3494.94</v>
      </c>
      <c r="G296" s="5">
        <v>698.98800000000006</v>
      </c>
      <c r="I296" t="str">
        <f t="shared" si="21"/>
        <v>Low Sales</v>
      </c>
      <c r="J296" t="str">
        <f t="shared" si="22"/>
        <v>Average Performance</v>
      </c>
      <c r="K296">
        <f t="shared" si="23"/>
        <v>2003</v>
      </c>
      <c r="L296" t="str">
        <f t="shared" si="24"/>
        <v>September</v>
      </c>
    </row>
    <row r="297" spans="1:12" x14ac:dyDescent="0.25">
      <c r="A297" t="s">
        <v>143</v>
      </c>
      <c r="C297" t="s">
        <v>262</v>
      </c>
      <c r="D297" t="str">
        <f t="shared" si="20"/>
        <v>Classic Cars</v>
      </c>
      <c r="E297" t="s">
        <v>279</v>
      </c>
      <c r="F297" s="5">
        <v>5294.14</v>
      </c>
      <c r="G297" s="5">
        <v>1058.828</v>
      </c>
      <c r="I297" t="str">
        <f t="shared" si="21"/>
        <v>Low Sales</v>
      </c>
      <c r="J297" t="str">
        <f t="shared" si="22"/>
        <v>Average Performance</v>
      </c>
      <c r="K297">
        <f t="shared" si="23"/>
        <v>2003</v>
      </c>
      <c r="L297" t="str">
        <f t="shared" si="24"/>
        <v>October</v>
      </c>
    </row>
    <row r="298" spans="1:12" x14ac:dyDescent="0.25">
      <c r="A298" t="s">
        <v>108</v>
      </c>
      <c r="B298" t="s">
        <v>258</v>
      </c>
      <c r="C298" t="s">
        <v>262</v>
      </c>
      <c r="D298" t="str">
        <f t="shared" si="20"/>
        <v>Classic Cars</v>
      </c>
      <c r="E298" t="s">
        <v>279</v>
      </c>
      <c r="F298" s="5">
        <v>5464.69</v>
      </c>
      <c r="G298" s="5">
        <v>1092.9380000000001</v>
      </c>
      <c r="I298" t="str">
        <f t="shared" si="21"/>
        <v>Low Sales</v>
      </c>
      <c r="J298" t="str">
        <f t="shared" si="22"/>
        <v>Average Performance</v>
      </c>
      <c r="K298">
        <f t="shared" si="23"/>
        <v>2003</v>
      </c>
      <c r="L298" t="str">
        <f t="shared" si="24"/>
        <v>November</v>
      </c>
    </row>
    <row r="299" spans="1:12" x14ac:dyDescent="0.25">
      <c r="A299" t="s">
        <v>109</v>
      </c>
      <c r="B299" t="s">
        <v>258</v>
      </c>
      <c r="C299" t="s">
        <v>262</v>
      </c>
      <c r="D299" t="str">
        <f t="shared" si="20"/>
        <v>Classic Cars</v>
      </c>
      <c r="E299" t="s">
        <v>279</v>
      </c>
      <c r="F299" s="5">
        <v>2860.76</v>
      </c>
      <c r="G299" s="5">
        <v>572.15200000000004</v>
      </c>
      <c r="I299" t="str">
        <f t="shared" si="21"/>
        <v>Low Sales</v>
      </c>
      <c r="J299" t="str">
        <f t="shared" si="22"/>
        <v>Average Performance</v>
      </c>
      <c r="K299">
        <f t="shared" si="23"/>
        <v>2003</v>
      </c>
      <c r="L299" t="str">
        <f t="shared" si="24"/>
        <v>November</v>
      </c>
    </row>
    <row r="300" spans="1:12" x14ac:dyDescent="0.25">
      <c r="A300" t="s">
        <v>110</v>
      </c>
      <c r="B300" t="s">
        <v>258</v>
      </c>
      <c r="C300" t="s">
        <v>262</v>
      </c>
      <c r="D300" t="str">
        <f t="shared" si="20"/>
        <v>Classic Cars</v>
      </c>
      <c r="E300" t="s">
        <v>279</v>
      </c>
      <c r="F300" s="5">
        <v>5590</v>
      </c>
      <c r="G300" s="5">
        <v>1118</v>
      </c>
      <c r="I300" t="str">
        <f t="shared" si="21"/>
        <v>Low Sales</v>
      </c>
      <c r="J300" t="str">
        <f t="shared" si="22"/>
        <v>Average Performance</v>
      </c>
      <c r="K300">
        <f t="shared" si="23"/>
        <v>2003</v>
      </c>
      <c r="L300" t="str">
        <f t="shared" si="24"/>
        <v>November</v>
      </c>
    </row>
    <row r="301" spans="1:12" x14ac:dyDescent="0.25">
      <c r="A301" t="s">
        <v>111</v>
      </c>
      <c r="B301" t="s">
        <v>258</v>
      </c>
      <c r="C301" t="s">
        <v>262</v>
      </c>
      <c r="D301" t="str">
        <f t="shared" si="20"/>
        <v>Classic Cars</v>
      </c>
      <c r="E301" t="s">
        <v>279</v>
      </c>
      <c r="F301" s="5">
        <v>2254.8000000000002</v>
      </c>
      <c r="G301" s="5">
        <v>450.96</v>
      </c>
      <c r="I301" t="str">
        <f t="shared" si="21"/>
        <v>Low Sales</v>
      </c>
      <c r="J301" t="str">
        <f t="shared" si="22"/>
        <v>Average Performance</v>
      </c>
      <c r="K301">
        <f t="shared" si="23"/>
        <v>2003</v>
      </c>
      <c r="L301" t="str">
        <f t="shared" si="24"/>
        <v>December</v>
      </c>
    </row>
    <row r="302" spans="1:12" x14ac:dyDescent="0.25">
      <c r="A302" t="s">
        <v>144</v>
      </c>
      <c r="B302" t="s">
        <v>258</v>
      </c>
      <c r="C302" t="s">
        <v>262</v>
      </c>
      <c r="D302" t="str">
        <f t="shared" si="20"/>
        <v>Classic Cars</v>
      </c>
      <c r="E302" t="s">
        <v>279</v>
      </c>
      <c r="F302" s="5">
        <v>4946.76</v>
      </c>
      <c r="G302" s="5">
        <v>989.35200000000009</v>
      </c>
      <c r="I302" t="str">
        <f t="shared" si="21"/>
        <v>Low Sales</v>
      </c>
      <c r="J302" t="str">
        <f t="shared" si="22"/>
        <v>Average Performance</v>
      </c>
      <c r="K302">
        <f t="shared" si="23"/>
        <v>2004</v>
      </c>
      <c r="L302" t="str">
        <f t="shared" si="24"/>
        <v>January</v>
      </c>
    </row>
    <row r="303" spans="1:12" x14ac:dyDescent="0.25">
      <c r="A303" t="s">
        <v>112</v>
      </c>
      <c r="B303" t="s">
        <v>258</v>
      </c>
      <c r="C303" t="s">
        <v>262</v>
      </c>
      <c r="D303" t="str">
        <f t="shared" si="20"/>
        <v>Classic Cars</v>
      </c>
      <c r="E303" t="s">
        <v>279</v>
      </c>
      <c r="F303" s="5">
        <v>2495.5</v>
      </c>
      <c r="G303" s="5">
        <v>499.1</v>
      </c>
      <c r="I303" t="str">
        <f t="shared" si="21"/>
        <v>Low Sales</v>
      </c>
      <c r="J303" t="str">
        <f t="shared" si="22"/>
        <v>Average Performance</v>
      </c>
      <c r="K303">
        <f t="shared" si="23"/>
        <v>2004</v>
      </c>
      <c r="L303" t="str">
        <f t="shared" si="24"/>
        <v>February</v>
      </c>
    </row>
    <row r="304" spans="1:12" x14ac:dyDescent="0.25">
      <c r="A304" t="s">
        <v>113</v>
      </c>
      <c r="B304" t="s">
        <v>258</v>
      </c>
      <c r="C304" t="s">
        <v>262</v>
      </c>
      <c r="D304" t="str">
        <f t="shared" si="20"/>
        <v>Classic Cars</v>
      </c>
      <c r="E304" t="s">
        <v>279</v>
      </c>
      <c r="F304" s="5">
        <v>3167.38</v>
      </c>
      <c r="G304" s="5">
        <v>633.47600000000011</v>
      </c>
      <c r="I304" t="str">
        <f t="shared" si="21"/>
        <v>Low Sales</v>
      </c>
      <c r="J304" t="str">
        <f t="shared" si="22"/>
        <v>Average Performance</v>
      </c>
      <c r="K304">
        <f t="shared" si="23"/>
        <v>2004</v>
      </c>
      <c r="L304" t="str">
        <f t="shared" si="24"/>
        <v>April</v>
      </c>
    </row>
    <row r="305" spans="1:12" x14ac:dyDescent="0.25">
      <c r="A305" t="s">
        <v>114</v>
      </c>
      <c r="B305" t="s">
        <v>258</v>
      </c>
      <c r="C305" t="s">
        <v>262</v>
      </c>
      <c r="D305" t="str">
        <f t="shared" si="20"/>
        <v>Classic Cars</v>
      </c>
      <c r="E305" t="s">
        <v>279</v>
      </c>
      <c r="F305" s="5">
        <v>2402.84</v>
      </c>
      <c r="G305" s="5">
        <v>480.56799999999998</v>
      </c>
      <c r="I305" t="str">
        <f t="shared" si="21"/>
        <v>Low Sales</v>
      </c>
      <c r="J305" t="str">
        <f t="shared" si="22"/>
        <v>Average Performance</v>
      </c>
      <c r="K305">
        <f t="shared" si="23"/>
        <v>2004</v>
      </c>
      <c r="L305" t="str">
        <f t="shared" si="24"/>
        <v>June</v>
      </c>
    </row>
    <row r="306" spans="1:12" x14ac:dyDescent="0.25">
      <c r="A306" t="s">
        <v>115</v>
      </c>
      <c r="B306" t="s">
        <v>258</v>
      </c>
      <c r="C306" t="s">
        <v>262</v>
      </c>
      <c r="D306" t="str">
        <f t="shared" si="20"/>
        <v>Classic Cars</v>
      </c>
      <c r="E306" t="s">
        <v>279</v>
      </c>
      <c r="F306" s="5">
        <v>2454.54</v>
      </c>
      <c r="G306" s="5">
        <v>490.90800000000002</v>
      </c>
      <c r="I306" t="str">
        <f t="shared" si="21"/>
        <v>Low Sales</v>
      </c>
      <c r="J306" t="str">
        <f t="shared" si="22"/>
        <v>Average Performance</v>
      </c>
      <c r="K306">
        <f t="shared" si="23"/>
        <v>2004</v>
      </c>
      <c r="L306" t="str">
        <f t="shared" si="24"/>
        <v>July</v>
      </c>
    </row>
    <row r="307" spans="1:12" x14ac:dyDescent="0.25">
      <c r="A307" t="s">
        <v>116</v>
      </c>
      <c r="C307" t="s">
        <v>262</v>
      </c>
      <c r="D307" t="str">
        <f t="shared" si="20"/>
        <v>Classic Cars</v>
      </c>
      <c r="E307" t="s">
        <v>279</v>
      </c>
      <c r="F307" s="5">
        <v>5464.69</v>
      </c>
      <c r="G307" s="5">
        <v>1092.9380000000001</v>
      </c>
      <c r="I307" t="str">
        <f t="shared" si="21"/>
        <v>Low Sales</v>
      </c>
      <c r="J307" t="str">
        <f t="shared" si="22"/>
        <v>Average Performance</v>
      </c>
      <c r="K307">
        <f t="shared" si="23"/>
        <v>2004</v>
      </c>
      <c r="L307" t="str">
        <f t="shared" si="24"/>
        <v>August</v>
      </c>
    </row>
    <row r="308" spans="1:12" x14ac:dyDescent="0.25">
      <c r="A308" t="s">
        <v>117</v>
      </c>
      <c r="B308" t="s">
        <v>258</v>
      </c>
      <c r="C308" t="s">
        <v>262</v>
      </c>
      <c r="D308" t="str">
        <f t="shared" si="20"/>
        <v>Classic Cars</v>
      </c>
      <c r="E308" t="s">
        <v>279</v>
      </c>
      <c r="F308" s="5">
        <v>4756.5</v>
      </c>
      <c r="G308" s="5">
        <v>951.30000000000007</v>
      </c>
      <c r="I308" t="str">
        <f t="shared" si="21"/>
        <v>Low Sales</v>
      </c>
      <c r="J308" t="str">
        <f t="shared" si="22"/>
        <v>Average Performance</v>
      </c>
      <c r="K308">
        <f t="shared" si="23"/>
        <v>2004</v>
      </c>
      <c r="L308" t="str">
        <f t="shared" si="24"/>
        <v>August</v>
      </c>
    </row>
    <row r="309" spans="1:12" x14ac:dyDescent="0.25">
      <c r="A309" t="s">
        <v>118</v>
      </c>
      <c r="B309" t="s">
        <v>258</v>
      </c>
      <c r="C309" t="s">
        <v>262</v>
      </c>
      <c r="D309" t="str">
        <f t="shared" si="20"/>
        <v>Classic Cars</v>
      </c>
      <c r="E309" t="s">
        <v>279</v>
      </c>
      <c r="F309" s="5">
        <v>3984.6</v>
      </c>
      <c r="G309" s="5">
        <v>796.92000000000007</v>
      </c>
      <c r="I309" t="str">
        <f t="shared" si="21"/>
        <v>Low Sales</v>
      </c>
      <c r="J309" t="str">
        <f t="shared" si="22"/>
        <v>Average Performance</v>
      </c>
      <c r="K309">
        <f t="shared" si="23"/>
        <v>2003</v>
      </c>
      <c r="L309" t="str">
        <f t="shared" si="24"/>
        <v>October</v>
      </c>
    </row>
    <row r="310" spans="1:12" x14ac:dyDescent="0.25">
      <c r="A310" t="s">
        <v>119</v>
      </c>
      <c r="B310" t="s">
        <v>258</v>
      </c>
      <c r="C310" t="s">
        <v>262</v>
      </c>
      <c r="D310" t="str">
        <f t="shared" si="20"/>
        <v>Classic Cars</v>
      </c>
      <c r="E310" t="s">
        <v>279</v>
      </c>
      <c r="F310" s="5">
        <v>3100.32</v>
      </c>
      <c r="G310" s="5">
        <v>620.06400000000008</v>
      </c>
      <c r="I310" t="str">
        <f t="shared" si="21"/>
        <v>Low Sales</v>
      </c>
      <c r="J310" t="str">
        <f t="shared" si="22"/>
        <v>Average Performance</v>
      </c>
      <c r="K310">
        <f t="shared" si="23"/>
        <v>2004</v>
      </c>
      <c r="L310" t="str">
        <f t="shared" si="24"/>
        <v>October</v>
      </c>
    </row>
    <row r="311" spans="1:12" x14ac:dyDescent="0.25">
      <c r="A311" t="s">
        <v>120</v>
      </c>
      <c r="B311" t="s">
        <v>258</v>
      </c>
      <c r="C311" t="s">
        <v>262</v>
      </c>
      <c r="D311" t="str">
        <f t="shared" si="20"/>
        <v>Classic Cars</v>
      </c>
      <c r="E311" t="s">
        <v>279</v>
      </c>
      <c r="F311" s="5">
        <v>4850.3</v>
      </c>
      <c r="G311" s="5">
        <v>970.06000000000006</v>
      </c>
      <c r="I311" t="str">
        <f t="shared" si="21"/>
        <v>Low Sales</v>
      </c>
      <c r="J311" t="str">
        <f t="shared" si="22"/>
        <v>Average Performance</v>
      </c>
      <c r="K311">
        <f t="shared" si="23"/>
        <v>2004</v>
      </c>
      <c r="L311" t="str">
        <f t="shared" si="24"/>
        <v>November</v>
      </c>
    </row>
    <row r="312" spans="1:12" x14ac:dyDescent="0.25">
      <c r="A312" t="s">
        <v>25</v>
      </c>
      <c r="C312" t="s">
        <v>262</v>
      </c>
      <c r="D312" t="str">
        <f t="shared" si="20"/>
        <v>Classic Cars</v>
      </c>
      <c r="E312" t="s">
        <v>279</v>
      </c>
      <c r="F312" s="5">
        <v>3846.98</v>
      </c>
      <c r="G312" s="5">
        <v>769.39600000000007</v>
      </c>
      <c r="I312" t="str">
        <f t="shared" si="21"/>
        <v>Low Sales</v>
      </c>
      <c r="J312" t="str">
        <f t="shared" si="22"/>
        <v>Average Performance</v>
      </c>
      <c r="K312">
        <f t="shared" si="23"/>
        <v>2004</v>
      </c>
      <c r="L312" t="str">
        <f t="shared" si="24"/>
        <v>November</v>
      </c>
    </row>
    <row r="313" spans="1:12" x14ac:dyDescent="0.25">
      <c r="A313" t="s">
        <v>26</v>
      </c>
      <c r="B313" t="s">
        <v>258</v>
      </c>
      <c r="C313" t="s">
        <v>262</v>
      </c>
      <c r="D313" t="str">
        <f t="shared" si="20"/>
        <v>Classic Cars</v>
      </c>
      <c r="E313" t="s">
        <v>279</v>
      </c>
      <c r="F313" s="5">
        <v>4220.92</v>
      </c>
      <c r="G313" s="5">
        <v>844.18400000000008</v>
      </c>
      <c r="I313" t="str">
        <f t="shared" si="21"/>
        <v>Low Sales</v>
      </c>
      <c r="J313" t="str">
        <f t="shared" si="22"/>
        <v>Average Performance</v>
      </c>
      <c r="K313">
        <f t="shared" si="23"/>
        <v>2004</v>
      </c>
      <c r="L313" t="str">
        <f t="shared" si="24"/>
        <v>November</v>
      </c>
    </row>
    <row r="314" spans="1:12" x14ac:dyDescent="0.25">
      <c r="A314" t="s">
        <v>121</v>
      </c>
      <c r="B314" t="s">
        <v>258</v>
      </c>
      <c r="C314" t="s">
        <v>262</v>
      </c>
      <c r="D314" t="str">
        <f t="shared" si="20"/>
        <v>Classic Cars</v>
      </c>
      <c r="E314" t="s">
        <v>279</v>
      </c>
      <c r="F314" s="5">
        <v>3288.82</v>
      </c>
      <c r="G314" s="5">
        <v>657.76400000000012</v>
      </c>
      <c r="I314" t="str">
        <f t="shared" si="21"/>
        <v>Low Sales</v>
      </c>
      <c r="J314" t="str">
        <f t="shared" si="22"/>
        <v>Average Performance</v>
      </c>
      <c r="K314">
        <f t="shared" si="23"/>
        <v>2005</v>
      </c>
      <c r="L314" t="str">
        <f t="shared" si="24"/>
        <v>January</v>
      </c>
    </row>
    <row r="315" spans="1:12" x14ac:dyDescent="0.25">
      <c r="A315" t="s">
        <v>145</v>
      </c>
      <c r="C315" t="s">
        <v>262</v>
      </c>
      <c r="D315" t="str">
        <f t="shared" si="20"/>
        <v>Classic Cars</v>
      </c>
      <c r="E315" t="s">
        <v>279</v>
      </c>
      <c r="F315" s="5">
        <v>3987.2</v>
      </c>
      <c r="G315" s="5">
        <v>797.44</v>
      </c>
      <c r="I315" t="str">
        <f t="shared" si="21"/>
        <v>Low Sales</v>
      </c>
      <c r="J315" t="str">
        <f t="shared" si="22"/>
        <v>Average Performance</v>
      </c>
      <c r="K315">
        <f t="shared" si="23"/>
        <v>2005</v>
      </c>
      <c r="L315" t="str">
        <f t="shared" si="24"/>
        <v>February</v>
      </c>
    </row>
    <row r="316" spans="1:12" x14ac:dyDescent="0.25">
      <c r="A316" t="s">
        <v>29</v>
      </c>
      <c r="B316" t="s">
        <v>258</v>
      </c>
      <c r="C316" t="s">
        <v>262</v>
      </c>
      <c r="D316" t="str">
        <f t="shared" si="20"/>
        <v>Classic Cars</v>
      </c>
      <c r="E316" t="s">
        <v>279</v>
      </c>
      <c r="F316" s="5">
        <v>1809.5</v>
      </c>
      <c r="G316" s="5">
        <v>361.9</v>
      </c>
      <c r="I316" t="str">
        <f t="shared" si="21"/>
        <v>Low Sales</v>
      </c>
      <c r="J316" t="str">
        <f t="shared" si="22"/>
        <v>Average Performance</v>
      </c>
      <c r="K316">
        <f t="shared" si="23"/>
        <v>2005</v>
      </c>
      <c r="L316" t="str">
        <f t="shared" si="24"/>
        <v>March</v>
      </c>
    </row>
    <row r="317" spans="1:12" x14ac:dyDescent="0.25">
      <c r="A317" t="s">
        <v>122</v>
      </c>
      <c r="B317" t="s">
        <v>258</v>
      </c>
      <c r="C317" t="s">
        <v>262</v>
      </c>
      <c r="D317" t="str">
        <f t="shared" si="20"/>
        <v>Classic Cars</v>
      </c>
      <c r="E317" t="s">
        <v>279</v>
      </c>
      <c r="F317" s="5">
        <v>1092.2</v>
      </c>
      <c r="G317" s="5">
        <v>218.44</v>
      </c>
      <c r="I317" t="str">
        <f t="shared" si="21"/>
        <v>Low Sales</v>
      </c>
      <c r="J317" t="str">
        <f t="shared" si="22"/>
        <v>Average Performance</v>
      </c>
      <c r="K317">
        <f t="shared" si="23"/>
        <v>2005</v>
      </c>
      <c r="L317" t="str">
        <f t="shared" si="24"/>
        <v>May</v>
      </c>
    </row>
    <row r="318" spans="1:12" x14ac:dyDescent="0.25">
      <c r="A318" t="s">
        <v>68</v>
      </c>
      <c r="B318" t="s">
        <v>258</v>
      </c>
      <c r="C318" t="s">
        <v>262</v>
      </c>
      <c r="D318" t="str">
        <f t="shared" si="20"/>
        <v>Classic Cars</v>
      </c>
      <c r="E318" t="s">
        <v>280</v>
      </c>
      <c r="F318" s="5">
        <v>4566.05</v>
      </c>
      <c r="G318" s="5">
        <v>913.21</v>
      </c>
      <c r="I318" t="str">
        <f t="shared" si="21"/>
        <v>Low Sales</v>
      </c>
      <c r="J318" t="str">
        <f t="shared" si="22"/>
        <v>Average Performance</v>
      </c>
      <c r="K318">
        <f t="shared" si="23"/>
        <v>2003</v>
      </c>
      <c r="L318" t="str">
        <f t="shared" si="24"/>
        <v>February</v>
      </c>
    </row>
    <row r="319" spans="1:12" x14ac:dyDescent="0.25">
      <c r="A319" t="s">
        <v>123</v>
      </c>
      <c r="B319" t="s">
        <v>260</v>
      </c>
      <c r="C319" t="s">
        <v>262</v>
      </c>
      <c r="D319" t="str">
        <f t="shared" si="20"/>
        <v>Classic Cars</v>
      </c>
      <c r="E319" t="s">
        <v>280</v>
      </c>
      <c r="F319" s="5">
        <v>5938.14</v>
      </c>
      <c r="G319" s="5">
        <v>1187.6279999999999</v>
      </c>
      <c r="I319" t="str">
        <f t="shared" si="21"/>
        <v>Low Sales</v>
      </c>
      <c r="J319" t="str">
        <f t="shared" si="22"/>
        <v>Average Performance</v>
      </c>
      <c r="K319">
        <f t="shared" si="23"/>
        <v>2003</v>
      </c>
      <c r="L319" t="str">
        <f t="shared" si="24"/>
        <v>April</v>
      </c>
    </row>
    <row r="320" spans="1:12" x14ac:dyDescent="0.25">
      <c r="A320" t="s">
        <v>124</v>
      </c>
      <c r="C320" t="s">
        <v>262</v>
      </c>
      <c r="D320" t="str">
        <f t="shared" si="20"/>
        <v>Classic Cars</v>
      </c>
      <c r="E320" t="s">
        <v>280</v>
      </c>
      <c r="F320" s="5">
        <v>8138.76</v>
      </c>
      <c r="G320" s="5">
        <v>1627.752</v>
      </c>
      <c r="I320" t="str">
        <f t="shared" si="21"/>
        <v>Low Sales</v>
      </c>
      <c r="J320" t="str">
        <f t="shared" si="22"/>
        <v>Average Performance</v>
      </c>
      <c r="K320">
        <f t="shared" si="23"/>
        <v>2003</v>
      </c>
      <c r="L320" t="str">
        <f t="shared" si="24"/>
        <v>June</v>
      </c>
    </row>
    <row r="321" spans="1:12" x14ac:dyDescent="0.25">
      <c r="A321" t="s">
        <v>125</v>
      </c>
      <c r="C321" t="s">
        <v>262</v>
      </c>
      <c r="D321" t="str">
        <f t="shared" si="20"/>
        <v>Classic Cars</v>
      </c>
      <c r="E321" t="s">
        <v>280</v>
      </c>
      <c r="F321" s="5">
        <v>9470.94</v>
      </c>
      <c r="G321" s="5">
        <v>1894.1880000000001</v>
      </c>
      <c r="I321" t="str">
        <f t="shared" si="21"/>
        <v>Low Sales</v>
      </c>
      <c r="J321" t="str">
        <f t="shared" si="22"/>
        <v>Average Performance</v>
      </c>
      <c r="K321">
        <f t="shared" si="23"/>
        <v>2003</v>
      </c>
      <c r="L321" t="str">
        <f t="shared" si="24"/>
        <v>August</v>
      </c>
    </row>
    <row r="322" spans="1:12" x14ac:dyDescent="0.25">
      <c r="A322" t="s">
        <v>126</v>
      </c>
      <c r="B322" t="s">
        <v>258</v>
      </c>
      <c r="C322" t="s">
        <v>262</v>
      </c>
      <c r="D322" t="str">
        <f t="shared" si="20"/>
        <v>Classic Cars</v>
      </c>
      <c r="E322" t="s">
        <v>280</v>
      </c>
      <c r="F322" s="5">
        <v>7036.89</v>
      </c>
      <c r="G322" s="5">
        <v>1407.3779999999999</v>
      </c>
      <c r="I322" t="str">
        <f t="shared" si="21"/>
        <v>Low Sales</v>
      </c>
      <c r="J322" t="str">
        <f t="shared" si="22"/>
        <v>Average Performance</v>
      </c>
      <c r="K322">
        <f t="shared" si="23"/>
        <v>2003</v>
      </c>
      <c r="L322" t="str">
        <f t="shared" si="24"/>
        <v>September</v>
      </c>
    </row>
    <row r="323" spans="1:12" x14ac:dyDescent="0.25">
      <c r="A323" t="s">
        <v>127</v>
      </c>
      <c r="B323" t="s">
        <v>260</v>
      </c>
      <c r="C323" t="s">
        <v>262</v>
      </c>
      <c r="D323" t="str">
        <f t="shared" ref="D323:D386" si="25">PROPER(TRIM(C323))</f>
        <v>Classic Cars</v>
      </c>
      <c r="E323" t="s">
        <v>280</v>
      </c>
      <c r="F323" s="5">
        <v>5559.03</v>
      </c>
      <c r="G323" s="5">
        <v>1111.806</v>
      </c>
      <c r="I323" t="str">
        <f t="shared" ref="I323:I386" si="26">IF(F323&gt;50000,"High Sales","Low Sales")</f>
        <v>Low Sales</v>
      </c>
      <c r="J323" t="str">
        <f t="shared" ref="J323:J386" si="27">IF(AND(F323&gt;30000,G323&gt;5000),"Good Performance","Average Performance")</f>
        <v>Average Performance</v>
      </c>
      <c r="K323">
        <f t="shared" ref="K323:K386" si="28">YEAR(A323)</f>
        <v>2003</v>
      </c>
      <c r="L323" t="str">
        <f t="shared" ref="L323:L386" si="29">TEXT(A323,"mmmm")</f>
        <v>October</v>
      </c>
    </row>
    <row r="324" spans="1:12" x14ac:dyDescent="0.25">
      <c r="A324" t="s">
        <v>38</v>
      </c>
      <c r="B324" t="s">
        <v>258</v>
      </c>
      <c r="C324" t="s">
        <v>262</v>
      </c>
      <c r="D324" t="str">
        <f t="shared" si="25"/>
        <v>Classic Cars</v>
      </c>
      <c r="E324" t="s">
        <v>280</v>
      </c>
      <c r="F324" s="5">
        <v>7872.5</v>
      </c>
      <c r="G324" s="5">
        <v>1574.5</v>
      </c>
      <c r="I324" t="str">
        <f t="shared" si="26"/>
        <v>Low Sales</v>
      </c>
      <c r="J324" t="str">
        <f t="shared" si="27"/>
        <v>Average Performance</v>
      </c>
      <c r="K324">
        <f t="shared" si="28"/>
        <v>2003</v>
      </c>
      <c r="L324" t="str">
        <f t="shared" si="29"/>
        <v>November</v>
      </c>
    </row>
    <row r="325" spans="1:12" x14ac:dyDescent="0.25">
      <c r="A325" t="s">
        <v>75</v>
      </c>
      <c r="C325" t="s">
        <v>262</v>
      </c>
      <c r="D325" t="str">
        <f t="shared" si="25"/>
        <v>Classic Cars</v>
      </c>
      <c r="E325" t="s">
        <v>280</v>
      </c>
      <c r="F325" s="5">
        <v>7886.2</v>
      </c>
      <c r="G325" s="5">
        <v>1577.24</v>
      </c>
      <c r="I325" t="str">
        <f t="shared" si="26"/>
        <v>Low Sales</v>
      </c>
      <c r="J325" t="str">
        <f t="shared" si="27"/>
        <v>Average Performance</v>
      </c>
      <c r="K325">
        <f t="shared" si="28"/>
        <v>2003</v>
      </c>
      <c r="L325" t="str">
        <f t="shared" si="29"/>
        <v>November</v>
      </c>
    </row>
    <row r="326" spans="1:12" x14ac:dyDescent="0.25">
      <c r="A326" t="s">
        <v>76</v>
      </c>
      <c r="C326" t="s">
        <v>262</v>
      </c>
      <c r="D326" t="str">
        <f t="shared" si="25"/>
        <v>Classic Cars</v>
      </c>
      <c r="E326" t="s">
        <v>280</v>
      </c>
      <c r="F326" s="5">
        <v>7232.16</v>
      </c>
      <c r="G326" s="5">
        <v>1446.432</v>
      </c>
      <c r="I326" t="str">
        <f t="shared" si="26"/>
        <v>Low Sales</v>
      </c>
      <c r="J326" t="str">
        <f t="shared" si="27"/>
        <v>Average Performance</v>
      </c>
      <c r="K326">
        <f t="shared" si="28"/>
        <v>2003</v>
      </c>
      <c r="L326" t="str">
        <f t="shared" si="29"/>
        <v>November</v>
      </c>
    </row>
    <row r="327" spans="1:12" x14ac:dyDescent="0.25">
      <c r="A327" t="s">
        <v>128</v>
      </c>
      <c r="B327" t="s">
        <v>258</v>
      </c>
      <c r="C327" t="s">
        <v>262</v>
      </c>
      <c r="D327" t="str">
        <f t="shared" si="25"/>
        <v>Classic Cars</v>
      </c>
      <c r="E327" t="s">
        <v>280</v>
      </c>
      <c r="F327" s="5">
        <v>3114.4</v>
      </c>
      <c r="G327" s="5">
        <v>622.88000000000011</v>
      </c>
      <c r="I327" t="str">
        <f t="shared" si="26"/>
        <v>Low Sales</v>
      </c>
      <c r="J327" t="str">
        <f t="shared" si="27"/>
        <v>Average Performance</v>
      </c>
      <c r="K327">
        <f t="shared" si="28"/>
        <v>2004</v>
      </c>
      <c r="L327" t="str">
        <f t="shared" si="29"/>
        <v>January</v>
      </c>
    </row>
    <row r="328" spans="1:12" x14ac:dyDescent="0.25">
      <c r="A328" t="s">
        <v>129</v>
      </c>
      <c r="B328" t="s">
        <v>258</v>
      </c>
      <c r="C328" t="s">
        <v>262</v>
      </c>
      <c r="D328" t="str">
        <f t="shared" si="25"/>
        <v>Classic Cars</v>
      </c>
      <c r="E328" t="s">
        <v>280</v>
      </c>
      <c r="F328" s="5">
        <v>5045.22</v>
      </c>
      <c r="G328" s="5">
        <v>1009.044</v>
      </c>
      <c r="I328" t="str">
        <f t="shared" si="26"/>
        <v>Low Sales</v>
      </c>
      <c r="J328" t="str">
        <f t="shared" si="27"/>
        <v>Average Performance</v>
      </c>
      <c r="K328">
        <f t="shared" si="28"/>
        <v>2004</v>
      </c>
      <c r="L328" t="str">
        <f t="shared" si="29"/>
        <v>February</v>
      </c>
    </row>
    <row r="329" spans="1:12" x14ac:dyDescent="0.25">
      <c r="A329" t="s">
        <v>130</v>
      </c>
      <c r="B329" t="s">
        <v>258</v>
      </c>
      <c r="C329" t="s">
        <v>262</v>
      </c>
      <c r="D329" t="str">
        <f t="shared" si="25"/>
        <v>Classic Cars</v>
      </c>
      <c r="E329" t="s">
        <v>280</v>
      </c>
      <c r="F329" s="5">
        <v>6952.12</v>
      </c>
      <c r="G329" s="5">
        <v>1390.424</v>
      </c>
      <c r="I329" t="str">
        <f t="shared" si="26"/>
        <v>Low Sales</v>
      </c>
      <c r="J329" t="str">
        <f t="shared" si="27"/>
        <v>Average Performance</v>
      </c>
      <c r="K329">
        <f t="shared" si="28"/>
        <v>2004</v>
      </c>
      <c r="L329" t="str">
        <f t="shared" si="29"/>
        <v>March</v>
      </c>
    </row>
    <row r="330" spans="1:12" x14ac:dyDescent="0.25">
      <c r="A330" t="s">
        <v>131</v>
      </c>
      <c r="B330" t="s">
        <v>258</v>
      </c>
      <c r="C330" t="s">
        <v>262</v>
      </c>
      <c r="D330" t="str">
        <f t="shared" si="25"/>
        <v>Classic Cars</v>
      </c>
      <c r="E330" t="s">
        <v>280</v>
      </c>
      <c r="F330" s="5">
        <v>4157.7299999999996</v>
      </c>
      <c r="G330" s="5">
        <v>831.54599999999994</v>
      </c>
      <c r="I330" t="str">
        <f t="shared" si="26"/>
        <v>Low Sales</v>
      </c>
      <c r="J330" t="str">
        <f t="shared" si="27"/>
        <v>Average Performance</v>
      </c>
      <c r="K330">
        <f t="shared" si="28"/>
        <v>2004</v>
      </c>
      <c r="L330" t="str">
        <f t="shared" si="29"/>
        <v>May</v>
      </c>
    </row>
    <row r="331" spans="1:12" x14ac:dyDescent="0.25">
      <c r="A331" t="s">
        <v>132</v>
      </c>
      <c r="C331" t="s">
        <v>262</v>
      </c>
      <c r="D331" t="str">
        <f t="shared" si="25"/>
        <v>Classic Cars</v>
      </c>
      <c r="E331" t="s">
        <v>280</v>
      </c>
      <c r="F331" s="5">
        <v>7962.24</v>
      </c>
      <c r="G331" s="5">
        <v>1592.4480000000001</v>
      </c>
      <c r="I331" t="str">
        <f t="shared" si="26"/>
        <v>Low Sales</v>
      </c>
      <c r="J331" t="str">
        <f t="shared" si="27"/>
        <v>Average Performance</v>
      </c>
      <c r="K331">
        <f t="shared" si="28"/>
        <v>2004</v>
      </c>
      <c r="L331" t="str">
        <f t="shared" si="29"/>
        <v>July</v>
      </c>
    </row>
    <row r="332" spans="1:12" x14ac:dyDescent="0.25">
      <c r="A332" t="s">
        <v>82</v>
      </c>
      <c r="C332" t="s">
        <v>262</v>
      </c>
      <c r="D332" t="str">
        <f t="shared" si="25"/>
        <v>Classic Cars</v>
      </c>
      <c r="E332" t="s">
        <v>280</v>
      </c>
      <c r="F332" s="5">
        <v>3778.8</v>
      </c>
      <c r="G332" s="5">
        <v>755.7600000000001</v>
      </c>
      <c r="I332" t="str">
        <f t="shared" si="26"/>
        <v>Low Sales</v>
      </c>
      <c r="J332" t="str">
        <f t="shared" si="27"/>
        <v>Average Performance</v>
      </c>
      <c r="K332">
        <f t="shared" si="28"/>
        <v>2004</v>
      </c>
      <c r="L332" t="str">
        <f t="shared" si="29"/>
        <v>August</v>
      </c>
    </row>
    <row r="333" spans="1:12" x14ac:dyDescent="0.25">
      <c r="A333" t="s">
        <v>133</v>
      </c>
      <c r="B333" t="s">
        <v>258</v>
      </c>
      <c r="C333" t="s">
        <v>262</v>
      </c>
      <c r="D333" t="str">
        <f t="shared" si="25"/>
        <v>Classic Cars</v>
      </c>
      <c r="E333" t="s">
        <v>280</v>
      </c>
      <c r="F333" s="5">
        <v>8253</v>
      </c>
      <c r="G333" s="5">
        <v>1650.6</v>
      </c>
      <c r="I333" t="str">
        <f t="shared" si="26"/>
        <v>Low Sales</v>
      </c>
      <c r="J333" t="str">
        <f t="shared" si="27"/>
        <v>Average Performance</v>
      </c>
      <c r="K333">
        <f t="shared" si="28"/>
        <v>2004</v>
      </c>
      <c r="L333" t="str">
        <f t="shared" si="29"/>
        <v>September</v>
      </c>
    </row>
    <row r="334" spans="1:12" x14ac:dyDescent="0.25">
      <c r="A334" t="s">
        <v>84</v>
      </c>
      <c r="B334" t="s">
        <v>258</v>
      </c>
      <c r="C334" t="s">
        <v>262</v>
      </c>
      <c r="D334" t="str">
        <f t="shared" si="25"/>
        <v>Classic Cars</v>
      </c>
      <c r="E334" t="s">
        <v>280</v>
      </c>
      <c r="F334" s="5">
        <v>3633.4</v>
      </c>
      <c r="G334" s="5">
        <v>726.68000000000006</v>
      </c>
      <c r="I334" t="str">
        <f t="shared" si="26"/>
        <v>Low Sales</v>
      </c>
      <c r="J334" t="str">
        <f t="shared" si="27"/>
        <v>Average Performance</v>
      </c>
      <c r="K334">
        <f t="shared" si="28"/>
        <v>2004</v>
      </c>
      <c r="L334" t="str">
        <f t="shared" si="29"/>
        <v>October</v>
      </c>
    </row>
    <row r="335" spans="1:12" x14ac:dyDescent="0.25">
      <c r="A335" t="s">
        <v>102</v>
      </c>
      <c r="B335" t="s">
        <v>258</v>
      </c>
      <c r="C335" t="s">
        <v>262</v>
      </c>
      <c r="D335" t="str">
        <f t="shared" si="25"/>
        <v>Classic Cars</v>
      </c>
      <c r="E335" t="s">
        <v>280</v>
      </c>
      <c r="F335" s="5">
        <v>6913.8</v>
      </c>
      <c r="G335" s="5">
        <v>1382.76</v>
      </c>
      <c r="I335" t="str">
        <f t="shared" si="26"/>
        <v>Low Sales</v>
      </c>
      <c r="J335" t="str">
        <f t="shared" si="27"/>
        <v>Average Performance</v>
      </c>
      <c r="K335">
        <f t="shared" si="28"/>
        <v>2004</v>
      </c>
      <c r="L335" t="str">
        <f t="shared" si="29"/>
        <v>October</v>
      </c>
    </row>
    <row r="336" spans="1:12" x14ac:dyDescent="0.25">
      <c r="A336" t="s">
        <v>86</v>
      </c>
      <c r="B336" t="s">
        <v>258</v>
      </c>
      <c r="C336" t="s">
        <v>262</v>
      </c>
      <c r="D336" t="str">
        <f t="shared" si="25"/>
        <v>Classic Cars</v>
      </c>
      <c r="E336" t="s">
        <v>280</v>
      </c>
      <c r="F336" s="5">
        <v>2583.6</v>
      </c>
      <c r="G336" s="5">
        <v>516.72</v>
      </c>
      <c r="I336" t="str">
        <f t="shared" si="26"/>
        <v>Low Sales</v>
      </c>
      <c r="J336" t="str">
        <f t="shared" si="27"/>
        <v>Average Performance</v>
      </c>
      <c r="K336">
        <f t="shared" si="28"/>
        <v>2004</v>
      </c>
      <c r="L336" t="str">
        <f t="shared" si="29"/>
        <v>November</v>
      </c>
    </row>
    <row r="337" spans="1:12" x14ac:dyDescent="0.25">
      <c r="A337" t="s">
        <v>134</v>
      </c>
      <c r="B337" t="s">
        <v>258</v>
      </c>
      <c r="C337" t="s">
        <v>262</v>
      </c>
      <c r="D337" t="str">
        <f t="shared" si="25"/>
        <v>Classic Cars</v>
      </c>
      <c r="E337" t="s">
        <v>280</v>
      </c>
      <c r="F337" s="5">
        <v>3105.62</v>
      </c>
      <c r="G337" s="5">
        <v>621.12400000000002</v>
      </c>
      <c r="I337" t="str">
        <f t="shared" si="26"/>
        <v>Low Sales</v>
      </c>
      <c r="J337" t="str">
        <f t="shared" si="27"/>
        <v>Average Performance</v>
      </c>
      <c r="K337">
        <f t="shared" si="28"/>
        <v>2004</v>
      </c>
      <c r="L337" t="str">
        <f t="shared" si="29"/>
        <v>November</v>
      </c>
    </row>
    <row r="338" spans="1:12" x14ac:dyDescent="0.25">
      <c r="A338" t="s">
        <v>146</v>
      </c>
      <c r="C338" t="s">
        <v>262</v>
      </c>
      <c r="D338" t="str">
        <f t="shared" si="25"/>
        <v>Classic Cars</v>
      </c>
      <c r="E338" t="s">
        <v>280</v>
      </c>
      <c r="F338" s="5">
        <v>4408.5600000000004</v>
      </c>
      <c r="G338" s="5">
        <v>881.7120000000001</v>
      </c>
      <c r="I338" t="str">
        <f t="shared" si="26"/>
        <v>Low Sales</v>
      </c>
      <c r="J338" t="str">
        <f t="shared" si="27"/>
        <v>Average Performance</v>
      </c>
      <c r="K338">
        <f t="shared" si="28"/>
        <v>2004</v>
      </c>
      <c r="L338" t="str">
        <f t="shared" si="29"/>
        <v>December</v>
      </c>
    </row>
    <row r="339" spans="1:12" x14ac:dyDescent="0.25">
      <c r="A339" t="s">
        <v>89</v>
      </c>
      <c r="B339" t="s">
        <v>258</v>
      </c>
      <c r="C339" t="s">
        <v>262</v>
      </c>
      <c r="D339" t="str">
        <f t="shared" si="25"/>
        <v>Classic Cars</v>
      </c>
      <c r="E339" t="s">
        <v>280</v>
      </c>
      <c r="F339" s="5">
        <v>3042.41</v>
      </c>
      <c r="G339" s="5">
        <v>608.48199999999997</v>
      </c>
      <c r="I339" t="str">
        <f t="shared" si="26"/>
        <v>Low Sales</v>
      </c>
      <c r="J339" t="str">
        <f t="shared" si="27"/>
        <v>Average Performance</v>
      </c>
      <c r="K339">
        <f t="shared" si="28"/>
        <v>2004</v>
      </c>
      <c r="L339" t="str">
        <f t="shared" si="29"/>
        <v>December</v>
      </c>
    </row>
    <row r="340" spans="1:12" x14ac:dyDescent="0.25">
      <c r="A340" t="s">
        <v>142</v>
      </c>
      <c r="B340" t="s">
        <v>260</v>
      </c>
      <c r="C340" t="s">
        <v>262</v>
      </c>
      <c r="D340" t="str">
        <f t="shared" si="25"/>
        <v>Classic Cars</v>
      </c>
      <c r="E340" t="s">
        <v>280</v>
      </c>
      <c r="F340" s="5">
        <v>5941.5</v>
      </c>
      <c r="G340" s="5">
        <v>1188.3</v>
      </c>
      <c r="I340" t="str">
        <f t="shared" si="26"/>
        <v>Low Sales</v>
      </c>
      <c r="J340" t="str">
        <f t="shared" si="27"/>
        <v>Average Performance</v>
      </c>
      <c r="K340">
        <f t="shared" si="28"/>
        <v>2005</v>
      </c>
      <c r="L340" t="str">
        <f t="shared" si="29"/>
        <v>January</v>
      </c>
    </row>
    <row r="341" spans="1:12" x14ac:dyDescent="0.25">
      <c r="A341" t="s">
        <v>56</v>
      </c>
      <c r="C341" t="s">
        <v>262</v>
      </c>
      <c r="D341" t="str">
        <f t="shared" si="25"/>
        <v>Classic Cars</v>
      </c>
      <c r="E341" t="s">
        <v>280</v>
      </c>
      <c r="F341" s="5">
        <v>3241.9</v>
      </c>
      <c r="G341" s="5">
        <v>648.38000000000011</v>
      </c>
      <c r="I341" t="str">
        <f t="shared" si="26"/>
        <v>Low Sales</v>
      </c>
      <c r="J341" t="str">
        <f t="shared" si="27"/>
        <v>Average Performance</v>
      </c>
      <c r="K341">
        <f t="shared" si="28"/>
        <v>2005</v>
      </c>
      <c r="L341" t="str">
        <f t="shared" si="29"/>
        <v>February</v>
      </c>
    </row>
    <row r="342" spans="1:12" x14ac:dyDescent="0.25">
      <c r="A342" t="s">
        <v>147</v>
      </c>
      <c r="C342" t="s">
        <v>262</v>
      </c>
      <c r="D342" t="str">
        <f t="shared" si="25"/>
        <v>Classic Cars</v>
      </c>
      <c r="E342" t="s">
        <v>280</v>
      </c>
      <c r="F342" s="5">
        <v>6109.29</v>
      </c>
      <c r="G342" s="5">
        <v>1221.8579999999999</v>
      </c>
      <c r="I342" t="str">
        <f t="shared" si="26"/>
        <v>Low Sales</v>
      </c>
      <c r="J342" t="str">
        <f t="shared" si="27"/>
        <v>Average Performance</v>
      </c>
      <c r="K342">
        <f t="shared" si="28"/>
        <v>2005</v>
      </c>
      <c r="L342" t="str">
        <f t="shared" si="29"/>
        <v>March</v>
      </c>
    </row>
    <row r="343" spans="1:12" x14ac:dyDescent="0.25">
      <c r="A343" t="s">
        <v>136</v>
      </c>
      <c r="C343" t="s">
        <v>262</v>
      </c>
      <c r="D343" t="str">
        <f t="shared" si="25"/>
        <v>Classic Cars</v>
      </c>
      <c r="E343" t="s">
        <v>280</v>
      </c>
      <c r="F343" s="5">
        <v>3387.78</v>
      </c>
      <c r="G343" s="5">
        <v>677.55600000000004</v>
      </c>
      <c r="I343" t="str">
        <f t="shared" si="26"/>
        <v>Low Sales</v>
      </c>
      <c r="J343" t="str">
        <f t="shared" si="27"/>
        <v>Average Performance</v>
      </c>
      <c r="K343">
        <f t="shared" si="28"/>
        <v>2005</v>
      </c>
      <c r="L343" t="str">
        <f t="shared" si="29"/>
        <v>May</v>
      </c>
    </row>
    <row r="344" spans="1:12" x14ac:dyDescent="0.25">
      <c r="A344" t="s">
        <v>104</v>
      </c>
      <c r="B344" t="s">
        <v>260</v>
      </c>
      <c r="C344" t="s">
        <v>262</v>
      </c>
      <c r="D344" t="str">
        <f t="shared" si="25"/>
        <v>Classic Cars</v>
      </c>
      <c r="E344" t="s">
        <v>281</v>
      </c>
      <c r="F344" s="5">
        <v>3485.82</v>
      </c>
      <c r="G344" s="5">
        <v>697.1640000000001</v>
      </c>
      <c r="I344" t="str">
        <f t="shared" si="26"/>
        <v>Low Sales</v>
      </c>
      <c r="J344" t="str">
        <f t="shared" si="27"/>
        <v>Average Performance</v>
      </c>
      <c r="K344">
        <f t="shared" si="28"/>
        <v>2003</v>
      </c>
      <c r="L344" t="str">
        <f t="shared" si="29"/>
        <v>March</v>
      </c>
    </row>
    <row r="345" spans="1:12" x14ac:dyDescent="0.25">
      <c r="A345" t="s">
        <v>105</v>
      </c>
      <c r="B345" t="s">
        <v>258</v>
      </c>
      <c r="C345" t="s">
        <v>262</v>
      </c>
      <c r="D345" t="str">
        <f t="shared" si="25"/>
        <v>Classic Cars</v>
      </c>
      <c r="E345" t="s">
        <v>281</v>
      </c>
      <c r="F345" s="5">
        <v>2042.88</v>
      </c>
      <c r="G345" s="5">
        <v>408.57600000000002</v>
      </c>
      <c r="I345" t="str">
        <f t="shared" si="26"/>
        <v>Low Sales</v>
      </c>
      <c r="J345" t="str">
        <f t="shared" si="27"/>
        <v>Average Performance</v>
      </c>
      <c r="K345">
        <f t="shared" si="28"/>
        <v>2003</v>
      </c>
      <c r="L345" t="str">
        <f t="shared" si="29"/>
        <v>May</v>
      </c>
    </row>
    <row r="346" spans="1:12" x14ac:dyDescent="0.25">
      <c r="A346" t="s">
        <v>106</v>
      </c>
      <c r="C346" t="s">
        <v>262</v>
      </c>
      <c r="D346" t="str">
        <f t="shared" si="25"/>
        <v>Classic Cars</v>
      </c>
      <c r="E346" t="s">
        <v>281</v>
      </c>
      <c r="F346" s="5">
        <v>1800.24</v>
      </c>
      <c r="G346" s="5">
        <v>360.048</v>
      </c>
      <c r="I346" t="str">
        <f t="shared" si="26"/>
        <v>Low Sales</v>
      </c>
      <c r="J346" t="str">
        <f t="shared" si="27"/>
        <v>Average Performance</v>
      </c>
      <c r="K346">
        <f t="shared" si="28"/>
        <v>2003</v>
      </c>
      <c r="L346" t="str">
        <f t="shared" si="29"/>
        <v>July</v>
      </c>
    </row>
    <row r="347" spans="1:12" x14ac:dyDescent="0.25">
      <c r="A347" t="s">
        <v>107</v>
      </c>
      <c r="C347" t="s">
        <v>262</v>
      </c>
      <c r="D347" t="str">
        <f t="shared" si="25"/>
        <v>Classic Cars</v>
      </c>
      <c r="E347" t="s">
        <v>281</v>
      </c>
      <c r="F347" s="5">
        <v>1340.64</v>
      </c>
      <c r="G347" s="5">
        <v>268.12799999999999</v>
      </c>
      <c r="I347" t="str">
        <f t="shared" si="26"/>
        <v>Low Sales</v>
      </c>
      <c r="J347" t="str">
        <f t="shared" si="27"/>
        <v>Average Performance</v>
      </c>
      <c r="K347">
        <f t="shared" si="28"/>
        <v>2003</v>
      </c>
      <c r="L347" t="str">
        <f t="shared" si="29"/>
        <v>September</v>
      </c>
    </row>
    <row r="348" spans="1:12" x14ac:dyDescent="0.25">
      <c r="A348" t="s">
        <v>10</v>
      </c>
      <c r="C348" t="s">
        <v>262</v>
      </c>
      <c r="D348" t="str">
        <f t="shared" si="25"/>
        <v>Classic Cars</v>
      </c>
      <c r="E348" t="s">
        <v>281</v>
      </c>
      <c r="F348" s="5">
        <v>1762.08</v>
      </c>
      <c r="G348" s="5">
        <v>352.416</v>
      </c>
      <c r="I348" t="str">
        <f t="shared" si="26"/>
        <v>Low Sales</v>
      </c>
      <c r="J348" t="str">
        <f t="shared" si="27"/>
        <v>Average Performance</v>
      </c>
      <c r="K348">
        <f t="shared" si="28"/>
        <v>2003</v>
      </c>
      <c r="L348" t="str">
        <f t="shared" si="29"/>
        <v>October</v>
      </c>
    </row>
    <row r="349" spans="1:12" x14ac:dyDescent="0.25">
      <c r="A349" t="s">
        <v>108</v>
      </c>
      <c r="B349" t="s">
        <v>259</v>
      </c>
      <c r="C349" t="s">
        <v>262</v>
      </c>
      <c r="D349" t="str">
        <f t="shared" si="25"/>
        <v>Classic Cars</v>
      </c>
      <c r="E349" t="s">
        <v>281</v>
      </c>
      <c r="F349" s="5">
        <v>2298.2399999999998</v>
      </c>
      <c r="G349" s="5">
        <v>459.64800000000002</v>
      </c>
      <c r="I349" t="str">
        <f t="shared" si="26"/>
        <v>Low Sales</v>
      </c>
      <c r="J349" t="str">
        <f t="shared" si="27"/>
        <v>Average Performance</v>
      </c>
      <c r="K349">
        <f t="shared" si="28"/>
        <v>2003</v>
      </c>
      <c r="L349" t="str">
        <f t="shared" si="29"/>
        <v>November</v>
      </c>
    </row>
    <row r="350" spans="1:12" x14ac:dyDescent="0.25">
      <c r="A350" t="s">
        <v>109</v>
      </c>
      <c r="B350" t="s">
        <v>258</v>
      </c>
      <c r="C350" t="s">
        <v>262</v>
      </c>
      <c r="D350" t="str">
        <f t="shared" si="25"/>
        <v>Classic Cars</v>
      </c>
      <c r="E350" t="s">
        <v>281</v>
      </c>
      <c r="F350" s="5">
        <v>1628</v>
      </c>
      <c r="G350" s="5">
        <v>325.60000000000002</v>
      </c>
      <c r="I350" t="str">
        <f t="shared" si="26"/>
        <v>Low Sales</v>
      </c>
      <c r="J350" t="str">
        <f t="shared" si="27"/>
        <v>Average Performance</v>
      </c>
      <c r="K350">
        <f t="shared" si="28"/>
        <v>2003</v>
      </c>
      <c r="L350" t="str">
        <f t="shared" si="29"/>
        <v>November</v>
      </c>
    </row>
    <row r="351" spans="1:12" x14ac:dyDescent="0.25">
      <c r="A351" t="s">
        <v>110</v>
      </c>
      <c r="B351" t="s">
        <v>258</v>
      </c>
      <c r="C351" t="s">
        <v>262</v>
      </c>
      <c r="D351" t="str">
        <f t="shared" si="25"/>
        <v>Classic Cars</v>
      </c>
      <c r="E351" t="s">
        <v>281</v>
      </c>
      <c r="F351" s="5">
        <v>1939.2</v>
      </c>
      <c r="G351" s="5">
        <v>387.84</v>
      </c>
      <c r="I351" t="str">
        <f t="shared" si="26"/>
        <v>Low Sales</v>
      </c>
      <c r="J351" t="str">
        <f t="shared" si="27"/>
        <v>Average Performance</v>
      </c>
      <c r="K351">
        <f t="shared" si="28"/>
        <v>2003</v>
      </c>
      <c r="L351" t="str">
        <f t="shared" si="29"/>
        <v>November</v>
      </c>
    </row>
    <row r="352" spans="1:12" x14ac:dyDescent="0.25">
      <c r="A352" t="s">
        <v>111</v>
      </c>
      <c r="B352" t="s">
        <v>258</v>
      </c>
      <c r="C352" t="s">
        <v>262</v>
      </c>
      <c r="D352" t="str">
        <f t="shared" si="25"/>
        <v>Classic Cars</v>
      </c>
      <c r="E352" t="s">
        <v>281</v>
      </c>
      <c r="F352" s="5">
        <v>3651.56</v>
      </c>
      <c r="G352" s="5">
        <v>730.31200000000001</v>
      </c>
      <c r="I352" t="str">
        <f t="shared" si="26"/>
        <v>Low Sales</v>
      </c>
      <c r="J352" t="str">
        <f t="shared" si="27"/>
        <v>Average Performance</v>
      </c>
      <c r="K352">
        <f t="shared" si="28"/>
        <v>2003</v>
      </c>
      <c r="L352" t="str">
        <f t="shared" si="29"/>
        <v>December</v>
      </c>
    </row>
    <row r="353" spans="1:12" x14ac:dyDescent="0.25">
      <c r="A353" t="s">
        <v>15</v>
      </c>
      <c r="B353" t="s">
        <v>258</v>
      </c>
      <c r="C353" t="s">
        <v>262</v>
      </c>
      <c r="D353" t="str">
        <f t="shared" si="25"/>
        <v>Classic Cars</v>
      </c>
      <c r="E353" t="s">
        <v>281</v>
      </c>
      <c r="F353" s="5">
        <v>2591.96</v>
      </c>
      <c r="G353" s="5">
        <v>518.39200000000005</v>
      </c>
      <c r="I353" t="str">
        <f t="shared" si="26"/>
        <v>Low Sales</v>
      </c>
      <c r="J353" t="str">
        <f t="shared" si="27"/>
        <v>Average Performance</v>
      </c>
      <c r="K353">
        <f t="shared" si="28"/>
        <v>2004</v>
      </c>
      <c r="L353" t="str">
        <f t="shared" si="29"/>
        <v>January</v>
      </c>
    </row>
    <row r="354" spans="1:12" x14ac:dyDescent="0.25">
      <c r="A354" t="s">
        <v>112</v>
      </c>
      <c r="B354" t="s">
        <v>258</v>
      </c>
      <c r="C354" t="s">
        <v>262</v>
      </c>
      <c r="D354" t="str">
        <f t="shared" si="25"/>
        <v>Classic Cars</v>
      </c>
      <c r="E354" t="s">
        <v>281</v>
      </c>
      <c r="F354" s="5">
        <v>2864.17</v>
      </c>
      <c r="G354" s="5">
        <v>572.83400000000006</v>
      </c>
      <c r="I354" t="str">
        <f t="shared" si="26"/>
        <v>Low Sales</v>
      </c>
      <c r="J354" t="str">
        <f t="shared" si="27"/>
        <v>Average Performance</v>
      </c>
      <c r="K354">
        <f t="shared" si="28"/>
        <v>2004</v>
      </c>
      <c r="L354" t="str">
        <f t="shared" si="29"/>
        <v>February</v>
      </c>
    </row>
    <row r="355" spans="1:12" x14ac:dyDescent="0.25">
      <c r="A355" t="s">
        <v>113</v>
      </c>
      <c r="B355" t="s">
        <v>258</v>
      </c>
      <c r="C355" t="s">
        <v>262</v>
      </c>
      <c r="D355" t="str">
        <f t="shared" si="25"/>
        <v>Classic Cars</v>
      </c>
      <c r="E355" t="s">
        <v>281</v>
      </c>
      <c r="F355" s="5">
        <v>1484.2</v>
      </c>
      <c r="G355" s="5">
        <v>296.83999999999997</v>
      </c>
      <c r="I355" t="str">
        <f t="shared" si="26"/>
        <v>Low Sales</v>
      </c>
      <c r="J355" t="str">
        <f t="shared" si="27"/>
        <v>Average Performance</v>
      </c>
      <c r="K355">
        <f t="shared" si="28"/>
        <v>2004</v>
      </c>
      <c r="L355" t="str">
        <f t="shared" si="29"/>
        <v>April</v>
      </c>
    </row>
    <row r="356" spans="1:12" x14ac:dyDescent="0.25">
      <c r="A356" t="s">
        <v>114</v>
      </c>
      <c r="B356" t="s">
        <v>258</v>
      </c>
      <c r="C356" t="s">
        <v>262</v>
      </c>
      <c r="D356" t="str">
        <f t="shared" si="25"/>
        <v>Classic Cars</v>
      </c>
      <c r="E356" t="s">
        <v>281</v>
      </c>
      <c r="F356" s="5">
        <v>2254.25</v>
      </c>
      <c r="G356" s="5">
        <v>450.85</v>
      </c>
      <c r="I356" t="str">
        <f t="shared" si="26"/>
        <v>Low Sales</v>
      </c>
      <c r="J356" t="str">
        <f t="shared" si="27"/>
        <v>Average Performance</v>
      </c>
      <c r="K356">
        <f t="shared" si="28"/>
        <v>2004</v>
      </c>
      <c r="L356" t="str">
        <f t="shared" si="29"/>
        <v>June</v>
      </c>
    </row>
    <row r="357" spans="1:12" x14ac:dyDescent="0.25">
      <c r="A357" t="s">
        <v>115</v>
      </c>
      <c r="B357" t="s">
        <v>258</v>
      </c>
      <c r="C357" t="s">
        <v>262</v>
      </c>
      <c r="D357" t="str">
        <f t="shared" si="25"/>
        <v>Classic Cars</v>
      </c>
      <c r="E357" t="s">
        <v>281</v>
      </c>
      <c r="F357" s="5">
        <v>2681.35</v>
      </c>
      <c r="G357" s="5">
        <v>536.27</v>
      </c>
      <c r="I357" t="str">
        <f t="shared" si="26"/>
        <v>Low Sales</v>
      </c>
      <c r="J357" t="str">
        <f t="shared" si="27"/>
        <v>Average Performance</v>
      </c>
      <c r="K357">
        <f t="shared" si="28"/>
        <v>2004</v>
      </c>
      <c r="L357" t="str">
        <f t="shared" si="29"/>
        <v>July</v>
      </c>
    </row>
    <row r="358" spans="1:12" x14ac:dyDescent="0.25">
      <c r="A358" t="s">
        <v>116</v>
      </c>
      <c r="C358" t="s">
        <v>262</v>
      </c>
      <c r="D358" t="str">
        <f t="shared" si="25"/>
        <v>Classic Cars</v>
      </c>
      <c r="E358" t="s">
        <v>281</v>
      </c>
      <c r="F358" s="5">
        <v>3184.02</v>
      </c>
      <c r="G358" s="5">
        <v>636.80400000000009</v>
      </c>
      <c r="I358" t="str">
        <f t="shared" si="26"/>
        <v>Low Sales</v>
      </c>
      <c r="J358" t="str">
        <f t="shared" si="27"/>
        <v>Average Performance</v>
      </c>
      <c r="K358">
        <f t="shared" si="28"/>
        <v>2004</v>
      </c>
      <c r="L358" t="str">
        <f t="shared" si="29"/>
        <v>August</v>
      </c>
    </row>
    <row r="359" spans="1:12" x14ac:dyDescent="0.25">
      <c r="A359" t="s">
        <v>117</v>
      </c>
      <c r="B359" t="s">
        <v>258</v>
      </c>
      <c r="C359" t="s">
        <v>262</v>
      </c>
      <c r="D359" t="str">
        <f t="shared" si="25"/>
        <v>Classic Cars</v>
      </c>
      <c r="E359" t="s">
        <v>281</v>
      </c>
      <c r="F359" s="5">
        <v>2846.63</v>
      </c>
      <c r="G359" s="5">
        <v>569.32600000000002</v>
      </c>
      <c r="I359" t="str">
        <f t="shared" si="26"/>
        <v>Low Sales</v>
      </c>
      <c r="J359" t="str">
        <f t="shared" si="27"/>
        <v>Average Performance</v>
      </c>
      <c r="K359">
        <f t="shared" si="28"/>
        <v>2004</v>
      </c>
      <c r="L359" t="str">
        <f t="shared" si="29"/>
        <v>August</v>
      </c>
    </row>
    <row r="360" spans="1:12" x14ac:dyDescent="0.25">
      <c r="A360" t="s">
        <v>118</v>
      </c>
      <c r="B360" t="s">
        <v>258</v>
      </c>
      <c r="C360" t="s">
        <v>262</v>
      </c>
      <c r="D360" t="str">
        <f t="shared" si="25"/>
        <v>Classic Cars</v>
      </c>
      <c r="E360" t="s">
        <v>281</v>
      </c>
      <c r="F360" s="5">
        <v>1685.42</v>
      </c>
      <c r="G360" s="5">
        <v>337.08400000000012</v>
      </c>
      <c r="I360" t="str">
        <f t="shared" si="26"/>
        <v>Low Sales</v>
      </c>
      <c r="J360" t="str">
        <f t="shared" si="27"/>
        <v>Average Performance</v>
      </c>
      <c r="K360">
        <f t="shared" si="28"/>
        <v>2003</v>
      </c>
      <c r="L360" t="str">
        <f t="shared" si="29"/>
        <v>October</v>
      </c>
    </row>
    <row r="361" spans="1:12" x14ac:dyDescent="0.25">
      <c r="A361" t="s">
        <v>119</v>
      </c>
      <c r="B361" t="s">
        <v>258</v>
      </c>
      <c r="C361" t="s">
        <v>262</v>
      </c>
      <c r="D361" t="str">
        <f t="shared" si="25"/>
        <v>Classic Cars</v>
      </c>
      <c r="E361" t="s">
        <v>281</v>
      </c>
      <c r="F361" s="5">
        <v>3988.6</v>
      </c>
      <c r="G361" s="5">
        <v>797.72</v>
      </c>
      <c r="I361" t="str">
        <f t="shared" si="26"/>
        <v>Low Sales</v>
      </c>
      <c r="J361" t="str">
        <f t="shared" si="27"/>
        <v>Average Performance</v>
      </c>
      <c r="K361">
        <f t="shared" si="28"/>
        <v>2004</v>
      </c>
      <c r="L361" t="str">
        <f t="shared" si="29"/>
        <v>October</v>
      </c>
    </row>
    <row r="362" spans="1:12" x14ac:dyDescent="0.25">
      <c r="A362" t="s">
        <v>120</v>
      </c>
      <c r="B362" t="s">
        <v>258</v>
      </c>
      <c r="C362" t="s">
        <v>262</v>
      </c>
      <c r="D362" t="str">
        <f t="shared" si="25"/>
        <v>Classic Cars</v>
      </c>
      <c r="E362" t="s">
        <v>281</v>
      </c>
      <c r="F362" s="5">
        <v>2789.96</v>
      </c>
      <c r="G362" s="5">
        <v>557.99200000000008</v>
      </c>
      <c r="I362" t="str">
        <f t="shared" si="26"/>
        <v>Low Sales</v>
      </c>
      <c r="J362" t="str">
        <f t="shared" si="27"/>
        <v>Average Performance</v>
      </c>
      <c r="K362">
        <f t="shared" si="28"/>
        <v>2004</v>
      </c>
      <c r="L362" t="str">
        <f t="shared" si="29"/>
        <v>November</v>
      </c>
    </row>
    <row r="363" spans="1:12" x14ac:dyDescent="0.25">
      <c r="A363" t="s">
        <v>25</v>
      </c>
      <c r="C363" t="s">
        <v>262</v>
      </c>
      <c r="D363" t="str">
        <f t="shared" si="25"/>
        <v>Classic Cars</v>
      </c>
      <c r="E363" t="s">
        <v>281</v>
      </c>
      <c r="F363" s="5">
        <v>3607.56</v>
      </c>
      <c r="G363" s="5">
        <v>721.51200000000006</v>
      </c>
      <c r="I363" t="str">
        <f t="shared" si="26"/>
        <v>Low Sales</v>
      </c>
      <c r="J363" t="str">
        <f t="shared" si="27"/>
        <v>Average Performance</v>
      </c>
      <c r="K363">
        <f t="shared" si="28"/>
        <v>2004</v>
      </c>
      <c r="L363" t="str">
        <f t="shared" si="29"/>
        <v>November</v>
      </c>
    </row>
    <row r="364" spans="1:12" x14ac:dyDescent="0.25">
      <c r="A364" t="s">
        <v>26</v>
      </c>
      <c r="B364" t="s">
        <v>258</v>
      </c>
      <c r="C364" t="s">
        <v>262</v>
      </c>
      <c r="D364" t="str">
        <f t="shared" si="25"/>
        <v>Classic Cars</v>
      </c>
      <c r="E364" t="s">
        <v>281</v>
      </c>
      <c r="F364" s="5">
        <v>3368.16</v>
      </c>
      <c r="G364" s="5">
        <v>673.63200000000006</v>
      </c>
      <c r="I364" t="str">
        <f t="shared" si="26"/>
        <v>Low Sales</v>
      </c>
      <c r="J364" t="str">
        <f t="shared" si="27"/>
        <v>Average Performance</v>
      </c>
      <c r="K364">
        <f t="shared" si="28"/>
        <v>2004</v>
      </c>
      <c r="L364" t="str">
        <f t="shared" si="29"/>
        <v>November</v>
      </c>
    </row>
    <row r="365" spans="1:12" x14ac:dyDescent="0.25">
      <c r="A365" t="s">
        <v>121</v>
      </c>
      <c r="B365" t="s">
        <v>258</v>
      </c>
      <c r="C365" t="s">
        <v>262</v>
      </c>
      <c r="D365" t="str">
        <f t="shared" si="25"/>
        <v>Classic Cars</v>
      </c>
      <c r="E365" t="s">
        <v>281</v>
      </c>
      <c r="F365" s="5">
        <v>2775.08</v>
      </c>
      <c r="G365" s="5">
        <v>555.01599999999996</v>
      </c>
      <c r="I365" t="str">
        <f t="shared" si="26"/>
        <v>Low Sales</v>
      </c>
      <c r="J365" t="str">
        <f t="shared" si="27"/>
        <v>Average Performance</v>
      </c>
      <c r="K365">
        <f t="shared" si="28"/>
        <v>2005</v>
      </c>
      <c r="L365" t="str">
        <f t="shared" si="29"/>
        <v>January</v>
      </c>
    </row>
    <row r="366" spans="1:12" x14ac:dyDescent="0.25">
      <c r="A366" t="s">
        <v>148</v>
      </c>
      <c r="B366" t="s">
        <v>258</v>
      </c>
      <c r="C366" t="s">
        <v>262</v>
      </c>
      <c r="D366" t="str">
        <f t="shared" si="25"/>
        <v>Classic Cars</v>
      </c>
      <c r="E366" t="s">
        <v>281</v>
      </c>
      <c r="F366" s="5">
        <v>1627.92</v>
      </c>
      <c r="G366" s="5">
        <v>325.58400000000012</v>
      </c>
      <c r="I366" t="str">
        <f t="shared" si="26"/>
        <v>Low Sales</v>
      </c>
      <c r="J366" t="str">
        <f t="shared" si="27"/>
        <v>Average Performance</v>
      </c>
      <c r="K366">
        <f t="shared" si="28"/>
        <v>2005</v>
      </c>
      <c r="L366" t="str">
        <f t="shared" si="29"/>
        <v>February</v>
      </c>
    </row>
    <row r="367" spans="1:12" x14ac:dyDescent="0.25">
      <c r="A367" t="s">
        <v>29</v>
      </c>
      <c r="B367" t="s">
        <v>258</v>
      </c>
      <c r="C367" t="s">
        <v>262</v>
      </c>
      <c r="D367" t="str">
        <f t="shared" si="25"/>
        <v>Classic Cars</v>
      </c>
      <c r="E367" t="s">
        <v>281</v>
      </c>
      <c r="F367" s="5">
        <v>2529.36</v>
      </c>
      <c r="G367" s="5">
        <v>505.87200000000013</v>
      </c>
      <c r="I367" t="str">
        <f t="shared" si="26"/>
        <v>Low Sales</v>
      </c>
      <c r="J367" t="str">
        <f t="shared" si="27"/>
        <v>Average Performance</v>
      </c>
      <c r="K367">
        <f t="shared" si="28"/>
        <v>2005</v>
      </c>
      <c r="L367" t="str">
        <f t="shared" si="29"/>
        <v>March</v>
      </c>
    </row>
    <row r="368" spans="1:12" x14ac:dyDescent="0.25">
      <c r="A368" t="s">
        <v>122</v>
      </c>
      <c r="B368" t="s">
        <v>258</v>
      </c>
      <c r="C368" t="s">
        <v>262</v>
      </c>
      <c r="D368" t="str">
        <f t="shared" si="25"/>
        <v>Classic Cars</v>
      </c>
      <c r="E368" t="s">
        <v>281</v>
      </c>
      <c r="F368" s="5">
        <v>3065.78</v>
      </c>
      <c r="G368" s="5">
        <v>613.15600000000006</v>
      </c>
      <c r="I368" t="str">
        <f t="shared" si="26"/>
        <v>Low Sales</v>
      </c>
      <c r="J368" t="str">
        <f t="shared" si="27"/>
        <v>Average Performance</v>
      </c>
      <c r="K368">
        <f t="shared" si="28"/>
        <v>2005</v>
      </c>
      <c r="L368" t="str">
        <f t="shared" si="29"/>
        <v>May</v>
      </c>
    </row>
    <row r="369" spans="1:12" x14ac:dyDescent="0.25">
      <c r="A369" t="s">
        <v>140</v>
      </c>
      <c r="B369" t="s">
        <v>258</v>
      </c>
      <c r="C369" t="s">
        <v>263</v>
      </c>
      <c r="D369" t="str">
        <f t="shared" si="25"/>
        <v>Trucks And Buses</v>
      </c>
      <c r="E369" t="s">
        <v>282</v>
      </c>
      <c r="F369" s="5">
        <v>4615.78</v>
      </c>
      <c r="G369" s="5">
        <v>923.15599999999995</v>
      </c>
      <c r="I369" t="str">
        <f t="shared" si="26"/>
        <v>Low Sales</v>
      </c>
      <c r="J369" t="str">
        <f t="shared" si="27"/>
        <v>Average Performance</v>
      </c>
      <c r="K369">
        <f t="shared" si="28"/>
        <v>2003</v>
      </c>
      <c r="L369" t="str">
        <f t="shared" si="29"/>
        <v>January</v>
      </c>
    </row>
    <row r="370" spans="1:12" x14ac:dyDescent="0.25">
      <c r="A370" t="s">
        <v>149</v>
      </c>
      <c r="C370" t="s">
        <v>263</v>
      </c>
      <c r="D370" t="str">
        <f t="shared" si="25"/>
        <v>Trucks And Buses</v>
      </c>
      <c r="E370" t="s">
        <v>282</v>
      </c>
      <c r="F370" s="5">
        <v>5723.78</v>
      </c>
      <c r="G370" s="5">
        <v>1144.7560000000001</v>
      </c>
      <c r="I370" t="str">
        <f t="shared" si="26"/>
        <v>Low Sales</v>
      </c>
      <c r="J370" t="str">
        <f t="shared" si="27"/>
        <v>Average Performance</v>
      </c>
      <c r="K370">
        <f t="shared" si="28"/>
        <v>2003</v>
      </c>
      <c r="L370" t="str">
        <f t="shared" si="29"/>
        <v>April</v>
      </c>
    </row>
    <row r="371" spans="1:12" x14ac:dyDescent="0.25">
      <c r="A371" t="s">
        <v>124</v>
      </c>
      <c r="C371" t="s">
        <v>263</v>
      </c>
      <c r="D371" t="str">
        <f t="shared" si="25"/>
        <v>Trucks And Buses</v>
      </c>
      <c r="E371" t="s">
        <v>282</v>
      </c>
      <c r="F371" s="5">
        <v>2559.6</v>
      </c>
      <c r="G371" s="5">
        <v>511.92</v>
      </c>
      <c r="I371" t="str">
        <f t="shared" si="26"/>
        <v>Low Sales</v>
      </c>
      <c r="J371" t="str">
        <f t="shared" si="27"/>
        <v>Average Performance</v>
      </c>
      <c r="K371">
        <f t="shared" si="28"/>
        <v>2003</v>
      </c>
      <c r="L371" t="str">
        <f t="shared" si="29"/>
        <v>June</v>
      </c>
    </row>
    <row r="372" spans="1:12" x14ac:dyDescent="0.25">
      <c r="A372" t="s">
        <v>150</v>
      </c>
      <c r="B372" t="s">
        <v>258</v>
      </c>
      <c r="C372" t="s">
        <v>263</v>
      </c>
      <c r="D372" t="str">
        <f t="shared" si="25"/>
        <v>Trucks And Buses</v>
      </c>
      <c r="E372" t="s">
        <v>282</v>
      </c>
      <c r="F372" s="5">
        <v>2140.11</v>
      </c>
      <c r="G372" s="5">
        <v>428.02199999999999</v>
      </c>
      <c r="I372" t="str">
        <f t="shared" si="26"/>
        <v>Low Sales</v>
      </c>
      <c r="J372" t="str">
        <f t="shared" si="27"/>
        <v>Average Performance</v>
      </c>
      <c r="K372">
        <f t="shared" si="28"/>
        <v>2003</v>
      </c>
      <c r="L372" t="str">
        <f t="shared" si="29"/>
        <v>August</v>
      </c>
    </row>
    <row r="373" spans="1:12" x14ac:dyDescent="0.25">
      <c r="A373" t="s">
        <v>151</v>
      </c>
      <c r="B373" t="s">
        <v>258</v>
      </c>
      <c r="C373" t="s">
        <v>263</v>
      </c>
      <c r="D373" t="str">
        <f t="shared" si="25"/>
        <v>Trucks And Buses</v>
      </c>
      <c r="E373" t="s">
        <v>282</v>
      </c>
      <c r="F373" s="5">
        <v>3327.6</v>
      </c>
      <c r="G373" s="5">
        <v>665.52</v>
      </c>
      <c r="I373" t="str">
        <f t="shared" si="26"/>
        <v>Low Sales</v>
      </c>
      <c r="J373" t="str">
        <f t="shared" si="27"/>
        <v>Average Performance</v>
      </c>
      <c r="K373">
        <f t="shared" si="28"/>
        <v>2003</v>
      </c>
      <c r="L373" t="str">
        <f t="shared" si="29"/>
        <v>September</v>
      </c>
    </row>
    <row r="374" spans="1:12" x14ac:dyDescent="0.25">
      <c r="A374" t="s">
        <v>127</v>
      </c>
      <c r="B374" t="s">
        <v>260</v>
      </c>
      <c r="C374" t="s">
        <v>263</v>
      </c>
      <c r="D374" t="str">
        <f t="shared" si="25"/>
        <v>Trucks And Buses</v>
      </c>
      <c r="E374" t="s">
        <v>282</v>
      </c>
      <c r="F374" s="5">
        <v>6825.6</v>
      </c>
      <c r="G374" s="5">
        <v>1365.12</v>
      </c>
      <c r="I374" t="str">
        <f t="shared" si="26"/>
        <v>Low Sales</v>
      </c>
      <c r="J374" t="str">
        <f t="shared" si="27"/>
        <v>Average Performance</v>
      </c>
      <c r="K374">
        <f t="shared" si="28"/>
        <v>2003</v>
      </c>
      <c r="L374" t="str">
        <f t="shared" si="29"/>
        <v>October</v>
      </c>
    </row>
    <row r="375" spans="1:12" x14ac:dyDescent="0.25">
      <c r="A375" t="s">
        <v>38</v>
      </c>
      <c r="B375" t="s">
        <v>258</v>
      </c>
      <c r="C375" t="s">
        <v>263</v>
      </c>
      <c r="D375" t="str">
        <f t="shared" si="25"/>
        <v>Trucks And Buses</v>
      </c>
      <c r="E375" t="s">
        <v>282</v>
      </c>
      <c r="F375" s="5">
        <v>3543.28</v>
      </c>
      <c r="G375" s="5">
        <v>708.65600000000006</v>
      </c>
      <c r="I375" t="str">
        <f t="shared" si="26"/>
        <v>Low Sales</v>
      </c>
      <c r="J375" t="str">
        <f t="shared" si="27"/>
        <v>Average Performance</v>
      </c>
      <c r="K375">
        <f t="shared" si="28"/>
        <v>2003</v>
      </c>
      <c r="L375" t="str">
        <f t="shared" si="29"/>
        <v>November</v>
      </c>
    </row>
    <row r="376" spans="1:12" x14ac:dyDescent="0.25">
      <c r="A376" t="s">
        <v>75</v>
      </c>
      <c r="B376" t="s">
        <v>258</v>
      </c>
      <c r="C376" t="s">
        <v>263</v>
      </c>
      <c r="D376" t="str">
        <f t="shared" si="25"/>
        <v>Trucks And Buses</v>
      </c>
      <c r="E376" t="s">
        <v>282</v>
      </c>
      <c r="F376" s="5">
        <v>4516.22</v>
      </c>
      <c r="G376" s="5">
        <v>903.24400000000014</v>
      </c>
      <c r="I376" t="str">
        <f t="shared" si="26"/>
        <v>Low Sales</v>
      </c>
      <c r="J376" t="str">
        <f t="shared" si="27"/>
        <v>Average Performance</v>
      </c>
      <c r="K376">
        <f t="shared" si="28"/>
        <v>2003</v>
      </c>
      <c r="L376" t="str">
        <f t="shared" si="29"/>
        <v>November</v>
      </c>
    </row>
    <row r="377" spans="1:12" x14ac:dyDescent="0.25">
      <c r="A377" t="s">
        <v>40</v>
      </c>
      <c r="C377" t="s">
        <v>263</v>
      </c>
      <c r="D377" t="str">
        <f t="shared" si="25"/>
        <v>Trucks And Buses</v>
      </c>
      <c r="E377" t="s">
        <v>282</v>
      </c>
      <c r="F377" s="5">
        <v>6445.46</v>
      </c>
      <c r="G377" s="5">
        <v>1289.0920000000001</v>
      </c>
      <c r="I377" t="str">
        <f t="shared" si="26"/>
        <v>Low Sales</v>
      </c>
      <c r="J377" t="str">
        <f t="shared" si="27"/>
        <v>Average Performance</v>
      </c>
      <c r="K377">
        <f t="shared" si="28"/>
        <v>2003</v>
      </c>
      <c r="L377" t="str">
        <f t="shared" si="29"/>
        <v>November</v>
      </c>
    </row>
    <row r="378" spans="1:12" x14ac:dyDescent="0.25">
      <c r="A378" t="s">
        <v>97</v>
      </c>
      <c r="C378" t="s">
        <v>263</v>
      </c>
      <c r="D378" t="str">
        <f t="shared" si="25"/>
        <v>Trucks And Buses</v>
      </c>
      <c r="E378" t="s">
        <v>282</v>
      </c>
      <c r="F378" s="5">
        <v>3384.36</v>
      </c>
      <c r="G378" s="5">
        <v>676.87200000000007</v>
      </c>
      <c r="I378" t="str">
        <f t="shared" si="26"/>
        <v>Low Sales</v>
      </c>
      <c r="J378" t="str">
        <f t="shared" si="27"/>
        <v>Average Performance</v>
      </c>
      <c r="K378">
        <f t="shared" si="28"/>
        <v>2003</v>
      </c>
      <c r="L378" t="str">
        <f t="shared" si="29"/>
        <v>December</v>
      </c>
    </row>
    <row r="379" spans="1:12" x14ac:dyDescent="0.25">
      <c r="A379" t="s">
        <v>152</v>
      </c>
      <c r="C379" t="s">
        <v>263</v>
      </c>
      <c r="D379" t="str">
        <f t="shared" si="25"/>
        <v>Trucks And Buses</v>
      </c>
      <c r="E379" t="s">
        <v>282</v>
      </c>
      <c r="F379" s="5">
        <v>4891.68</v>
      </c>
      <c r="G379" s="5">
        <v>978.33600000000013</v>
      </c>
      <c r="I379" t="str">
        <f t="shared" si="26"/>
        <v>Low Sales</v>
      </c>
      <c r="J379" t="str">
        <f t="shared" si="27"/>
        <v>Average Performance</v>
      </c>
      <c r="K379">
        <f t="shared" si="28"/>
        <v>2004</v>
      </c>
      <c r="L379" t="str">
        <f t="shared" si="29"/>
        <v>February</v>
      </c>
    </row>
    <row r="380" spans="1:12" x14ac:dyDescent="0.25">
      <c r="A380" t="s">
        <v>99</v>
      </c>
      <c r="C380" t="s">
        <v>263</v>
      </c>
      <c r="D380" t="str">
        <f t="shared" si="25"/>
        <v>Trucks And Buses</v>
      </c>
      <c r="E380" t="s">
        <v>282</v>
      </c>
      <c r="F380" s="5">
        <v>4521.96</v>
      </c>
      <c r="G380" s="5">
        <v>904.39200000000005</v>
      </c>
      <c r="I380" t="str">
        <f t="shared" si="26"/>
        <v>Low Sales</v>
      </c>
      <c r="J380" t="str">
        <f t="shared" si="27"/>
        <v>Average Performance</v>
      </c>
      <c r="K380">
        <f t="shared" si="28"/>
        <v>2004</v>
      </c>
      <c r="L380" t="str">
        <f t="shared" si="29"/>
        <v>March</v>
      </c>
    </row>
    <row r="381" spans="1:12" x14ac:dyDescent="0.25">
      <c r="A381" t="s">
        <v>131</v>
      </c>
      <c r="B381" t="s">
        <v>258</v>
      </c>
      <c r="C381" t="s">
        <v>263</v>
      </c>
      <c r="D381" t="str">
        <f t="shared" si="25"/>
        <v>Trucks And Buses</v>
      </c>
      <c r="E381" t="s">
        <v>282</v>
      </c>
      <c r="F381" s="5">
        <v>5069.66</v>
      </c>
      <c r="G381" s="5">
        <v>1013.932</v>
      </c>
      <c r="I381" t="str">
        <f t="shared" si="26"/>
        <v>Low Sales</v>
      </c>
      <c r="J381" t="str">
        <f t="shared" si="27"/>
        <v>Average Performance</v>
      </c>
      <c r="K381">
        <f t="shared" si="28"/>
        <v>2004</v>
      </c>
      <c r="L381" t="str">
        <f t="shared" si="29"/>
        <v>May</v>
      </c>
    </row>
    <row r="382" spans="1:12" x14ac:dyDescent="0.25">
      <c r="A382" t="s">
        <v>45</v>
      </c>
      <c r="B382" t="s">
        <v>259</v>
      </c>
      <c r="C382" t="s">
        <v>263</v>
      </c>
      <c r="D382" t="str">
        <f t="shared" si="25"/>
        <v>Trucks And Buses</v>
      </c>
      <c r="E382" t="s">
        <v>282</v>
      </c>
      <c r="F382" s="5">
        <v>6541.2</v>
      </c>
      <c r="G382" s="5">
        <v>1308.24</v>
      </c>
      <c r="I382" t="str">
        <f t="shared" si="26"/>
        <v>Low Sales</v>
      </c>
      <c r="J382" t="str">
        <f t="shared" si="27"/>
        <v>Average Performance</v>
      </c>
      <c r="K382">
        <f t="shared" si="28"/>
        <v>2004</v>
      </c>
      <c r="L382" t="str">
        <f t="shared" si="29"/>
        <v>June</v>
      </c>
    </row>
    <row r="383" spans="1:12" x14ac:dyDescent="0.25">
      <c r="A383" t="s">
        <v>132</v>
      </c>
      <c r="C383" t="s">
        <v>263</v>
      </c>
      <c r="D383" t="str">
        <f t="shared" si="25"/>
        <v>Trucks And Buses</v>
      </c>
      <c r="E383" t="s">
        <v>282</v>
      </c>
      <c r="F383" s="5">
        <v>3012.27</v>
      </c>
      <c r="G383" s="5">
        <v>602.45400000000006</v>
      </c>
      <c r="I383" t="str">
        <f t="shared" si="26"/>
        <v>Low Sales</v>
      </c>
      <c r="J383" t="str">
        <f t="shared" si="27"/>
        <v>Average Performance</v>
      </c>
      <c r="K383">
        <f t="shared" si="28"/>
        <v>2004</v>
      </c>
      <c r="L383" t="str">
        <f t="shared" si="29"/>
        <v>July</v>
      </c>
    </row>
    <row r="384" spans="1:12" x14ac:dyDescent="0.25">
      <c r="A384" t="s">
        <v>100</v>
      </c>
      <c r="C384" t="s">
        <v>263</v>
      </c>
      <c r="D384" t="str">
        <f t="shared" si="25"/>
        <v>Trucks And Buses</v>
      </c>
      <c r="E384" t="s">
        <v>282</v>
      </c>
      <c r="F384" s="5">
        <v>5247.18</v>
      </c>
      <c r="G384" s="5">
        <v>1049.4359999999999</v>
      </c>
      <c r="I384" t="str">
        <f t="shared" si="26"/>
        <v>Low Sales</v>
      </c>
      <c r="J384" t="str">
        <f t="shared" si="27"/>
        <v>Average Performance</v>
      </c>
      <c r="K384">
        <f t="shared" si="28"/>
        <v>2004</v>
      </c>
      <c r="L384" t="str">
        <f t="shared" si="29"/>
        <v>August</v>
      </c>
    </row>
    <row r="385" spans="1:12" x14ac:dyDescent="0.25">
      <c r="A385" t="s">
        <v>48</v>
      </c>
      <c r="C385" t="s">
        <v>263</v>
      </c>
      <c r="D385" t="str">
        <f t="shared" si="25"/>
        <v>Trucks And Buses</v>
      </c>
      <c r="E385" t="s">
        <v>282</v>
      </c>
      <c r="F385" s="5">
        <v>2214.87</v>
      </c>
      <c r="G385" s="5">
        <v>442.97399999999999</v>
      </c>
      <c r="I385" t="str">
        <f t="shared" si="26"/>
        <v>Low Sales</v>
      </c>
      <c r="J385" t="str">
        <f t="shared" si="27"/>
        <v>Average Performance</v>
      </c>
      <c r="K385">
        <f t="shared" si="28"/>
        <v>2004</v>
      </c>
      <c r="L385" t="str">
        <f t="shared" si="29"/>
        <v>September</v>
      </c>
    </row>
    <row r="386" spans="1:12" x14ac:dyDescent="0.25">
      <c r="A386" t="s">
        <v>101</v>
      </c>
      <c r="C386" t="s">
        <v>263</v>
      </c>
      <c r="D386" t="str">
        <f t="shared" si="25"/>
        <v>Trucks And Buses</v>
      </c>
      <c r="E386" t="s">
        <v>282</v>
      </c>
      <c r="F386" s="5">
        <v>4773.18</v>
      </c>
      <c r="G386" s="5">
        <v>954.63600000000008</v>
      </c>
      <c r="I386" t="str">
        <f t="shared" si="26"/>
        <v>Low Sales</v>
      </c>
      <c r="J386" t="str">
        <f t="shared" si="27"/>
        <v>Average Performance</v>
      </c>
      <c r="K386">
        <f t="shared" si="28"/>
        <v>2004</v>
      </c>
      <c r="L386" t="str">
        <f t="shared" si="29"/>
        <v>October</v>
      </c>
    </row>
    <row r="387" spans="1:12" x14ac:dyDescent="0.25">
      <c r="A387" t="s">
        <v>102</v>
      </c>
      <c r="B387" t="s">
        <v>258</v>
      </c>
      <c r="C387" t="s">
        <v>263</v>
      </c>
      <c r="D387" t="str">
        <f t="shared" ref="D387:D450" si="30">PROPER(TRIM(C387))</f>
        <v>Trucks And Buses</v>
      </c>
      <c r="E387" t="s">
        <v>282</v>
      </c>
      <c r="F387" s="5">
        <v>6185.7</v>
      </c>
      <c r="G387" s="5">
        <v>1237.1400000000001</v>
      </c>
      <c r="I387" t="str">
        <f t="shared" ref="I387:I450" si="31">IF(F387&gt;50000,"High Sales","Low Sales")</f>
        <v>Low Sales</v>
      </c>
      <c r="J387" t="str">
        <f t="shared" ref="J387:J450" si="32">IF(AND(F387&gt;30000,G387&gt;5000),"Good Performance","Average Performance")</f>
        <v>Average Performance</v>
      </c>
      <c r="K387">
        <f t="shared" ref="K387:K450" si="33">YEAR(A387)</f>
        <v>2004</v>
      </c>
      <c r="L387" t="str">
        <f t="shared" ref="L387:L450" si="34">TEXT(A387,"mmmm")</f>
        <v>October</v>
      </c>
    </row>
    <row r="388" spans="1:12" x14ac:dyDescent="0.25">
      <c r="A388" t="s">
        <v>86</v>
      </c>
      <c r="C388" t="s">
        <v>263</v>
      </c>
      <c r="D388" t="str">
        <f t="shared" si="30"/>
        <v>Trucks And Buses</v>
      </c>
      <c r="E388" t="s">
        <v>282</v>
      </c>
      <c r="F388" s="5">
        <v>1517.88</v>
      </c>
      <c r="G388" s="5">
        <v>303.57600000000002</v>
      </c>
      <c r="I388" t="str">
        <f t="shared" si="31"/>
        <v>Low Sales</v>
      </c>
      <c r="J388" t="str">
        <f t="shared" si="32"/>
        <v>Average Performance</v>
      </c>
      <c r="K388">
        <f t="shared" si="33"/>
        <v>2004</v>
      </c>
      <c r="L388" t="str">
        <f t="shared" si="34"/>
        <v>November</v>
      </c>
    </row>
    <row r="389" spans="1:12" x14ac:dyDescent="0.25">
      <c r="A389" t="s">
        <v>134</v>
      </c>
      <c r="B389" t="s">
        <v>258</v>
      </c>
      <c r="C389" t="s">
        <v>263</v>
      </c>
      <c r="D389" t="str">
        <f t="shared" si="30"/>
        <v>Trucks And Buses</v>
      </c>
      <c r="E389" t="s">
        <v>282</v>
      </c>
      <c r="F389" s="5">
        <v>6372.6</v>
      </c>
      <c r="G389" s="5">
        <v>1274.52</v>
      </c>
      <c r="I389" t="str">
        <f t="shared" si="31"/>
        <v>Low Sales</v>
      </c>
      <c r="J389" t="str">
        <f t="shared" si="32"/>
        <v>Average Performance</v>
      </c>
      <c r="K389">
        <f t="shared" si="33"/>
        <v>2004</v>
      </c>
      <c r="L389" t="str">
        <f t="shared" si="34"/>
        <v>November</v>
      </c>
    </row>
    <row r="390" spans="1:12" x14ac:dyDescent="0.25">
      <c r="A390" t="s">
        <v>146</v>
      </c>
      <c r="C390" t="s">
        <v>263</v>
      </c>
      <c r="D390" t="str">
        <f t="shared" si="30"/>
        <v>Trucks And Buses</v>
      </c>
      <c r="E390" t="s">
        <v>282</v>
      </c>
      <c r="F390" s="5">
        <v>5232.96</v>
      </c>
      <c r="G390" s="5">
        <v>1046.5920000000001</v>
      </c>
      <c r="I390" t="str">
        <f t="shared" si="31"/>
        <v>Low Sales</v>
      </c>
      <c r="J390" t="str">
        <f t="shared" si="32"/>
        <v>Average Performance</v>
      </c>
      <c r="K390">
        <f t="shared" si="33"/>
        <v>2004</v>
      </c>
      <c r="L390" t="str">
        <f t="shared" si="34"/>
        <v>December</v>
      </c>
    </row>
    <row r="391" spans="1:12" x14ac:dyDescent="0.25">
      <c r="A391" t="s">
        <v>54</v>
      </c>
      <c r="B391" t="s">
        <v>258</v>
      </c>
      <c r="C391" t="s">
        <v>263</v>
      </c>
      <c r="D391" t="str">
        <f t="shared" si="30"/>
        <v>Trucks And Buses</v>
      </c>
      <c r="E391" t="s">
        <v>282</v>
      </c>
      <c r="F391" s="5">
        <v>2694.72</v>
      </c>
      <c r="G391" s="5">
        <v>538.94399999999996</v>
      </c>
      <c r="I391" t="str">
        <f t="shared" si="31"/>
        <v>Low Sales</v>
      </c>
      <c r="J391" t="str">
        <f t="shared" si="32"/>
        <v>Average Performance</v>
      </c>
      <c r="K391">
        <f t="shared" si="33"/>
        <v>2004</v>
      </c>
      <c r="L391" t="str">
        <f t="shared" si="34"/>
        <v>December</v>
      </c>
    </row>
    <row r="392" spans="1:12" x14ac:dyDescent="0.25">
      <c r="A392" t="s">
        <v>135</v>
      </c>
      <c r="C392" t="s">
        <v>263</v>
      </c>
      <c r="D392" t="str">
        <f t="shared" si="30"/>
        <v>Trucks And Buses</v>
      </c>
      <c r="E392" t="s">
        <v>282</v>
      </c>
      <c r="F392" s="5">
        <v>1749.79</v>
      </c>
      <c r="G392" s="5">
        <v>349.95800000000003</v>
      </c>
      <c r="I392" t="str">
        <f t="shared" si="31"/>
        <v>Low Sales</v>
      </c>
      <c r="J392" t="str">
        <f t="shared" si="32"/>
        <v>Average Performance</v>
      </c>
      <c r="K392">
        <f t="shared" si="33"/>
        <v>2005</v>
      </c>
      <c r="L392" t="str">
        <f t="shared" si="34"/>
        <v>January</v>
      </c>
    </row>
    <row r="393" spans="1:12" x14ac:dyDescent="0.25">
      <c r="A393" t="s">
        <v>56</v>
      </c>
      <c r="C393" t="s">
        <v>263</v>
      </c>
      <c r="D393" t="str">
        <f t="shared" si="30"/>
        <v>Trucks And Buses</v>
      </c>
      <c r="E393" t="s">
        <v>282</v>
      </c>
      <c r="F393" s="5">
        <v>2130.56</v>
      </c>
      <c r="G393" s="5">
        <v>426.11200000000002</v>
      </c>
      <c r="I393" t="str">
        <f t="shared" si="31"/>
        <v>Low Sales</v>
      </c>
      <c r="J393" t="str">
        <f t="shared" si="32"/>
        <v>Average Performance</v>
      </c>
      <c r="K393">
        <f t="shared" si="33"/>
        <v>2005</v>
      </c>
      <c r="L393" t="str">
        <f t="shared" si="34"/>
        <v>February</v>
      </c>
    </row>
    <row r="394" spans="1:12" x14ac:dyDescent="0.25">
      <c r="A394" t="s">
        <v>153</v>
      </c>
      <c r="B394" t="s">
        <v>258</v>
      </c>
      <c r="C394" t="s">
        <v>263</v>
      </c>
      <c r="D394" t="str">
        <f t="shared" si="30"/>
        <v>Trucks And Buses</v>
      </c>
      <c r="E394" t="s">
        <v>282</v>
      </c>
      <c r="F394" s="5">
        <v>5951.34</v>
      </c>
      <c r="G394" s="5">
        <v>1190.268</v>
      </c>
      <c r="I394" t="str">
        <f t="shared" si="31"/>
        <v>Low Sales</v>
      </c>
      <c r="J394" t="str">
        <f t="shared" si="32"/>
        <v>Average Performance</v>
      </c>
      <c r="K394">
        <f t="shared" si="33"/>
        <v>2005</v>
      </c>
      <c r="L394" t="str">
        <f t="shared" si="34"/>
        <v>May</v>
      </c>
    </row>
    <row r="395" spans="1:12" x14ac:dyDescent="0.25">
      <c r="A395" t="s">
        <v>59</v>
      </c>
      <c r="B395" t="s">
        <v>258</v>
      </c>
      <c r="C395" t="s">
        <v>263</v>
      </c>
      <c r="D395" t="str">
        <f t="shared" si="30"/>
        <v>Trucks And Buses</v>
      </c>
      <c r="E395" t="s">
        <v>282</v>
      </c>
      <c r="F395" s="5">
        <v>4692.6000000000004</v>
      </c>
      <c r="G395" s="5">
        <v>938.5200000000001</v>
      </c>
      <c r="I395" t="str">
        <f t="shared" si="31"/>
        <v>Low Sales</v>
      </c>
      <c r="J395" t="str">
        <f t="shared" si="32"/>
        <v>Average Performance</v>
      </c>
      <c r="K395">
        <f t="shared" si="33"/>
        <v>2005</v>
      </c>
      <c r="L395" t="str">
        <f t="shared" si="34"/>
        <v>May</v>
      </c>
    </row>
    <row r="396" spans="1:12" x14ac:dyDescent="0.25">
      <c r="A396" t="s">
        <v>104</v>
      </c>
      <c r="B396" t="s">
        <v>260</v>
      </c>
      <c r="C396" t="s">
        <v>262</v>
      </c>
      <c r="D396" t="str">
        <f t="shared" si="30"/>
        <v>Classic Cars</v>
      </c>
      <c r="E396" t="s">
        <v>283</v>
      </c>
      <c r="F396" s="5">
        <v>3731.04</v>
      </c>
      <c r="G396" s="5">
        <v>746.20800000000008</v>
      </c>
      <c r="I396" t="str">
        <f t="shared" si="31"/>
        <v>Low Sales</v>
      </c>
      <c r="J396" t="str">
        <f t="shared" si="32"/>
        <v>Average Performance</v>
      </c>
      <c r="K396">
        <f t="shared" si="33"/>
        <v>2003</v>
      </c>
      <c r="L396" t="str">
        <f t="shared" si="34"/>
        <v>March</v>
      </c>
    </row>
    <row r="397" spans="1:12" x14ac:dyDescent="0.25">
      <c r="A397" t="s">
        <v>105</v>
      </c>
      <c r="B397" t="s">
        <v>258</v>
      </c>
      <c r="C397" t="s">
        <v>262</v>
      </c>
      <c r="D397" t="str">
        <f t="shared" si="30"/>
        <v>Classic Cars</v>
      </c>
      <c r="E397" t="s">
        <v>283</v>
      </c>
      <c r="F397" s="5">
        <v>2142</v>
      </c>
      <c r="G397" s="5">
        <v>428.4</v>
      </c>
      <c r="I397" t="str">
        <f t="shared" si="31"/>
        <v>Low Sales</v>
      </c>
      <c r="J397" t="str">
        <f t="shared" si="32"/>
        <v>Average Performance</v>
      </c>
      <c r="K397">
        <f t="shared" si="33"/>
        <v>2003</v>
      </c>
      <c r="L397" t="str">
        <f t="shared" si="34"/>
        <v>May</v>
      </c>
    </row>
    <row r="398" spans="1:12" x14ac:dyDescent="0.25">
      <c r="A398" t="s">
        <v>106</v>
      </c>
      <c r="C398" t="s">
        <v>262</v>
      </c>
      <c r="D398" t="str">
        <f t="shared" si="30"/>
        <v>Classic Cars</v>
      </c>
      <c r="E398" t="s">
        <v>283</v>
      </c>
      <c r="F398" s="5">
        <v>2838.81</v>
      </c>
      <c r="G398" s="5">
        <v>567.76200000000006</v>
      </c>
      <c r="I398" t="str">
        <f t="shared" si="31"/>
        <v>Low Sales</v>
      </c>
      <c r="J398" t="str">
        <f t="shared" si="32"/>
        <v>Average Performance</v>
      </c>
      <c r="K398">
        <f t="shared" si="33"/>
        <v>2003</v>
      </c>
      <c r="L398" t="str">
        <f t="shared" si="34"/>
        <v>July</v>
      </c>
    </row>
    <row r="399" spans="1:12" x14ac:dyDescent="0.25">
      <c r="A399" t="s">
        <v>107</v>
      </c>
      <c r="C399" t="s">
        <v>262</v>
      </c>
      <c r="D399" t="str">
        <f t="shared" si="30"/>
        <v>Classic Cars</v>
      </c>
      <c r="E399" t="s">
        <v>283</v>
      </c>
      <c r="F399" s="5">
        <v>3230.37</v>
      </c>
      <c r="G399" s="5">
        <v>646.07400000000007</v>
      </c>
      <c r="I399" t="str">
        <f t="shared" si="31"/>
        <v>Low Sales</v>
      </c>
      <c r="J399" t="str">
        <f t="shared" si="32"/>
        <v>Average Performance</v>
      </c>
      <c r="K399">
        <f t="shared" si="33"/>
        <v>2003</v>
      </c>
      <c r="L399" t="str">
        <f t="shared" si="34"/>
        <v>September</v>
      </c>
    </row>
    <row r="400" spans="1:12" x14ac:dyDescent="0.25">
      <c r="A400" t="s">
        <v>143</v>
      </c>
      <c r="C400" t="s">
        <v>262</v>
      </c>
      <c r="D400" t="str">
        <f t="shared" si="30"/>
        <v>Classic Cars</v>
      </c>
      <c r="E400" t="s">
        <v>283</v>
      </c>
      <c r="F400" s="5">
        <v>5182</v>
      </c>
      <c r="G400" s="5">
        <v>1036.4000000000001</v>
      </c>
      <c r="I400" t="str">
        <f t="shared" si="31"/>
        <v>Low Sales</v>
      </c>
      <c r="J400" t="str">
        <f t="shared" si="32"/>
        <v>Average Performance</v>
      </c>
      <c r="K400">
        <f t="shared" si="33"/>
        <v>2003</v>
      </c>
      <c r="L400" t="str">
        <f t="shared" si="34"/>
        <v>October</v>
      </c>
    </row>
    <row r="401" spans="1:12" x14ac:dyDescent="0.25">
      <c r="A401" t="s">
        <v>108</v>
      </c>
      <c r="B401" t="s">
        <v>258</v>
      </c>
      <c r="C401" t="s">
        <v>262</v>
      </c>
      <c r="D401" t="str">
        <f t="shared" si="30"/>
        <v>Classic Cars</v>
      </c>
      <c r="E401" t="s">
        <v>283</v>
      </c>
      <c r="F401" s="5">
        <v>4391.1000000000004</v>
      </c>
      <c r="G401" s="5">
        <v>878.22000000000014</v>
      </c>
      <c r="I401" t="str">
        <f t="shared" si="31"/>
        <v>Low Sales</v>
      </c>
      <c r="J401" t="str">
        <f t="shared" si="32"/>
        <v>Average Performance</v>
      </c>
      <c r="K401">
        <f t="shared" si="33"/>
        <v>2003</v>
      </c>
      <c r="L401" t="str">
        <f t="shared" si="34"/>
        <v>November</v>
      </c>
    </row>
    <row r="402" spans="1:12" x14ac:dyDescent="0.25">
      <c r="A402" t="s">
        <v>109</v>
      </c>
      <c r="B402" t="s">
        <v>258</v>
      </c>
      <c r="C402" t="s">
        <v>262</v>
      </c>
      <c r="D402" t="str">
        <f t="shared" si="30"/>
        <v>Classic Cars</v>
      </c>
      <c r="E402" t="s">
        <v>283</v>
      </c>
      <c r="F402" s="5">
        <v>4477.32</v>
      </c>
      <c r="G402" s="5">
        <v>895.46399999999994</v>
      </c>
      <c r="I402" t="str">
        <f t="shared" si="31"/>
        <v>Low Sales</v>
      </c>
      <c r="J402" t="str">
        <f t="shared" si="32"/>
        <v>Average Performance</v>
      </c>
      <c r="K402">
        <f t="shared" si="33"/>
        <v>2003</v>
      </c>
      <c r="L402" t="str">
        <f t="shared" si="34"/>
        <v>November</v>
      </c>
    </row>
    <row r="403" spans="1:12" x14ac:dyDescent="0.25">
      <c r="A403" t="s">
        <v>110</v>
      </c>
      <c r="C403" t="s">
        <v>262</v>
      </c>
      <c r="D403" t="str">
        <f t="shared" si="30"/>
        <v>Classic Cars</v>
      </c>
      <c r="E403" t="s">
        <v>283</v>
      </c>
      <c r="F403" s="5">
        <v>3544.56</v>
      </c>
      <c r="G403" s="5">
        <v>708.91200000000003</v>
      </c>
      <c r="I403" t="str">
        <f t="shared" si="31"/>
        <v>Low Sales</v>
      </c>
      <c r="J403" t="str">
        <f t="shared" si="32"/>
        <v>Average Performance</v>
      </c>
      <c r="K403">
        <f t="shared" si="33"/>
        <v>2003</v>
      </c>
      <c r="L403" t="str">
        <f t="shared" si="34"/>
        <v>November</v>
      </c>
    </row>
    <row r="404" spans="1:12" x14ac:dyDescent="0.25">
      <c r="A404" t="s">
        <v>111</v>
      </c>
      <c r="B404" t="s">
        <v>258</v>
      </c>
      <c r="C404" t="s">
        <v>262</v>
      </c>
      <c r="D404" t="str">
        <f t="shared" si="30"/>
        <v>Classic Cars</v>
      </c>
      <c r="E404" t="s">
        <v>283</v>
      </c>
      <c r="F404" s="5">
        <v>5195.8500000000004</v>
      </c>
      <c r="G404" s="5">
        <v>1039.17</v>
      </c>
      <c r="I404" t="str">
        <f t="shared" si="31"/>
        <v>Low Sales</v>
      </c>
      <c r="J404" t="str">
        <f t="shared" si="32"/>
        <v>Average Performance</v>
      </c>
      <c r="K404">
        <f t="shared" si="33"/>
        <v>2003</v>
      </c>
      <c r="L404" t="str">
        <f t="shared" si="34"/>
        <v>December</v>
      </c>
    </row>
    <row r="405" spans="1:12" x14ac:dyDescent="0.25">
      <c r="A405" t="s">
        <v>144</v>
      </c>
      <c r="B405" t="s">
        <v>258</v>
      </c>
      <c r="C405" t="s">
        <v>262</v>
      </c>
      <c r="D405" t="str">
        <f t="shared" si="30"/>
        <v>Classic Cars</v>
      </c>
      <c r="E405" t="s">
        <v>283</v>
      </c>
      <c r="F405" s="5">
        <v>4180.4399999999996</v>
      </c>
      <c r="G405" s="5">
        <v>836.08799999999997</v>
      </c>
      <c r="I405" t="str">
        <f t="shared" si="31"/>
        <v>Low Sales</v>
      </c>
      <c r="J405" t="str">
        <f t="shared" si="32"/>
        <v>Average Performance</v>
      </c>
      <c r="K405">
        <f t="shared" si="33"/>
        <v>2004</v>
      </c>
      <c r="L405" t="str">
        <f t="shared" si="34"/>
        <v>January</v>
      </c>
    </row>
    <row r="406" spans="1:12" x14ac:dyDescent="0.25">
      <c r="A406" t="s">
        <v>112</v>
      </c>
      <c r="B406" t="s">
        <v>258</v>
      </c>
      <c r="C406" t="s">
        <v>262</v>
      </c>
      <c r="D406" t="str">
        <f t="shared" si="30"/>
        <v>Classic Cars</v>
      </c>
      <c r="E406" t="s">
        <v>283</v>
      </c>
      <c r="F406" s="5">
        <v>2684.43</v>
      </c>
      <c r="G406" s="5">
        <v>536.88599999999997</v>
      </c>
      <c r="I406" t="str">
        <f t="shared" si="31"/>
        <v>Low Sales</v>
      </c>
      <c r="J406" t="str">
        <f t="shared" si="32"/>
        <v>Average Performance</v>
      </c>
      <c r="K406">
        <f t="shared" si="33"/>
        <v>2004</v>
      </c>
      <c r="L406" t="str">
        <f t="shared" si="34"/>
        <v>February</v>
      </c>
    </row>
    <row r="407" spans="1:12" x14ac:dyDescent="0.25">
      <c r="A407" t="s">
        <v>154</v>
      </c>
      <c r="B407" t="s">
        <v>258</v>
      </c>
      <c r="C407" t="s">
        <v>262</v>
      </c>
      <c r="D407" t="str">
        <f t="shared" si="30"/>
        <v>Classic Cars</v>
      </c>
      <c r="E407" t="s">
        <v>283</v>
      </c>
      <c r="F407" s="5">
        <v>1958.88</v>
      </c>
      <c r="G407" s="5">
        <v>391.77600000000012</v>
      </c>
      <c r="I407" t="str">
        <f t="shared" si="31"/>
        <v>Low Sales</v>
      </c>
      <c r="J407" t="str">
        <f t="shared" si="32"/>
        <v>Average Performance</v>
      </c>
      <c r="K407">
        <f t="shared" si="33"/>
        <v>2004</v>
      </c>
      <c r="L407" t="str">
        <f t="shared" si="34"/>
        <v>April</v>
      </c>
    </row>
    <row r="408" spans="1:12" x14ac:dyDescent="0.25">
      <c r="A408" t="s">
        <v>114</v>
      </c>
      <c r="B408" t="s">
        <v>258</v>
      </c>
      <c r="C408" t="s">
        <v>262</v>
      </c>
      <c r="D408" t="str">
        <f t="shared" si="30"/>
        <v>Classic Cars</v>
      </c>
      <c r="E408" t="s">
        <v>283</v>
      </c>
      <c r="F408" s="5">
        <v>4910.57</v>
      </c>
      <c r="G408" s="5">
        <v>982.11400000000003</v>
      </c>
      <c r="I408" t="str">
        <f t="shared" si="31"/>
        <v>Low Sales</v>
      </c>
      <c r="J408" t="str">
        <f t="shared" si="32"/>
        <v>Average Performance</v>
      </c>
      <c r="K408">
        <f t="shared" si="33"/>
        <v>2004</v>
      </c>
      <c r="L408" t="str">
        <f t="shared" si="34"/>
        <v>June</v>
      </c>
    </row>
    <row r="409" spans="1:12" x14ac:dyDescent="0.25">
      <c r="A409" t="s">
        <v>115</v>
      </c>
      <c r="B409" t="s">
        <v>258</v>
      </c>
      <c r="C409" t="s">
        <v>262</v>
      </c>
      <c r="D409" t="str">
        <f t="shared" si="30"/>
        <v>Classic Cars</v>
      </c>
      <c r="E409" t="s">
        <v>283</v>
      </c>
      <c r="F409" s="5">
        <v>4468.3999999999996</v>
      </c>
      <c r="G409" s="5">
        <v>893.68</v>
      </c>
      <c r="I409" t="str">
        <f t="shared" si="31"/>
        <v>Low Sales</v>
      </c>
      <c r="J409" t="str">
        <f t="shared" si="32"/>
        <v>Average Performance</v>
      </c>
      <c r="K409">
        <f t="shared" si="33"/>
        <v>2004</v>
      </c>
      <c r="L409" t="str">
        <f t="shared" si="34"/>
        <v>July</v>
      </c>
    </row>
    <row r="410" spans="1:12" x14ac:dyDescent="0.25">
      <c r="A410" t="s">
        <v>155</v>
      </c>
      <c r="B410" t="s">
        <v>260</v>
      </c>
      <c r="C410" t="s">
        <v>262</v>
      </c>
      <c r="D410" t="str">
        <f t="shared" si="30"/>
        <v>Classic Cars</v>
      </c>
      <c r="E410" t="s">
        <v>283</v>
      </c>
      <c r="F410" s="5">
        <v>3127.88</v>
      </c>
      <c r="G410" s="5">
        <v>625.57600000000002</v>
      </c>
      <c r="I410" t="str">
        <f t="shared" si="31"/>
        <v>Low Sales</v>
      </c>
      <c r="J410" t="str">
        <f t="shared" si="32"/>
        <v>Average Performance</v>
      </c>
      <c r="K410">
        <f t="shared" si="33"/>
        <v>2004</v>
      </c>
      <c r="L410" t="str">
        <f t="shared" si="34"/>
        <v>August</v>
      </c>
    </row>
    <row r="411" spans="1:12" x14ac:dyDescent="0.25">
      <c r="A411" t="s">
        <v>117</v>
      </c>
      <c r="B411" t="s">
        <v>258</v>
      </c>
      <c r="C411" t="s">
        <v>262</v>
      </c>
      <c r="D411" t="str">
        <f t="shared" si="30"/>
        <v>Classic Cars</v>
      </c>
      <c r="E411" t="s">
        <v>283</v>
      </c>
      <c r="F411" s="5">
        <v>2675.13</v>
      </c>
      <c r="G411" s="5">
        <v>535.02600000000007</v>
      </c>
      <c r="I411" t="str">
        <f t="shared" si="31"/>
        <v>Low Sales</v>
      </c>
      <c r="J411" t="str">
        <f t="shared" si="32"/>
        <v>Average Performance</v>
      </c>
      <c r="K411">
        <f t="shared" si="33"/>
        <v>2004</v>
      </c>
      <c r="L411" t="str">
        <f t="shared" si="34"/>
        <v>August</v>
      </c>
    </row>
    <row r="412" spans="1:12" x14ac:dyDescent="0.25">
      <c r="A412" t="s">
        <v>118</v>
      </c>
      <c r="B412" t="s">
        <v>258</v>
      </c>
      <c r="C412" t="s">
        <v>262</v>
      </c>
      <c r="D412" t="str">
        <f t="shared" si="30"/>
        <v>Classic Cars</v>
      </c>
      <c r="E412" t="s">
        <v>283</v>
      </c>
      <c r="F412" s="5">
        <v>2807.61</v>
      </c>
      <c r="G412" s="5">
        <v>561.52200000000005</v>
      </c>
      <c r="I412" t="str">
        <f t="shared" si="31"/>
        <v>Low Sales</v>
      </c>
      <c r="J412" t="str">
        <f t="shared" si="32"/>
        <v>Average Performance</v>
      </c>
      <c r="K412">
        <f t="shared" si="33"/>
        <v>2003</v>
      </c>
      <c r="L412" t="str">
        <f t="shared" si="34"/>
        <v>October</v>
      </c>
    </row>
    <row r="413" spans="1:12" x14ac:dyDescent="0.25">
      <c r="A413" t="s">
        <v>119</v>
      </c>
      <c r="B413" t="s">
        <v>258</v>
      </c>
      <c r="C413" t="s">
        <v>262</v>
      </c>
      <c r="D413" t="str">
        <f t="shared" si="30"/>
        <v>Classic Cars</v>
      </c>
      <c r="E413" t="s">
        <v>283</v>
      </c>
      <c r="F413" s="5">
        <v>2504.75</v>
      </c>
      <c r="G413" s="5">
        <v>500.95</v>
      </c>
      <c r="I413" t="str">
        <f t="shared" si="31"/>
        <v>Low Sales</v>
      </c>
      <c r="J413" t="str">
        <f t="shared" si="32"/>
        <v>Average Performance</v>
      </c>
      <c r="K413">
        <f t="shared" si="33"/>
        <v>2004</v>
      </c>
      <c r="L413" t="str">
        <f t="shared" si="34"/>
        <v>October</v>
      </c>
    </row>
    <row r="414" spans="1:12" x14ac:dyDescent="0.25">
      <c r="A414" t="s">
        <v>51</v>
      </c>
      <c r="C414" t="s">
        <v>262</v>
      </c>
      <c r="D414" t="str">
        <f t="shared" si="30"/>
        <v>Classic Cars</v>
      </c>
      <c r="E414" t="s">
        <v>283</v>
      </c>
      <c r="F414" s="5">
        <v>2984.88</v>
      </c>
      <c r="G414" s="5">
        <v>596.976</v>
      </c>
      <c r="I414" t="str">
        <f t="shared" si="31"/>
        <v>Low Sales</v>
      </c>
      <c r="J414" t="str">
        <f t="shared" si="32"/>
        <v>Average Performance</v>
      </c>
      <c r="K414">
        <f t="shared" si="33"/>
        <v>2004</v>
      </c>
      <c r="L414" t="str">
        <f t="shared" si="34"/>
        <v>November</v>
      </c>
    </row>
    <row r="415" spans="1:12" x14ac:dyDescent="0.25">
      <c r="A415" t="s">
        <v>25</v>
      </c>
      <c r="C415" t="s">
        <v>262</v>
      </c>
      <c r="D415" t="str">
        <f t="shared" si="30"/>
        <v>Classic Cars</v>
      </c>
      <c r="E415" t="s">
        <v>283</v>
      </c>
      <c r="F415" s="5">
        <v>2524.86</v>
      </c>
      <c r="G415" s="5">
        <v>504.97199999999998</v>
      </c>
      <c r="I415" t="str">
        <f t="shared" si="31"/>
        <v>Low Sales</v>
      </c>
      <c r="J415" t="str">
        <f t="shared" si="32"/>
        <v>Average Performance</v>
      </c>
      <c r="K415">
        <f t="shared" si="33"/>
        <v>2004</v>
      </c>
      <c r="L415" t="str">
        <f t="shared" si="34"/>
        <v>November</v>
      </c>
    </row>
    <row r="416" spans="1:12" x14ac:dyDescent="0.25">
      <c r="A416" t="s">
        <v>26</v>
      </c>
      <c r="B416" t="s">
        <v>258</v>
      </c>
      <c r="C416" t="s">
        <v>262</v>
      </c>
      <c r="D416" t="str">
        <f t="shared" si="30"/>
        <v>Classic Cars</v>
      </c>
      <c r="E416" t="s">
        <v>283</v>
      </c>
      <c r="F416" s="5">
        <v>4136</v>
      </c>
      <c r="G416" s="5">
        <v>827.2</v>
      </c>
      <c r="I416" t="str">
        <f t="shared" si="31"/>
        <v>Low Sales</v>
      </c>
      <c r="J416" t="str">
        <f t="shared" si="32"/>
        <v>Average Performance</v>
      </c>
      <c r="K416">
        <f t="shared" si="33"/>
        <v>2004</v>
      </c>
      <c r="L416" t="str">
        <f t="shared" si="34"/>
        <v>November</v>
      </c>
    </row>
    <row r="417" spans="1:12" x14ac:dyDescent="0.25">
      <c r="A417" t="s">
        <v>121</v>
      </c>
      <c r="B417" t="s">
        <v>258</v>
      </c>
      <c r="C417" t="s">
        <v>262</v>
      </c>
      <c r="D417" t="str">
        <f t="shared" si="30"/>
        <v>Classic Cars</v>
      </c>
      <c r="E417" t="s">
        <v>283</v>
      </c>
      <c r="F417" s="5">
        <v>4068.7</v>
      </c>
      <c r="G417" s="5">
        <v>813.74</v>
      </c>
      <c r="I417" t="str">
        <f t="shared" si="31"/>
        <v>Low Sales</v>
      </c>
      <c r="J417" t="str">
        <f t="shared" si="32"/>
        <v>Average Performance</v>
      </c>
      <c r="K417">
        <f t="shared" si="33"/>
        <v>2005</v>
      </c>
      <c r="L417" t="str">
        <f t="shared" si="34"/>
        <v>January</v>
      </c>
    </row>
    <row r="418" spans="1:12" x14ac:dyDescent="0.25">
      <c r="A418" t="s">
        <v>148</v>
      </c>
      <c r="B418" t="s">
        <v>258</v>
      </c>
      <c r="C418" t="s">
        <v>262</v>
      </c>
      <c r="D418" t="str">
        <f t="shared" si="30"/>
        <v>Classic Cars</v>
      </c>
      <c r="E418" t="s">
        <v>283</v>
      </c>
      <c r="F418" s="5">
        <v>5182</v>
      </c>
      <c r="G418" s="5">
        <v>1036.4000000000001</v>
      </c>
      <c r="I418" t="str">
        <f t="shared" si="31"/>
        <v>Low Sales</v>
      </c>
      <c r="J418" t="str">
        <f t="shared" si="32"/>
        <v>Average Performance</v>
      </c>
      <c r="K418">
        <f t="shared" si="33"/>
        <v>2005</v>
      </c>
      <c r="L418" t="str">
        <f t="shared" si="34"/>
        <v>February</v>
      </c>
    </row>
    <row r="419" spans="1:12" x14ac:dyDescent="0.25">
      <c r="A419" t="s">
        <v>29</v>
      </c>
      <c r="B419" t="s">
        <v>258</v>
      </c>
      <c r="C419" t="s">
        <v>262</v>
      </c>
      <c r="D419" t="str">
        <f t="shared" si="30"/>
        <v>Classic Cars</v>
      </c>
      <c r="E419" t="s">
        <v>283</v>
      </c>
      <c r="F419" s="5">
        <v>5243.79</v>
      </c>
      <c r="G419" s="5">
        <v>1048.758</v>
      </c>
      <c r="I419" t="str">
        <f t="shared" si="31"/>
        <v>Low Sales</v>
      </c>
      <c r="J419" t="str">
        <f t="shared" si="32"/>
        <v>Average Performance</v>
      </c>
      <c r="K419">
        <f t="shared" si="33"/>
        <v>2005</v>
      </c>
      <c r="L419" t="str">
        <f t="shared" si="34"/>
        <v>March</v>
      </c>
    </row>
    <row r="420" spans="1:12" x14ac:dyDescent="0.25">
      <c r="A420" t="s">
        <v>156</v>
      </c>
      <c r="B420" t="s">
        <v>258</v>
      </c>
      <c r="C420" t="s">
        <v>262</v>
      </c>
      <c r="D420" t="str">
        <f t="shared" si="30"/>
        <v>Classic Cars</v>
      </c>
      <c r="E420" t="s">
        <v>283</v>
      </c>
      <c r="F420" s="5">
        <v>9048.16</v>
      </c>
      <c r="G420" s="5">
        <v>1809.6320000000001</v>
      </c>
      <c r="I420" t="str">
        <f t="shared" si="31"/>
        <v>Low Sales</v>
      </c>
      <c r="J420" t="str">
        <f t="shared" si="32"/>
        <v>Average Performance</v>
      </c>
      <c r="K420">
        <f t="shared" si="33"/>
        <v>2005</v>
      </c>
      <c r="L420" t="str">
        <f t="shared" si="34"/>
        <v>April</v>
      </c>
    </row>
    <row r="421" spans="1:12" x14ac:dyDescent="0.25">
      <c r="A421" t="s">
        <v>122</v>
      </c>
      <c r="B421" t="s">
        <v>258</v>
      </c>
      <c r="C421" t="s">
        <v>262</v>
      </c>
      <c r="D421" t="str">
        <f t="shared" si="30"/>
        <v>Classic Cars</v>
      </c>
      <c r="E421" t="s">
        <v>283</v>
      </c>
      <c r="F421" s="5">
        <v>3832.64</v>
      </c>
      <c r="G421" s="5">
        <v>766.52800000000002</v>
      </c>
      <c r="I421" t="str">
        <f t="shared" si="31"/>
        <v>Low Sales</v>
      </c>
      <c r="J421" t="str">
        <f t="shared" si="32"/>
        <v>Average Performance</v>
      </c>
      <c r="K421">
        <f t="shared" si="33"/>
        <v>2005</v>
      </c>
      <c r="L421" t="str">
        <f t="shared" si="34"/>
        <v>May</v>
      </c>
    </row>
    <row r="422" spans="1:12" x14ac:dyDescent="0.25">
      <c r="A422" t="s">
        <v>32</v>
      </c>
      <c r="B422" t="s">
        <v>258</v>
      </c>
      <c r="C422" t="s">
        <v>263</v>
      </c>
      <c r="D422" t="str">
        <f t="shared" si="30"/>
        <v>Trucks And Buses</v>
      </c>
      <c r="E422" t="s">
        <v>284</v>
      </c>
      <c r="F422" s="5">
        <v>3920</v>
      </c>
      <c r="G422" s="5">
        <v>784</v>
      </c>
      <c r="I422" t="str">
        <f t="shared" si="31"/>
        <v>Low Sales</v>
      </c>
      <c r="J422" t="str">
        <f t="shared" si="32"/>
        <v>Average Performance</v>
      </c>
      <c r="K422">
        <f t="shared" si="33"/>
        <v>2003</v>
      </c>
      <c r="L422" t="str">
        <f t="shared" si="34"/>
        <v>January</v>
      </c>
    </row>
    <row r="423" spans="1:12" x14ac:dyDescent="0.25">
      <c r="A423" t="s">
        <v>137</v>
      </c>
      <c r="C423" t="s">
        <v>263</v>
      </c>
      <c r="D423" t="str">
        <f t="shared" si="30"/>
        <v>Trucks And Buses</v>
      </c>
      <c r="E423" t="s">
        <v>284</v>
      </c>
      <c r="F423" s="5">
        <v>4916.66</v>
      </c>
      <c r="G423" s="5">
        <v>983.33199999999999</v>
      </c>
      <c r="I423" t="str">
        <f t="shared" si="31"/>
        <v>Low Sales</v>
      </c>
      <c r="J423" t="str">
        <f t="shared" si="32"/>
        <v>Average Performance</v>
      </c>
      <c r="K423">
        <f t="shared" si="33"/>
        <v>2003</v>
      </c>
      <c r="L423" t="str">
        <f t="shared" si="34"/>
        <v>March</v>
      </c>
    </row>
    <row r="424" spans="1:12" x14ac:dyDescent="0.25">
      <c r="A424" t="s">
        <v>34</v>
      </c>
      <c r="B424" t="s">
        <v>258</v>
      </c>
      <c r="C424" t="s">
        <v>263</v>
      </c>
      <c r="D424" t="str">
        <f t="shared" si="30"/>
        <v>Trucks And Buses</v>
      </c>
      <c r="E424" t="s">
        <v>284</v>
      </c>
      <c r="F424" s="5">
        <v>3857</v>
      </c>
      <c r="G424" s="5">
        <v>771.40000000000009</v>
      </c>
      <c r="I424" t="str">
        <f t="shared" si="31"/>
        <v>Low Sales</v>
      </c>
      <c r="J424" t="str">
        <f t="shared" si="32"/>
        <v>Average Performance</v>
      </c>
      <c r="K424">
        <f t="shared" si="33"/>
        <v>2003</v>
      </c>
      <c r="L424" t="str">
        <f t="shared" si="34"/>
        <v>May</v>
      </c>
    </row>
    <row r="425" spans="1:12" x14ac:dyDescent="0.25">
      <c r="A425" t="s">
        <v>35</v>
      </c>
      <c r="C425" t="s">
        <v>263</v>
      </c>
      <c r="D425" t="str">
        <f t="shared" si="30"/>
        <v>Trucks And Buses</v>
      </c>
      <c r="E425" t="s">
        <v>284</v>
      </c>
      <c r="F425" s="5">
        <v>4181.4399999999996</v>
      </c>
      <c r="G425" s="5">
        <v>836.28800000000001</v>
      </c>
      <c r="I425" t="str">
        <f t="shared" si="31"/>
        <v>Low Sales</v>
      </c>
      <c r="J425" t="str">
        <f t="shared" si="32"/>
        <v>Average Performance</v>
      </c>
      <c r="K425">
        <f t="shared" si="33"/>
        <v>2003</v>
      </c>
      <c r="L425" t="str">
        <f t="shared" si="34"/>
        <v>July</v>
      </c>
    </row>
    <row r="426" spans="1:12" x14ac:dyDescent="0.25">
      <c r="A426" t="s">
        <v>36</v>
      </c>
      <c r="B426" t="s">
        <v>260</v>
      </c>
      <c r="C426" t="s">
        <v>263</v>
      </c>
      <c r="D426" t="str">
        <f t="shared" si="30"/>
        <v>Trucks And Buses</v>
      </c>
      <c r="E426" t="s">
        <v>284</v>
      </c>
      <c r="F426" s="5">
        <v>4641</v>
      </c>
      <c r="G426" s="5">
        <v>928.2</v>
      </c>
      <c r="I426" t="str">
        <f t="shared" si="31"/>
        <v>Low Sales</v>
      </c>
      <c r="J426" t="str">
        <f t="shared" si="32"/>
        <v>Average Performance</v>
      </c>
      <c r="K426">
        <f t="shared" si="33"/>
        <v>2003</v>
      </c>
      <c r="L426" t="str">
        <f t="shared" si="34"/>
        <v>September</v>
      </c>
    </row>
    <row r="427" spans="1:12" x14ac:dyDescent="0.25">
      <c r="A427" t="s">
        <v>96</v>
      </c>
      <c r="B427" t="s">
        <v>258</v>
      </c>
      <c r="C427" t="s">
        <v>263</v>
      </c>
      <c r="D427" t="str">
        <f t="shared" si="30"/>
        <v>Trucks And Buses</v>
      </c>
      <c r="E427" t="s">
        <v>284</v>
      </c>
      <c r="F427" s="5">
        <v>3570.12</v>
      </c>
      <c r="G427" s="5">
        <v>714.024</v>
      </c>
      <c r="I427" t="str">
        <f t="shared" si="31"/>
        <v>Low Sales</v>
      </c>
      <c r="J427" t="str">
        <f t="shared" si="32"/>
        <v>Average Performance</v>
      </c>
      <c r="K427">
        <f t="shared" si="33"/>
        <v>2003</v>
      </c>
      <c r="L427" t="str">
        <f t="shared" si="34"/>
        <v>October</v>
      </c>
    </row>
    <row r="428" spans="1:12" x14ac:dyDescent="0.25">
      <c r="A428" t="s">
        <v>38</v>
      </c>
      <c r="B428" t="s">
        <v>259</v>
      </c>
      <c r="C428" t="s">
        <v>263</v>
      </c>
      <c r="D428" t="str">
        <f t="shared" si="30"/>
        <v>Trucks And Buses</v>
      </c>
      <c r="E428" t="s">
        <v>284</v>
      </c>
      <c r="F428" s="5">
        <v>4480.32</v>
      </c>
      <c r="G428" s="5">
        <v>896.06399999999996</v>
      </c>
      <c r="I428" t="str">
        <f t="shared" si="31"/>
        <v>Low Sales</v>
      </c>
      <c r="J428" t="str">
        <f t="shared" si="32"/>
        <v>Average Performance</v>
      </c>
      <c r="K428">
        <f t="shared" si="33"/>
        <v>2003</v>
      </c>
      <c r="L428" t="str">
        <f t="shared" si="34"/>
        <v>November</v>
      </c>
    </row>
    <row r="429" spans="1:12" x14ac:dyDescent="0.25">
      <c r="A429" t="s">
        <v>39</v>
      </c>
      <c r="C429" t="s">
        <v>263</v>
      </c>
      <c r="D429" t="str">
        <f t="shared" si="30"/>
        <v>Trucks And Buses</v>
      </c>
      <c r="E429" t="s">
        <v>284</v>
      </c>
      <c r="F429" s="5">
        <v>2033.64</v>
      </c>
      <c r="G429" s="5">
        <v>406.72800000000012</v>
      </c>
      <c r="I429" t="str">
        <f t="shared" si="31"/>
        <v>Low Sales</v>
      </c>
      <c r="J429" t="str">
        <f t="shared" si="32"/>
        <v>Average Performance</v>
      </c>
      <c r="K429">
        <f t="shared" si="33"/>
        <v>2003</v>
      </c>
      <c r="L429" t="str">
        <f t="shared" si="34"/>
        <v>November</v>
      </c>
    </row>
    <row r="430" spans="1:12" x14ac:dyDescent="0.25">
      <c r="A430" t="s">
        <v>40</v>
      </c>
      <c r="B430" t="s">
        <v>258</v>
      </c>
      <c r="C430" t="s">
        <v>263</v>
      </c>
      <c r="D430" t="str">
        <f t="shared" si="30"/>
        <v>Trucks And Buses</v>
      </c>
      <c r="E430" t="s">
        <v>284</v>
      </c>
      <c r="F430" s="5">
        <v>1960.14</v>
      </c>
      <c r="G430" s="5">
        <v>392.02800000000002</v>
      </c>
      <c r="I430" t="str">
        <f t="shared" si="31"/>
        <v>Low Sales</v>
      </c>
      <c r="J430" t="str">
        <f t="shared" si="32"/>
        <v>Average Performance</v>
      </c>
      <c r="K430">
        <f t="shared" si="33"/>
        <v>2003</v>
      </c>
      <c r="L430" t="str">
        <f t="shared" si="34"/>
        <v>November</v>
      </c>
    </row>
    <row r="431" spans="1:12" x14ac:dyDescent="0.25">
      <c r="A431" t="s">
        <v>41</v>
      </c>
      <c r="C431" t="s">
        <v>263</v>
      </c>
      <c r="D431" t="str">
        <f t="shared" si="30"/>
        <v>Trucks And Buses</v>
      </c>
      <c r="E431" t="s">
        <v>284</v>
      </c>
      <c r="F431" s="5">
        <v>3966.78</v>
      </c>
      <c r="G431" s="5">
        <v>793.35600000000011</v>
      </c>
      <c r="I431" t="str">
        <f t="shared" si="31"/>
        <v>Low Sales</v>
      </c>
      <c r="J431" t="str">
        <f t="shared" si="32"/>
        <v>Average Performance</v>
      </c>
      <c r="K431">
        <f t="shared" si="33"/>
        <v>2003</v>
      </c>
      <c r="L431" t="str">
        <f t="shared" si="34"/>
        <v>December</v>
      </c>
    </row>
    <row r="432" spans="1:12" x14ac:dyDescent="0.25">
      <c r="A432" t="s">
        <v>42</v>
      </c>
      <c r="C432" t="s">
        <v>263</v>
      </c>
      <c r="D432" t="str">
        <f t="shared" si="30"/>
        <v>Trucks And Buses</v>
      </c>
      <c r="E432" t="s">
        <v>284</v>
      </c>
      <c r="F432" s="5">
        <v>5152</v>
      </c>
      <c r="G432" s="5">
        <v>1030.4000000000001</v>
      </c>
      <c r="I432" t="str">
        <f t="shared" si="31"/>
        <v>Low Sales</v>
      </c>
      <c r="J432" t="str">
        <f t="shared" si="32"/>
        <v>Average Performance</v>
      </c>
      <c r="K432">
        <f t="shared" si="33"/>
        <v>2004</v>
      </c>
      <c r="L432" t="str">
        <f t="shared" si="34"/>
        <v>January</v>
      </c>
    </row>
    <row r="433" spans="1:12" x14ac:dyDescent="0.25">
      <c r="A433" t="s">
        <v>43</v>
      </c>
      <c r="C433" t="s">
        <v>263</v>
      </c>
      <c r="D433" t="str">
        <f t="shared" si="30"/>
        <v>Trucks And Buses</v>
      </c>
      <c r="E433" t="s">
        <v>284</v>
      </c>
      <c r="F433" s="5">
        <v>3360</v>
      </c>
      <c r="G433" s="5">
        <v>672</v>
      </c>
      <c r="I433" t="str">
        <f t="shared" si="31"/>
        <v>Low Sales</v>
      </c>
      <c r="J433" t="str">
        <f t="shared" si="32"/>
        <v>Average Performance</v>
      </c>
      <c r="K433">
        <f t="shared" si="33"/>
        <v>2004</v>
      </c>
      <c r="L433" t="str">
        <f t="shared" si="34"/>
        <v>March</v>
      </c>
    </row>
    <row r="434" spans="1:12" x14ac:dyDescent="0.25">
      <c r="A434" t="s">
        <v>44</v>
      </c>
      <c r="C434" t="s">
        <v>263</v>
      </c>
      <c r="D434" t="str">
        <f t="shared" si="30"/>
        <v>Trucks And Buses</v>
      </c>
      <c r="E434" t="s">
        <v>284</v>
      </c>
      <c r="F434" s="5">
        <v>3451</v>
      </c>
      <c r="G434" s="5">
        <v>690.2</v>
      </c>
      <c r="I434" t="str">
        <f t="shared" si="31"/>
        <v>Low Sales</v>
      </c>
      <c r="J434" t="str">
        <f t="shared" si="32"/>
        <v>Average Performance</v>
      </c>
      <c r="K434">
        <f t="shared" si="33"/>
        <v>2004</v>
      </c>
      <c r="L434" t="str">
        <f t="shared" si="34"/>
        <v>May</v>
      </c>
    </row>
    <row r="435" spans="1:12" x14ac:dyDescent="0.25">
      <c r="A435" t="s">
        <v>45</v>
      </c>
      <c r="B435" t="s">
        <v>260</v>
      </c>
      <c r="C435" t="s">
        <v>263</v>
      </c>
      <c r="D435" t="str">
        <f t="shared" si="30"/>
        <v>Trucks And Buses</v>
      </c>
      <c r="E435" t="s">
        <v>284</v>
      </c>
      <c r="F435" s="5">
        <v>5453</v>
      </c>
      <c r="G435" s="5">
        <v>1090.5999999999999</v>
      </c>
      <c r="I435" t="str">
        <f t="shared" si="31"/>
        <v>Low Sales</v>
      </c>
      <c r="J435" t="str">
        <f t="shared" si="32"/>
        <v>Average Performance</v>
      </c>
      <c r="K435">
        <f t="shared" si="33"/>
        <v>2004</v>
      </c>
      <c r="L435" t="str">
        <f t="shared" si="34"/>
        <v>June</v>
      </c>
    </row>
    <row r="436" spans="1:12" x14ac:dyDescent="0.25">
      <c r="A436" t="s">
        <v>46</v>
      </c>
      <c r="B436" t="s">
        <v>259</v>
      </c>
      <c r="C436" t="s">
        <v>263</v>
      </c>
      <c r="D436" t="str">
        <f t="shared" si="30"/>
        <v>Trucks And Buses</v>
      </c>
      <c r="E436" t="s">
        <v>284</v>
      </c>
      <c r="F436" s="5">
        <v>4164.12</v>
      </c>
      <c r="G436" s="5">
        <v>832.82400000000007</v>
      </c>
      <c r="I436" t="str">
        <f t="shared" si="31"/>
        <v>Low Sales</v>
      </c>
      <c r="J436" t="str">
        <f t="shared" si="32"/>
        <v>Average Performance</v>
      </c>
      <c r="K436">
        <f t="shared" si="33"/>
        <v>2004</v>
      </c>
      <c r="L436" t="str">
        <f t="shared" si="34"/>
        <v>July</v>
      </c>
    </row>
    <row r="437" spans="1:12" x14ac:dyDescent="0.25">
      <c r="A437" t="s">
        <v>47</v>
      </c>
      <c r="B437" t="s">
        <v>258</v>
      </c>
      <c r="C437" t="s">
        <v>263</v>
      </c>
      <c r="D437" t="str">
        <f t="shared" si="30"/>
        <v>Trucks And Buses</v>
      </c>
      <c r="E437" t="s">
        <v>284</v>
      </c>
      <c r="F437" s="5">
        <v>2800.08</v>
      </c>
      <c r="G437" s="5">
        <v>560.01599999999996</v>
      </c>
      <c r="I437" t="str">
        <f t="shared" si="31"/>
        <v>Low Sales</v>
      </c>
      <c r="J437" t="str">
        <f t="shared" si="32"/>
        <v>Average Performance</v>
      </c>
      <c r="K437">
        <f t="shared" si="33"/>
        <v>2004</v>
      </c>
      <c r="L437" t="str">
        <f t="shared" si="34"/>
        <v>August</v>
      </c>
    </row>
    <row r="438" spans="1:12" x14ac:dyDescent="0.25">
      <c r="A438" t="s">
        <v>48</v>
      </c>
      <c r="B438" t="s">
        <v>258</v>
      </c>
      <c r="C438" t="s">
        <v>263</v>
      </c>
      <c r="D438" t="str">
        <f t="shared" si="30"/>
        <v>Trucks And Buses</v>
      </c>
      <c r="E438" t="s">
        <v>284</v>
      </c>
      <c r="F438" s="5">
        <v>4687.9399999999996</v>
      </c>
      <c r="G438" s="5">
        <v>937.58799999999997</v>
      </c>
      <c r="I438" t="str">
        <f t="shared" si="31"/>
        <v>Low Sales</v>
      </c>
      <c r="J438" t="str">
        <f t="shared" si="32"/>
        <v>Average Performance</v>
      </c>
      <c r="K438">
        <f t="shared" si="33"/>
        <v>2004</v>
      </c>
      <c r="L438" t="str">
        <f t="shared" si="34"/>
        <v>September</v>
      </c>
    </row>
    <row r="439" spans="1:12" x14ac:dyDescent="0.25">
      <c r="A439" t="s">
        <v>49</v>
      </c>
      <c r="B439" t="s">
        <v>258</v>
      </c>
      <c r="C439" t="s">
        <v>263</v>
      </c>
      <c r="D439" t="str">
        <f t="shared" si="30"/>
        <v>Trucks And Buses</v>
      </c>
      <c r="E439" t="s">
        <v>284</v>
      </c>
      <c r="F439" s="5">
        <v>4508</v>
      </c>
      <c r="G439" s="5">
        <v>901.6</v>
      </c>
      <c r="I439" t="str">
        <f t="shared" si="31"/>
        <v>Low Sales</v>
      </c>
      <c r="J439" t="str">
        <f t="shared" si="32"/>
        <v>Average Performance</v>
      </c>
      <c r="K439">
        <f t="shared" si="33"/>
        <v>2004</v>
      </c>
      <c r="L439" t="str">
        <f t="shared" si="34"/>
        <v>October</v>
      </c>
    </row>
    <row r="440" spans="1:12" x14ac:dyDescent="0.25">
      <c r="A440" t="s">
        <v>50</v>
      </c>
      <c r="C440" t="s">
        <v>263</v>
      </c>
      <c r="D440" t="str">
        <f t="shared" si="30"/>
        <v>Trucks And Buses</v>
      </c>
      <c r="E440" t="s">
        <v>284</v>
      </c>
      <c r="F440" s="5">
        <v>4181.4399999999996</v>
      </c>
      <c r="G440" s="5">
        <v>836.28800000000001</v>
      </c>
      <c r="I440" t="str">
        <f t="shared" si="31"/>
        <v>Low Sales</v>
      </c>
      <c r="J440" t="str">
        <f t="shared" si="32"/>
        <v>Average Performance</v>
      </c>
      <c r="K440">
        <f t="shared" si="33"/>
        <v>2004</v>
      </c>
      <c r="L440" t="str">
        <f t="shared" si="34"/>
        <v>October</v>
      </c>
    </row>
    <row r="441" spans="1:12" x14ac:dyDescent="0.25">
      <c r="A441" t="s">
        <v>51</v>
      </c>
      <c r="C441" t="s">
        <v>263</v>
      </c>
      <c r="D441" t="str">
        <f t="shared" si="30"/>
        <v>Trucks And Buses</v>
      </c>
      <c r="E441" t="s">
        <v>284</v>
      </c>
      <c r="F441" s="5">
        <v>2251.04</v>
      </c>
      <c r="G441" s="5">
        <v>450.20800000000003</v>
      </c>
      <c r="I441" t="str">
        <f t="shared" si="31"/>
        <v>Low Sales</v>
      </c>
      <c r="J441" t="str">
        <f t="shared" si="32"/>
        <v>Average Performance</v>
      </c>
      <c r="K441">
        <f t="shared" si="33"/>
        <v>2004</v>
      </c>
      <c r="L441" t="str">
        <f t="shared" si="34"/>
        <v>November</v>
      </c>
    </row>
    <row r="442" spans="1:12" x14ac:dyDescent="0.25">
      <c r="A442" t="s">
        <v>52</v>
      </c>
      <c r="C442" t="s">
        <v>263</v>
      </c>
      <c r="D442" t="str">
        <f t="shared" si="30"/>
        <v>Trucks And Buses</v>
      </c>
      <c r="E442" t="s">
        <v>284</v>
      </c>
      <c r="F442" s="5">
        <v>1167.25</v>
      </c>
      <c r="G442" s="5">
        <v>233.45</v>
      </c>
      <c r="I442" t="str">
        <f t="shared" si="31"/>
        <v>Low Sales</v>
      </c>
      <c r="J442" t="str">
        <f t="shared" si="32"/>
        <v>Average Performance</v>
      </c>
      <c r="K442">
        <f t="shared" si="33"/>
        <v>2004</v>
      </c>
      <c r="L442" t="str">
        <f t="shared" si="34"/>
        <v>November</v>
      </c>
    </row>
    <row r="443" spans="1:12" x14ac:dyDescent="0.25">
      <c r="A443" t="s">
        <v>53</v>
      </c>
      <c r="B443" t="s">
        <v>259</v>
      </c>
      <c r="C443" t="s">
        <v>263</v>
      </c>
      <c r="D443" t="str">
        <f t="shared" si="30"/>
        <v>Trucks And Buses</v>
      </c>
      <c r="E443" t="s">
        <v>284</v>
      </c>
      <c r="F443" s="5">
        <v>2083.1999999999998</v>
      </c>
      <c r="G443" s="5">
        <v>416.64</v>
      </c>
      <c r="I443" t="str">
        <f t="shared" si="31"/>
        <v>Low Sales</v>
      </c>
      <c r="J443" t="str">
        <f t="shared" si="32"/>
        <v>Average Performance</v>
      </c>
      <c r="K443">
        <f t="shared" si="33"/>
        <v>2004</v>
      </c>
      <c r="L443" t="str">
        <f t="shared" si="34"/>
        <v>November</v>
      </c>
    </row>
    <row r="444" spans="1:12" x14ac:dyDescent="0.25">
      <c r="A444" t="s">
        <v>54</v>
      </c>
      <c r="C444" t="s">
        <v>263</v>
      </c>
      <c r="D444" t="str">
        <f t="shared" si="30"/>
        <v>Trucks And Buses</v>
      </c>
      <c r="E444" t="s">
        <v>284</v>
      </c>
      <c r="F444" s="5">
        <v>3822</v>
      </c>
      <c r="G444" s="5">
        <v>764.40000000000009</v>
      </c>
      <c r="I444" t="str">
        <f t="shared" si="31"/>
        <v>Low Sales</v>
      </c>
      <c r="J444" t="str">
        <f t="shared" si="32"/>
        <v>Average Performance</v>
      </c>
      <c r="K444">
        <f t="shared" si="33"/>
        <v>2004</v>
      </c>
      <c r="L444" t="str">
        <f t="shared" si="34"/>
        <v>December</v>
      </c>
    </row>
    <row r="445" spans="1:12" x14ac:dyDescent="0.25">
      <c r="A445" t="s">
        <v>55</v>
      </c>
      <c r="B445" t="s">
        <v>259</v>
      </c>
      <c r="C445" t="s">
        <v>263</v>
      </c>
      <c r="D445" t="str">
        <f t="shared" si="30"/>
        <v>Trucks And Buses</v>
      </c>
      <c r="E445" t="s">
        <v>284</v>
      </c>
      <c r="F445" s="5">
        <v>3911.49</v>
      </c>
      <c r="G445" s="5">
        <v>782.298</v>
      </c>
      <c r="I445" t="str">
        <f t="shared" si="31"/>
        <v>Low Sales</v>
      </c>
      <c r="J445" t="str">
        <f t="shared" si="32"/>
        <v>Average Performance</v>
      </c>
      <c r="K445">
        <f t="shared" si="33"/>
        <v>2005</v>
      </c>
      <c r="L445" t="str">
        <f t="shared" si="34"/>
        <v>January</v>
      </c>
    </row>
    <row r="446" spans="1:12" x14ac:dyDescent="0.25">
      <c r="A446" t="s">
        <v>56</v>
      </c>
      <c r="C446" t="s">
        <v>263</v>
      </c>
      <c r="D446" t="str">
        <f t="shared" si="30"/>
        <v>Trucks And Buses</v>
      </c>
      <c r="E446" t="s">
        <v>284</v>
      </c>
      <c r="F446" s="5">
        <v>4704</v>
      </c>
      <c r="G446" s="5">
        <v>940.80000000000007</v>
      </c>
      <c r="I446" t="str">
        <f t="shared" si="31"/>
        <v>Low Sales</v>
      </c>
      <c r="J446" t="str">
        <f t="shared" si="32"/>
        <v>Average Performance</v>
      </c>
      <c r="K446">
        <f t="shared" si="33"/>
        <v>2005</v>
      </c>
      <c r="L446" t="str">
        <f t="shared" si="34"/>
        <v>February</v>
      </c>
    </row>
    <row r="447" spans="1:12" x14ac:dyDescent="0.25">
      <c r="A447" t="s">
        <v>57</v>
      </c>
      <c r="B447" t="s">
        <v>259</v>
      </c>
      <c r="C447" t="s">
        <v>263</v>
      </c>
      <c r="D447" t="str">
        <f t="shared" si="30"/>
        <v>Trucks And Buses</v>
      </c>
      <c r="E447" t="s">
        <v>284</v>
      </c>
      <c r="F447" s="5">
        <v>2467.9</v>
      </c>
      <c r="G447" s="5">
        <v>493.58</v>
      </c>
      <c r="I447" t="str">
        <f t="shared" si="31"/>
        <v>Low Sales</v>
      </c>
      <c r="J447" t="str">
        <f t="shared" si="32"/>
        <v>Average Performance</v>
      </c>
      <c r="K447">
        <f t="shared" si="33"/>
        <v>2005</v>
      </c>
      <c r="L447" t="str">
        <f t="shared" si="34"/>
        <v>March</v>
      </c>
    </row>
    <row r="448" spans="1:12" x14ac:dyDescent="0.25">
      <c r="A448" t="s">
        <v>58</v>
      </c>
      <c r="C448" t="s">
        <v>263</v>
      </c>
      <c r="D448" t="str">
        <f t="shared" si="30"/>
        <v>Trucks And Buses</v>
      </c>
      <c r="E448" t="s">
        <v>284</v>
      </c>
      <c r="F448" s="5">
        <v>3213</v>
      </c>
      <c r="G448" s="5">
        <v>642.6</v>
      </c>
      <c r="I448" t="str">
        <f t="shared" si="31"/>
        <v>Low Sales</v>
      </c>
      <c r="J448" t="str">
        <f t="shared" si="32"/>
        <v>Average Performance</v>
      </c>
      <c r="K448">
        <f t="shared" si="33"/>
        <v>2005</v>
      </c>
      <c r="L448" t="str">
        <f t="shared" si="34"/>
        <v>May</v>
      </c>
    </row>
    <row r="449" spans="1:12" x14ac:dyDescent="0.25">
      <c r="A449" t="s">
        <v>59</v>
      </c>
      <c r="B449" t="s">
        <v>258</v>
      </c>
      <c r="C449" t="s">
        <v>263</v>
      </c>
      <c r="D449" t="str">
        <f t="shared" si="30"/>
        <v>Trucks And Buses</v>
      </c>
      <c r="E449" t="s">
        <v>284</v>
      </c>
      <c r="F449" s="5">
        <v>7182</v>
      </c>
      <c r="G449" s="5">
        <v>1436.4</v>
      </c>
      <c r="I449" t="str">
        <f t="shared" si="31"/>
        <v>Low Sales</v>
      </c>
      <c r="J449" t="str">
        <f t="shared" si="32"/>
        <v>Average Performance</v>
      </c>
      <c r="K449">
        <f t="shared" si="33"/>
        <v>2005</v>
      </c>
      <c r="L449" t="str">
        <f t="shared" si="34"/>
        <v>May</v>
      </c>
    </row>
    <row r="450" spans="1:12" x14ac:dyDescent="0.25">
      <c r="A450" t="s">
        <v>157</v>
      </c>
      <c r="C450" t="s">
        <v>262</v>
      </c>
      <c r="D450" t="str">
        <f t="shared" si="30"/>
        <v>Classic Cars</v>
      </c>
      <c r="E450" t="s">
        <v>285</v>
      </c>
      <c r="F450" s="5">
        <v>4379.18</v>
      </c>
      <c r="G450" s="5">
        <v>875.83600000000013</v>
      </c>
      <c r="I450" t="str">
        <f t="shared" si="31"/>
        <v>Low Sales</v>
      </c>
      <c r="J450" t="str">
        <f t="shared" si="32"/>
        <v>Average Performance</v>
      </c>
      <c r="K450">
        <f t="shared" si="33"/>
        <v>2003</v>
      </c>
      <c r="L450" t="str">
        <f t="shared" si="34"/>
        <v>March</v>
      </c>
    </row>
    <row r="451" spans="1:12" x14ac:dyDescent="0.25">
      <c r="A451" t="s">
        <v>105</v>
      </c>
      <c r="B451" t="s">
        <v>258</v>
      </c>
      <c r="C451" t="s">
        <v>262</v>
      </c>
      <c r="D451" t="str">
        <f t="shared" ref="D451:D514" si="35">PROPER(TRIM(C451))</f>
        <v>Classic Cars</v>
      </c>
      <c r="E451" t="s">
        <v>285</v>
      </c>
      <c r="F451" s="5">
        <v>5004.8</v>
      </c>
      <c r="G451" s="5">
        <v>1000.96</v>
      </c>
      <c r="I451" t="str">
        <f t="shared" ref="I451:I514" si="36">IF(F451&gt;50000,"High Sales","Low Sales")</f>
        <v>Low Sales</v>
      </c>
      <c r="J451" t="str">
        <f t="shared" ref="J451:J514" si="37">IF(AND(F451&gt;30000,G451&gt;5000),"Good Performance","Average Performance")</f>
        <v>Average Performance</v>
      </c>
      <c r="K451">
        <f t="shared" ref="K451:K514" si="38">YEAR(A451)</f>
        <v>2003</v>
      </c>
      <c r="L451" t="str">
        <f t="shared" ref="L451:L514" si="39">TEXT(A451,"mmmm")</f>
        <v>May</v>
      </c>
    </row>
    <row r="452" spans="1:12" x14ac:dyDescent="0.25">
      <c r="A452" t="s">
        <v>158</v>
      </c>
      <c r="B452" t="s">
        <v>258</v>
      </c>
      <c r="C452" t="s">
        <v>262</v>
      </c>
      <c r="D452" t="str">
        <f t="shared" si="35"/>
        <v>Classic Cars</v>
      </c>
      <c r="E452" t="s">
        <v>285</v>
      </c>
      <c r="F452" s="5">
        <v>3644.75</v>
      </c>
      <c r="G452" s="5">
        <v>728.95</v>
      </c>
      <c r="I452" t="str">
        <f t="shared" si="36"/>
        <v>Low Sales</v>
      </c>
      <c r="J452" t="str">
        <f t="shared" si="37"/>
        <v>Average Performance</v>
      </c>
      <c r="K452">
        <f t="shared" si="38"/>
        <v>2003</v>
      </c>
      <c r="L452" t="str">
        <f t="shared" si="39"/>
        <v>July</v>
      </c>
    </row>
    <row r="453" spans="1:12" x14ac:dyDescent="0.25">
      <c r="A453" t="s">
        <v>159</v>
      </c>
      <c r="B453" t="s">
        <v>259</v>
      </c>
      <c r="C453" t="s">
        <v>262</v>
      </c>
      <c r="D453" t="str">
        <f t="shared" si="35"/>
        <v>Classic Cars</v>
      </c>
      <c r="E453" t="s">
        <v>285</v>
      </c>
      <c r="F453" s="5">
        <v>2702.04</v>
      </c>
      <c r="G453" s="5">
        <v>540.40800000000002</v>
      </c>
      <c r="I453" t="str">
        <f t="shared" si="36"/>
        <v>Low Sales</v>
      </c>
      <c r="J453" t="str">
        <f t="shared" si="37"/>
        <v>Average Performance</v>
      </c>
      <c r="K453">
        <f t="shared" si="38"/>
        <v>2003</v>
      </c>
      <c r="L453" t="str">
        <f t="shared" si="39"/>
        <v>September</v>
      </c>
    </row>
    <row r="454" spans="1:12" x14ac:dyDescent="0.25">
      <c r="A454" t="s">
        <v>160</v>
      </c>
      <c r="B454" t="s">
        <v>258</v>
      </c>
      <c r="C454" t="s">
        <v>262</v>
      </c>
      <c r="D454" t="str">
        <f t="shared" si="35"/>
        <v>Classic Cars</v>
      </c>
      <c r="E454" t="s">
        <v>285</v>
      </c>
      <c r="F454" s="5">
        <v>3764.88</v>
      </c>
      <c r="G454" s="5">
        <v>752.97600000000011</v>
      </c>
      <c r="I454" t="str">
        <f t="shared" si="36"/>
        <v>Low Sales</v>
      </c>
      <c r="J454" t="str">
        <f t="shared" si="37"/>
        <v>Average Performance</v>
      </c>
      <c r="K454">
        <f t="shared" si="38"/>
        <v>2003</v>
      </c>
      <c r="L454" t="str">
        <f t="shared" si="39"/>
        <v>October</v>
      </c>
    </row>
    <row r="455" spans="1:12" x14ac:dyDescent="0.25">
      <c r="A455" t="s">
        <v>161</v>
      </c>
      <c r="C455" t="s">
        <v>262</v>
      </c>
      <c r="D455" t="str">
        <f t="shared" si="35"/>
        <v>Classic Cars</v>
      </c>
      <c r="E455" t="s">
        <v>285</v>
      </c>
      <c r="F455" s="5">
        <v>4508</v>
      </c>
      <c r="G455" s="5">
        <v>901.6</v>
      </c>
      <c r="I455" t="str">
        <f t="shared" si="36"/>
        <v>Low Sales</v>
      </c>
      <c r="J455" t="str">
        <f t="shared" si="37"/>
        <v>Average Performance</v>
      </c>
      <c r="K455">
        <f t="shared" si="38"/>
        <v>2003</v>
      </c>
      <c r="L455" t="str">
        <f t="shared" si="39"/>
        <v>November</v>
      </c>
    </row>
    <row r="456" spans="1:12" x14ac:dyDescent="0.25">
      <c r="A456" t="s">
        <v>109</v>
      </c>
      <c r="B456" t="s">
        <v>258</v>
      </c>
      <c r="C456" t="s">
        <v>262</v>
      </c>
      <c r="D456" t="str">
        <f t="shared" si="35"/>
        <v>Classic Cars</v>
      </c>
      <c r="E456" t="s">
        <v>285</v>
      </c>
      <c r="F456" s="5">
        <v>5418.16</v>
      </c>
      <c r="G456" s="5">
        <v>1083.6320000000001</v>
      </c>
      <c r="I456" t="str">
        <f t="shared" si="36"/>
        <v>Low Sales</v>
      </c>
      <c r="J456" t="str">
        <f t="shared" si="37"/>
        <v>Average Performance</v>
      </c>
      <c r="K456">
        <f t="shared" si="38"/>
        <v>2003</v>
      </c>
      <c r="L456" t="str">
        <f t="shared" si="39"/>
        <v>November</v>
      </c>
    </row>
    <row r="457" spans="1:12" x14ac:dyDescent="0.25">
      <c r="A457" t="s">
        <v>110</v>
      </c>
      <c r="C457" t="s">
        <v>262</v>
      </c>
      <c r="D457" t="str">
        <f t="shared" si="35"/>
        <v>Classic Cars</v>
      </c>
      <c r="E457" t="s">
        <v>285</v>
      </c>
      <c r="F457" s="5">
        <v>3300.66</v>
      </c>
      <c r="G457" s="5">
        <v>660.13200000000006</v>
      </c>
      <c r="I457" t="str">
        <f t="shared" si="36"/>
        <v>Low Sales</v>
      </c>
      <c r="J457" t="str">
        <f t="shared" si="37"/>
        <v>Average Performance</v>
      </c>
      <c r="K457">
        <f t="shared" si="38"/>
        <v>2003</v>
      </c>
      <c r="L457" t="str">
        <f t="shared" si="39"/>
        <v>November</v>
      </c>
    </row>
    <row r="458" spans="1:12" x14ac:dyDescent="0.25">
      <c r="A458" t="s">
        <v>111</v>
      </c>
      <c r="C458" t="s">
        <v>262</v>
      </c>
      <c r="D458" t="str">
        <f t="shared" si="35"/>
        <v>Classic Cars</v>
      </c>
      <c r="E458" t="s">
        <v>285</v>
      </c>
      <c r="F458" s="5">
        <v>6182.4</v>
      </c>
      <c r="G458" s="5">
        <v>1236.48</v>
      </c>
      <c r="I458" t="str">
        <f t="shared" si="36"/>
        <v>Low Sales</v>
      </c>
      <c r="J458" t="str">
        <f t="shared" si="37"/>
        <v>Average Performance</v>
      </c>
      <c r="K458">
        <f t="shared" si="38"/>
        <v>2003</v>
      </c>
      <c r="L458" t="str">
        <f t="shared" si="39"/>
        <v>December</v>
      </c>
    </row>
    <row r="459" spans="1:12" x14ac:dyDescent="0.25">
      <c r="A459" t="s">
        <v>144</v>
      </c>
      <c r="B459" t="s">
        <v>258</v>
      </c>
      <c r="C459" t="s">
        <v>262</v>
      </c>
      <c r="D459" t="str">
        <f t="shared" si="35"/>
        <v>Classic Cars</v>
      </c>
      <c r="E459" t="s">
        <v>285</v>
      </c>
      <c r="F459" s="5">
        <v>4186.7299999999996</v>
      </c>
      <c r="G459" s="5">
        <v>837.346</v>
      </c>
      <c r="I459" t="str">
        <f t="shared" si="36"/>
        <v>Low Sales</v>
      </c>
      <c r="J459" t="str">
        <f t="shared" si="37"/>
        <v>Average Performance</v>
      </c>
      <c r="K459">
        <f t="shared" si="38"/>
        <v>2004</v>
      </c>
      <c r="L459" t="str">
        <f t="shared" si="39"/>
        <v>January</v>
      </c>
    </row>
    <row r="460" spans="1:12" x14ac:dyDescent="0.25">
      <c r="A460" t="s">
        <v>112</v>
      </c>
      <c r="B460" t="s">
        <v>258</v>
      </c>
      <c r="C460" t="s">
        <v>262</v>
      </c>
      <c r="D460" t="str">
        <f t="shared" si="35"/>
        <v>Classic Cars</v>
      </c>
      <c r="E460" t="s">
        <v>285</v>
      </c>
      <c r="F460" s="5">
        <v>4529.28</v>
      </c>
      <c r="G460" s="5">
        <v>905.85599999999999</v>
      </c>
      <c r="I460" t="str">
        <f t="shared" si="36"/>
        <v>Low Sales</v>
      </c>
      <c r="J460" t="str">
        <f t="shared" si="37"/>
        <v>Average Performance</v>
      </c>
      <c r="K460">
        <f t="shared" si="38"/>
        <v>2004</v>
      </c>
      <c r="L460" t="str">
        <f t="shared" si="39"/>
        <v>February</v>
      </c>
    </row>
    <row r="461" spans="1:12" x14ac:dyDescent="0.25">
      <c r="A461" t="s">
        <v>162</v>
      </c>
      <c r="B461" t="s">
        <v>260</v>
      </c>
      <c r="C461" t="s">
        <v>262</v>
      </c>
      <c r="D461" t="str">
        <f t="shared" si="35"/>
        <v>Classic Cars</v>
      </c>
      <c r="E461" t="s">
        <v>285</v>
      </c>
      <c r="F461" s="5">
        <v>5628.89</v>
      </c>
      <c r="G461" s="5">
        <v>1125.778</v>
      </c>
      <c r="I461" t="str">
        <f t="shared" si="36"/>
        <v>Low Sales</v>
      </c>
      <c r="J461" t="str">
        <f t="shared" si="37"/>
        <v>Average Performance</v>
      </c>
      <c r="K461">
        <f t="shared" si="38"/>
        <v>2004</v>
      </c>
      <c r="L461" t="str">
        <f t="shared" si="39"/>
        <v>April</v>
      </c>
    </row>
    <row r="462" spans="1:12" x14ac:dyDescent="0.25">
      <c r="A462" t="s">
        <v>114</v>
      </c>
      <c r="B462" t="s">
        <v>258</v>
      </c>
      <c r="C462" t="s">
        <v>262</v>
      </c>
      <c r="D462" t="str">
        <f t="shared" si="35"/>
        <v>Classic Cars</v>
      </c>
      <c r="E462" t="s">
        <v>285</v>
      </c>
      <c r="F462" s="5">
        <v>3054.48</v>
      </c>
      <c r="G462" s="5">
        <v>610.89600000000007</v>
      </c>
      <c r="I462" t="str">
        <f t="shared" si="36"/>
        <v>Low Sales</v>
      </c>
      <c r="J462" t="str">
        <f t="shared" si="37"/>
        <v>Average Performance</v>
      </c>
      <c r="K462">
        <f t="shared" si="38"/>
        <v>2004</v>
      </c>
      <c r="L462" t="str">
        <f t="shared" si="39"/>
        <v>June</v>
      </c>
    </row>
    <row r="463" spans="1:12" x14ac:dyDescent="0.25">
      <c r="A463" t="s">
        <v>115</v>
      </c>
      <c r="B463" t="s">
        <v>258</v>
      </c>
      <c r="C463" t="s">
        <v>262</v>
      </c>
      <c r="D463" t="str">
        <f t="shared" si="35"/>
        <v>Classic Cars</v>
      </c>
      <c r="E463" t="s">
        <v>285</v>
      </c>
      <c r="F463" s="5">
        <v>2526.5100000000002</v>
      </c>
      <c r="G463" s="5">
        <v>505.30200000000008</v>
      </c>
      <c r="I463" t="str">
        <f t="shared" si="36"/>
        <v>Low Sales</v>
      </c>
      <c r="J463" t="str">
        <f t="shared" si="37"/>
        <v>Average Performance</v>
      </c>
      <c r="K463">
        <f t="shared" si="38"/>
        <v>2004</v>
      </c>
      <c r="L463" t="str">
        <f t="shared" si="39"/>
        <v>July</v>
      </c>
    </row>
    <row r="464" spans="1:12" x14ac:dyDescent="0.25">
      <c r="A464" t="s">
        <v>163</v>
      </c>
      <c r="C464" t="s">
        <v>262</v>
      </c>
      <c r="D464" t="str">
        <f t="shared" si="35"/>
        <v>Classic Cars</v>
      </c>
      <c r="E464" t="s">
        <v>285</v>
      </c>
      <c r="F464" s="5">
        <v>4667.8599999999997</v>
      </c>
      <c r="G464" s="5">
        <v>933.572</v>
      </c>
      <c r="I464" t="str">
        <f t="shared" si="36"/>
        <v>Low Sales</v>
      </c>
      <c r="J464" t="str">
        <f t="shared" si="37"/>
        <v>Average Performance</v>
      </c>
      <c r="K464">
        <f t="shared" si="38"/>
        <v>2004</v>
      </c>
      <c r="L464" t="str">
        <f t="shared" si="39"/>
        <v>August</v>
      </c>
    </row>
    <row r="465" spans="1:12" x14ac:dyDescent="0.25">
      <c r="A465" t="s">
        <v>117</v>
      </c>
      <c r="B465" t="s">
        <v>258</v>
      </c>
      <c r="C465" t="s">
        <v>262</v>
      </c>
      <c r="D465" t="str">
        <f t="shared" si="35"/>
        <v>Classic Cars</v>
      </c>
      <c r="E465" t="s">
        <v>285</v>
      </c>
      <c r="F465" s="5">
        <v>6499.32</v>
      </c>
      <c r="G465" s="5">
        <v>1299.864</v>
      </c>
      <c r="I465" t="str">
        <f t="shared" si="36"/>
        <v>Low Sales</v>
      </c>
      <c r="J465" t="str">
        <f t="shared" si="37"/>
        <v>Average Performance</v>
      </c>
      <c r="K465">
        <f t="shared" si="38"/>
        <v>2004</v>
      </c>
      <c r="L465" t="str">
        <f t="shared" si="39"/>
        <v>August</v>
      </c>
    </row>
    <row r="466" spans="1:12" x14ac:dyDescent="0.25">
      <c r="A466" t="s">
        <v>164</v>
      </c>
      <c r="B466" t="s">
        <v>258</v>
      </c>
      <c r="C466" t="s">
        <v>262</v>
      </c>
      <c r="D466" t="str">
        <f t="shared" si="35"/>
        <v>Classic Cars</v>
      </c>
      <c r="E466" t="s">
        <v>285</v>
      </c>
      <c r="F466" s="5">
        <v>5917.78</v>
      </c>
      <c r="G466" s="5">
        <v>1183.556</v>
      </c>
      <c r="I466" t="str">
        <f t="shared" si="36"/>
        <v>Low Sales</v>
      </c>
      <c r="J466" t="str">
        <f t="shared" si="37"/>
        <v>Average Performance</v>
      </c>
      <c r="K466">
        <f t="shared" si="38"/>
        <v>2003</v>
      </c>
      <c r="L466" t="str">
        <f t="shared" si="39"/>
        <v>October</v>
      </c>
    </row>
    <row r="467" spans="1:12" x14ac:dyDescent="0.25">
      <c r="A467" t="s">
        <v>119</v>
      </c>
      <c r="B467" t="s">
        <v>258</v>
      </c>
      <c r="C467" t="s">
        <v>262</v>
      </c>
      <c r="D467" t="str">
        <f t="shared" si="35"/>
        <v>Classic Cars</v>
      </c>
      <c r="E467" t="s">
        <v>285</v>
      </c>
      <c r="F467" s="5">
        <v>6231.91</v>
      </c>
      <c r="G467" s="5">
        <v>1246.3820000000001</v>
      </c>
      <c r="I467" t="str">
        <f t="shared" si="36"/>
        <v>Low Sales</v>
      </c>
      <c r="J467" t="str">
        <f t="shared" si="37"/>
        <v>Average Performance</v>
      </c>
      <c r="K467">
        <f t="shared" si="38"/>
        <v>2004</v>
      </c>
      <c r="L467" t="str">
        <f t="shared" si="39"/>
        <v>October</v>
      </c>
    </row>
    <row r="468" spans="1:12" x14ac:dyDescent="0.25">
      <c r="A468" t="s">
        <v>51</v>
      </c>
      <c r="C468" t="s">
        <v>262</v>
      </c>
      <c r="D468" t="str">
        <f t="shared" si="35"/>
        <v>Classic Cars</v>
      </c>
      <c r="E468" t="s">
        <v>285</v>
      </c>
      <c r="F468" s="5">
        <v>5803.14</v>
      </c>
      <c r="G468" s="5">
        <v>1160.6279999999999</v>
      </c>
      <c r="I468" t="str">
        <f t="shared" si="36"/>
        <v>Low Sales</v>
      </c>
      <c r="J468" t="str">
        <f t="shared" si="37"/>
        <v>Average Performance</v>
      </c>
      <c r="K468">
        <f t="shared" si="38"/>
        <v>2004</v>
      </c>
      <c r="L468" t="str">
        <f t="shared" si="39"/>
        <v>November</v>
      </c>
    </row>
    <row r="469" spans="1:12" x14ac:dyDescent="0.25">
      <c r="A469" t="s">
        <v>165</v>
      </c>
      <c r="C469" t="s">
        <v>262</v>
      </c>
      <c r="D469" t="str">
        <f t="shared" si="35"/>
        <v>Classic Cars</v>
      </c>
      <c r="E469" t="s">
        <v>285</v>
      </c>
      <c r="F469" s="5">
        <v>6434.02</v>
      </c>
      <c r="G469" s="5">
        <v>1286.8040000000001</v>
      </c>
      <c r="I469" t="str">
        <f t="shared" si="36"/>
        <v>Low Sales</v>
      </c>
      <c r="J469" t="str">
        <f t="shared" si="37"/>
        <v>Average Performance</v>
      </c>
      <c r="K469">
        <f t="shared" si="38"/>
        <v>2004</v>
      </c>
      <c r="L469" t="str">
        <f t="shared" si="39"/>
        <v>November</v>
      </c>
    </row>
    <row r="470" spans="1:12" x14ac:dyDescent="0.25">
      <c r="A470" t="s">
        <v>26</v>
      </c>
      <c r="B470" t="s">
        <v>259</v>
      </c>
      <c r="C470" t="s">
        <v>262</v>
      </c>
      <c r="D470" t="str">
        <f t="shared" si="35"/>
        <v>Classic Cars</v>
      </c>
      <c r="E470" t="s">
        <v>285</v>
      </c>
      <c r="F470" s="5">
        <v>6454.4</v>
      </c>
      <c r="G470" s="5">
        <v>1290.8800000000001</v>
      </c>
      <c r="I470" t="str">
        <f t="shared" si="36"/>
        <v>Low Sales</v>
      </c>
      <c r="J470" t="str">
        <f t="shared" si="37"/>
        <v>Average Performance</v>
      </c>
      <c r="K470">
        <f t="shared" si="38"/>
        <v>2004</v>
      </c>
      <c r="L470" t="str">
        <f t="shared" si="39"/>
        <v>November</v>
      </c>
    </row>
    <row r="471" spans="1:12" x14ac:dyDescent="0.25">
      <c r="A471" t="s">
        <v>166</v>
      </c>
      <c r="B471" t="s">
        <v>258</v>
      </c>
      <c r="C471" t="s">
        <v>262</v>
      </c>
      <c r="D471" t="str">
        <f t="shared" si="35"/>
        <v>Classic Cars</v>
      </c>
      <c r="E471" t="s">
        <v>285</v>
      </c>
      <c r="F471" s="5">
        <v>4196.8</v>
      </c>
      <c r="G471" s="5">
        <v>839.36000000000013</v>
      </c>
      <c r="I471" t="str">
        <f t="shared" si="36"/>
        <v>Low Sales</v>
      </c>
      <c r="J471" t="str">
        <f t="shared" si="37"/>
        <v>Average Performance</v>
      </c>
      <c r="K471">
        <f t="shared" si="38"/>
        <v>2004</v>
      </c>
      <c r="L471" t="str">
        <f t="shared" si="39"/>
        <v>December</v>
      </c>
    </row>
    <row r="472" spans="1:12" x14ac:dyDescent="0.25">
      <c r="A472" t="s">
        <v>167</v>
      </c>
      <c r="C472" t="s">
        <v>262</v>
      </c>
      <c r="D472" t="str">
        <f t="shared" si="35"/>
        <v>Classic Cars</v>
      </c>
      <c r="E472" t="s">
        <v>285</v>
      </c>
      <c r="F472" s="5">
        <v>2611.8000000000002</v>
      </c>
      <c r="G472" s="5">
        <v>522.36</v>
      </c>
      <c r="I472" t="str">
        <f t="shared" si="36"/>
        <v>Low Sales</v>
      </c>
      <c r="J472" t="str">
        <f t="shared" si="37"/>
        <v>Average Performance</v>
      </c>
      <c r="K472">
        <f t="shared" si="38"/>
        <v>2005</v>
      </c>
      <c r="L472" t="str">
        <f t="shared" si="39"/>
        <v>January</v>
      </c>
    </row>
    <row r="473" spans="1:12" x14ac:dyDescent="0.25">
      <c r="A473" t="s">
        <v>148</v>
      </c>
      <c r="B473" t="s">
        <v>258</v>
      </c>
      <c r="C473" t="s">
        <v>262</v>
      </c>
      <c r="D473" t="str">
        <f t="shared" si="35"/>
        <v>Classic Cars</v>
      </c>
      <c r="E473" t="s">
        <v>285</v>
      </c>
      <c r="F473" s="5">
        <v>5895.05</v>
      </c>
      <c r="G473" s="5">
        <v>1179.01</v>
      </c>
      <c r="I473" t="str">
        <f t="shared" si="36"/>
        <v>Low Sales</v>
      </c>
      <c r="J473" t="str">
        <f t="shared" si="37"/>
        <v>Average Performance</v>
      </c>
      <c r="K473">
        <f t="shared" si="38"/>
        <v>2005</v>
      </c>
      <c r="L473" t="str">
        <f t="shared" si="39"/>
        <v>February</v>
      </c>
    </row>
    <row r="474" spans="1:12" x14ac:dyDescent="0.25">
      <c r="A474" t="s">
        <v>168</v>
      </c>
      <c r="C474" t="s">
        <v>262</v>
      </c>
      <c r="D474" t="str">
        <f t="shared" si="35"/>
        <v>Classic Cars</v>
      </c>
      <c r="E474" t="s">
        <v>285</v>
      </c>
      <c r="F474" s="5">
        <v>3375.72</v>
      </c>
      <c r="G474" s="5">
        <v>675.14400000000001</v>
      </c>
      <c r="I474" t="str">
        <f t="shared" si="36"/>
        <v>Low Sales</v>
      </c>
      <c r="J474" t="str">
        <f t="shared" si="37"/>
        <v>Average Performance</v>
      </c>
      <c r="K474">
        <f t="shared" si="38"/>
        <v>2005</v>
      </c>
      <c r="L474" t="str">
        <f t="shared" si="39"/>
        <v>March</v>
      </c>
    </row>
    <row r="475" spans="1:12" x14ac:dyDescent="0.25">
      <c r="A475" t="s">
        <v>169</v>
      </c>
      <c r="B475" t="s">
        <v>258</v>
      </c>
      <c r="C475" t="s">
        <v>262</v>
      </c>
      <c r="D475" t="str">
        <f t="shared" si="35"/>
        <v>Classic Cars</v>
      </c>
      <c r="E475" t="s">
        <v>285</v>
      </c>
      <c r="F475" s="5">
        <v>8374.69</v>
      </c>
      <c r="G475" s="5">
        <v>1674.9380000000001</v>
      </c>
      <c r="I475" t="str">
        <f t="shared" si="36"/>
        <v>Low Sales</v>
      </c>
      <c r="J475" t="str">
        <f t="shared" si="37"/>
        <v>Average Performance</v>
      </c>
      <c r="K475">
        <f t="shared" si="38"/>
        <v>2005</v>
      </c>
      <c r="L475" t="str">
        <f t="shared" si="39"/>
        <v>April</v>
      </c>
    </row>
    <row r="476" spans="1:12" x14ac:dyDescent="0.25">
      <c r="A476" t="s">
        <v>122</v>
      </c>
      <c r="B476" t="s">
        <v>258</v>
      </c>
      <c r="C476" t="s">
        <v>262</v>
      </c>
      <c r="D476" t="str">
        <f t="shared" si="35"/>
        <v>Classic Cars</v>
      </c>
      <c r="E476" t="s">
        <v>285</v>
      </c>
      <c r="F476" s="5">
        <v>4464.24</v>
      </c>
      <c r="G476" s="5">
        <v>892.84799999999996</v>
      </c>
      <c r="I476" t="str">
        <f t="shared" si="36"/>
        <v>Low Sales</v>
      </c>
      <c r="J476" t="str">
        <f t="shared" si="37"/>
        <v>Average Performance</v>
      </c>
      <c r="K476">
        <f t="shared" si="38"/>
        <v>2005</v>
      </c>
      <c r="L476" t="str">
        <f t="shared" si="39"/>
        <v>May</v>
      </c>
    </row>
    <row r="477" spans="1:12" x14ac:dyDescent="0.25">
      <c r="A477" t="s">
        <v>170</v>
      </c>
      <c r="C477" t="s">
        <v>264</v>
      </c>
      <c r="D477" t="str">
        <f t="shared" si="35"/>
        <v>Vintage Cars</v>
      </c>
      <c r="E477" t="s">
        <v>286</v>
      </c>
      <c r="F477" s="5">
        <v>4808.3100000000004</v>
      </c>
      <c r="G477" s="5">
        <v>961.66200000000015</v>
      </c>
      <c r="I477" t="str">
        <f t="shared" si="36"/>
        <v>Low Sales</v>
      </c>
      <c r="J477" t="str">
        <f t="shared" si="37"/>
        <v>Average Performance</v>
      </c>
      <c r="K477">
        <f t="shared" si="38"/>
        <v>2003</v>
      </c>
      <c r="L477" t="str">
        <f t="shared" si="39"/>
        <v>January</v>
      </c>
    </row>
    <row r="478" spans="1:12" x14ac:dyDescent="0.25">
      <c r="A478" t="s">
        <v>171</v>
      </c>
      <c r="C478" t="s">
        <v>264</v>
      </c>
      <c r="D478" t="str">
        <f t="shared" si="35"/>
        <v>Vintage Cars</v>
      </c>
      <c r="E478" t="s">
        <v>286</v>
      </c>
      <c r="F478" s="5">
        <v>3288.78</v>
      </c>
      <c r="G478" s="5">
        <v>657.75600000000009</v>
      </c>
      <c r="I478" t="str">
        <f t="shared" si="36"/>
        <v>Low Sales</v>
      </c>
      <c r="J478" t="str">
        <f t="shared" si="37"/>
        <v>Average Performance</v>
      </c>
      <c r="K478">
        <f t="shared" si="38"/>
        <v>2003</v>
      </c>
      <c r="L478" t="str">
        <f t="shared" si="39"/>
        <v>March</v>
      </c>
    </row>
    <row r="479" spans="1:12" x14ac:dyDescent="0.25">
      <c r="A479" t="s">
        <v>172</v>
      </c>
      <c r="B479" t="s">
        <v>259</v>
      </c>
      <c r="C479" t="s">
        <v>264</v>
      </c>
      <c r="D479" t="str">
        <f t="shared" si="35"/>
        <v>Vintage Cars</v>
      </c>
      <c r="E479" t="s">
        <v>286</v>
      </c>
      <c r="F479" s="5">
        <v>3254.72</v>
      </c>
      <c r="G479" s="5">
        <v>650.94399999999996</v>
      </c>
      <c r="I479" t="str">
        <f t="shared" si="36"/>
        <v>Low Sales</v>
      </c>
      <c r="J479" t="str">
        <f t="shared" si="37"/>
        <v>Average Performance</v>
      </c>
      <c r="K479">
        <f t="shared" si="38"/>
        <v>2003</v>
      </c>
      <c r="L479" t="str">
        <f t="shared" si="39"/>
        <v>May</v>
      </c>
    </row>
    <row r="480" spans="1:12" x14ac:dyDescent="0.25">
      <c r="A480" t="s">
        <v>173</v>
      </c>
      <c r="B480" t="s">
        <v>259</v>
      </c>
      <c r="C480" t="s">
        <v>264</v>
      </c>
      <c r="D480" t="str">
        <f t="shared" si="35"/>
        <v>Vintage Cars</v>
      </c>
      <c r="E480" t="s">
        <v>286</v>
      </c>
      <c r="F480" s="5">
        <v>3184.94</v>
      </c>
      <c r="G480" s="5">
        <v>636.98800000000006</v>
      </c>
      <c r="I480" t="str">
        <f t="shared" si="36"/>
        <v>Low Sales</v>
      </c>
      <c r="J480" t="str">
        <f t="shared" si="37"/>
        <v>Average Performance</v>
      </c>
      <c r="K480">
        <f t="shared" si="38"/>
        <v>2003</v>
      </c>
      <c r="L480" t="str">
        <f t="shared" si="39"/>
        <v>July</v>
      </c>
    </row>
    <row r="481" spans="1:12" x14ac:dyDescent="0.25">
      <c r="A481" t="s">
        <v>174</v>
      </c>
      <c r="C481" t="s">
        <v>264</v>
      </c>
      <c r="D481" t="str">
        <f t="shared" si="35"/>
        <v>Vintage Cars</v>
      </c>
      <c r="E481" t="s">
        <v>286</v>
      </c>
      <c r="F481" s="5">
        <v>5907.5</v>
      </c>
      <c r="G481" s="5">
        <v>1181.5</v>
      </c>
      <c r="I481" t="str">
        <f t="shared" si="36"/>
        <v>Low Sales</v>
      </c>
      <c r="J481" t="str">
        <f t="shared" si="37"/>
        <v>Average Performance</v>
      </c>
      <c r="K481">
        <f t="shared" si="38"/>
        <v>2003</v>
      </c>
      <c r="L481" t="str">
        <f t="shared" si="39"/>
        <v>September</v>
      </c>
    </row>
    <row r="482" spans="1:12" x14ac:dyDescent="0.25">
      <c r="A482" t="s">
        <v>175</v>
      </c>
      <c r="C482" t="s">
        <v>264</v>
      </c>
      <c r="D482" t="str">
        <f t="shared" si="35"/>
        <v>Vintage Cars</v>
      </c>
      <c r="E482" t="s">
        <v>286</v>
      </c>
      <c r="F482" s="5">
        <v>4389.12</v>
      </c>
      <c r="G482" s="5">
        <v>877.82400000000007</v>
      </c>
      <c r="I482" t="str">
        <f t="shared" si="36"/>
        <v>Low Sales</v>
      </c>
      <c r="J482" t="str">
        <f t="shared" si="37"/>
        <v>Average Performance</v>
      </c>
      <c r="K482">
        <f t="shared" si="38"/>
        <v>2003</v>
      </c>
      <c r="L482" t="str">
        <f t="shared" si="39"/>
        <v>October</v>
      </c>
    </row>
    <row r="483" spans="1:12" x14ac:dyDescent="0.25">
      <c r="A483" t="s">
        <v>161</v>
      </c>
      <c r="B483" t="s">
        <v>258</v>
      </c>
      <c r="C483" t="s">
        <v>264</v>
      </c>
      <c r="D483" t="str">
        <f t="shared" si="35"/>
        <v>Vintage Cars</v>
      </c>
      <c r="E483" t="s">
        <v>286</v>
      </c>
      <c r="F483" s="5">
        <v>5036.16</v>
      </c>
      <c r="G483" s="5">
        <v>1007.232</v>
      </c>
      <c r="I483" t="str">
        <f t="shared" si="36"/>
        <v>Low Sales</v>
      </c>
      <c r="J483" t="str">
        <f t="shared" si="37"/>
        <v>Average Performance</v>
      </c>
      <c r="K483">
        <f t="shared" si="38"/>
        <v>2003</v>
      </c>
      <c r="L483" t="str">
        <f t="shared" si="39"/>
        <v>November</v>
      </c>
    </row>
    <row r="484" spans="1:12" x14ac:dyDescent="0.25">
      <c r="A484" t="s">
        <v>109</v>
      </c>
      <c r="C484" t="s">
        <v>264</v>
      </c>
      <c r="D484" t="str">
        <f t="shared" si="35"/>
        <v>Vintage Cars</v>
      </c>
      <c r="E484" t="s">
        <v>286</v>
      </c>
      <c r="F484" s="5">
        <v>2183.25</v>
      </c>
      <c r="G484" s="5">
        <v>436.65</v>
      </c>
      <c r="I484" t="str">
        <f t="shared" si="36"/>
        <v>Low Sales</v>
      </c>
      <c r="J484" t="str">
        <f t="shared" si="37"/>
        <v>Average Performance</v>
      </c>
      <c r="K484">
        <f t="shared" si="38"/>
        <v>2003</v>
      </c>
      <c r="L484" t="str">
        <f t="shared" si="39"/>
        <v>November</v>
      </c>
    </row>
    <row r="485" spans="1:12" x14ac:dyDescent="0.25">
      <c r="A485" t="s">
        <v>176</v>
      </c>
      <c r="B485" t="s">
        <v>259</v>
      </c>
      <c r="C485" t="s">
        <v>264</v>
      </c>
      <c r="D485" t="str">
        <f t="shared" si="35"/>
        <v>Vintage Cars</v>
      </c>
      <c r="E485" t="s">
        <v>286</v>
      </c>
      <c r="F485" s="5">
        <v>3106.88</v>
      </c>
      <c r="G485" s="5">
        <v>621.37600000000009</v>
      </c>
      <c r="I485" t="str">
        <f t="shared" si="36"/>
        <v>Low Sales</v>
      </c>
      <c r="J485" t="str">
        <f t="shared" si="37"/>
        <v>Average Performance</v>
      </c>
      <c r="K485">
        <f t="shared" si="38"/>
        <v>2003</v>
      </c>
      <c r="L485" t="str">
        <f t="shared" si="39"/>
        <v>November</v>
      </c>
    </row>
    <row r="486" spans="1:12" x14ac:dyDescent="0.25">
      <c r="A486" t="s">
        <v>177</v>
      </c>
      <c r="B486" t="s">
        <v>258</v>
      </c>
      <c r="C486" t="s">
        <v>264</v>
      </c>
      <c r="D486" t="str">
        <f t="shared" si="35"/>
        <v>Vintage Cars</v>
      </c>
      <c r="E486" t="s">
        <v>286</v>
      </c>
      <c r="F486" s="5">
        <v>3735.72</v>
      </c>
      <c r="G486" s="5">
        <v>747.14400000000001</v>
      </c>
      <c r="I486" t="str">
        <f t="shared" si="36"/>
        <v>Low Sales</v>
      </c>
      <c r="J486" t="str">
        <f t="shared" si="37"/>
        <v>Average Performance</v>
      </c>
      <c r="K486">
        <f t="shared" si="38"/>
        <v>2003</v>
      </c>
      <c r="L486" t="str">
        <f t="shared" si="39"/>
        <v>December</v>
      </c>
    </row>
    <row r="487" spans="1:12" x14ac:dyDescent="0.25">
      <c r="A487" t="s">
        <v>42</v>
      </c>
      <c r="C487" t="s">
        <v>264</v>
      </c>
      <c r="D487" t="str">
        <f t="shared" si="35"/>
        <v>Vintage Cars</v>
      </c>
      <c r="E487" t="s">
        <v>286</v>
      </c>
      <c r="F487" s="5">
        <v>2413.2600000000002</v>
      </c>
      <c r="G487" s="5">
        <v>482.65199999999999</v>
      </c>
      <c r="I487" t="str">
        <f t="shared" si="36"/>
        <v>Low Sales</v>
      </c>
      <c r="J487" t="str">
        <f t="shared" si="37"/>
        <v>Average Performance</v>
      </c>
      <c r="K487">
        <f t="shared" si="38"/>
        <v>2004</v>
      </c>
      <c r="L487" t="str">
        <f t="shared" si="39"/>
        <v>January</v>
      </c>
    </row>
    <row r="488" spans="1:12" x14ac:dyDescent="0.25">
      <c r="A488" t="s">
        <v>178</v>
      </c>
      <c r="B488" t="s">
        <v>258</v>
      </c>
      <c r="C488" t="s">
        <v>264</v>
      </c>
      <c r="D488" t="str">
        <f t="shared" si="35"/>
        <v>Vintage Cars</v>
      </c>
      <c r="E488" t="s">
        <v>286</v>
      </c>
      <c r="F488" s="5">
        <v>2953.75</v>
      </c>
      <c r="G488" s="5">
        <v>590.75</v>
      </c>
      <c r="I488" t="str">
        <f t="shared" si="36"/>
        <v>Low Sales</v>
      </c>
      <c r="J488" t="str">
        <f t="shared" si="37"/>
        <v>Average Performance</v>
      </c>
      <c r="K488">
        <f t="shared" si="38"/>
        <v>2004</v>
      </c>
      <c r="L488" t="str">
        <f t="shared" si="39"/>
        <v>March</v>
      </c>
    </row>
    <row r="489" spans="1:12" x14ac:dyDescent="0.25">
      <c r="A489" t="s">
        <v>179</v>
      </c>
      <c r="B489" t="s">
        <v>258</v>
      </c>
      <c r="C489" t="s">
        <v>264</v>
      </c>
      <c r="D489" t="str">
        <f t="shared" si="35"/>
        <v>Vintage Cars</v>
      </c>
      <c r="E489" t="s">
        <v>286</v>
      </c>
      <c r="F489" s="5">
        <v>4684.8</v>
      </c>
      <c r="G489" s="5">
        <v>936.96</v>
      </c>
      <c r="I489" t="str">
        <f t="shared" si="36"/>
        <v>Low Sales</v>
      </c>
      <c r="J489" t="str">
        <f t="shared" si="37"/>
        <v>Average Performance</v>
      </c>
      <c r="K489">
        <f t="shared" si="38"/>
        <v>2004</v>
      </c>
      <c r="L489" t="str">
        <f t="shared" si="39"/>
        <v>April</v>
      </c>
    </row>
    <row r="490" spans="1:12" x14ac:dyDescent="0.25">
      <c r="A490" t="s">
        <v>180</v>
      </c>
      <c r="B490" t="s">
        <v>258</v>
      </c>
      <c r="C490" t="s">
        <v>264</v>
      </c>
      <c r="D490" t="str">
        <f t="shared" si="35"/>
        <v>Vintage Cars</v>
      </c>
      <c r="E490" t="s">
        <v>286</v>
      </c>
      <c r="F490" s="5">
        <v>3248.7</v>
      </c>
      <c r="G490" s="5">
        <v>649.74</v>
      </c>
      <c r="I490" t="str">
        <f t="shared" si="36"/>
        <v>Low Sales</v>
      </c>
      <c r="J490" t="str">
        <f t="shared" si="37"/>
        <v>Average Performance</v>
      </c>
      <c r="K490">
        <f t="shared" si="38"/>
        <v>2004</v>
      </c>
      <c r="L490" t="str">
        <f t="shared" si="39"/>
        <v>June</v>
      </c>
    </row>
    <row r="491" spans="1:12" x14ac:dyDescent="0.25">
      <c r="A491" t="s">
        <v>47</v>
      </c>
      <c r="B491" t="s">
        <v>258</v>
      </c>
      <c r="C491" t="s">
        <v>264</v>
      </c>
      <c r="D491" t="str">
        <f t="shared" si="35"/>
        <v>Vintage Cars</v>
      </c>
      <c r="E491" t="s">
        <v>286</v>
      </c>
      <c r="F491" s="5">
        <v>5239.5</v>
      </c>
      <c r="G491" s="5">
        <v>1047.9000000000001</v>
      </c>
      <c r="I491" t="str">
        <f t="shared" si="36"/>
        <v>Low Sales</v>
      </c>
      <c r="J491" t="str">
        <f t="shared" si="37"/>
        <v>Average Performance</v>
      </c>
      <c r="K491">
        <f t="shared" si="38"/>
        <v>2004</v>
      </c>
      <c r="L491" t="str">
        <f t="shared" si="39"/>
        <v>August</v>
      </c>
    </row>
    <row r="492" spans="1:12" x14ac:dyDescent="0.25">
      <c r="A492" t="s">
        <v>181</v>
      </c>
      <c r="B492" t="s">
        <v>258</v>
      </c>
      <c r="C492" t="s">
        <v>264</v>
      </c>
      <c r="D492" t="str">
        <f t="shared" si="35"/>
        <v>Vintage Cars</v>
      </c>
      <c r="E492" t="s">
        <v>286</v>
      </c>
      <c r="F492" s="5">
        <v>4567.9799999999996</v>
      </c>
      <c r="G492" s="5">
        <v>913.596</v>
      </c>
      <c r="I492" t="str">
        <f t="shared" si="36"/>
        <v>Low Sales</v>
      </c>
      <c r="J492" t="str">
        <f t="shared" si="37"/>
        <v>Average Performance</v>
      </c>
      <c r="K492">
        <f t="shared" si="38"/>
        <v>2004</v>
      </c>
      <c r="L492" t="str">
        <f t="shared" si="39"/>
        <v>September</v>
      </c>
    </row>
    <row r="493" spans="1:12" x14ac:dyDescent="0.25">
      <c r="A493" t="s">
        <v>49</v>
      </c>
      <c r="B493" t="s">
        <v>258</v>
      </c>
      <c r="C493" t="s">
        <v>264</v>
      </c>
      <c r="D493" t="str">
        <f t="shared" si="35"/>
        <v>Vintage Cars</v>
      </c>
      <c r="E493" t="s">
        <v>286</v>
      </c>
      <c r="F493" s="5">
        <v>3535.35</v>
      </c>
      <c r="G493" s="5">
        <v>707.07</v>
      </c>
      <c r="I493" t="str">
        <f t="shared" si="36"/>
        <v>Low Sales</v>
      </c>
      <c r="J493" t="str">
        <f t="shared" si="37"/>
        <v>Average Performance</v>
      </c>
      <c r="K493">
        <f t="shared" si="38"/>
        <v>2004</v>
      </c>
      <c r="L493" t="str">
        <f t="shared" si="39"/>
        <v>October</v>
      </c>
    </row>
    <row r="494" spans="1:12" x14ac:dyDescent="0.25">
      <c r="A494" t="s">
        <v>50</v>
      </c>
      <c r="C494" t="s">
        <v>264</v>
      </c>
      <c r="D494" t="str">
        <f t="shared" si="35"/>
        <v>Vintage Cars</v>
      </c>
      <c r="E494" t="s">
        <v>286</v>
      </c>
      <c r="F494" s="5">
        <v>3843.34</v>
      </c>
      <c r="G494" s="5">
        <v>768.66800000000012</v>
      </c>
      <c r="I494" t="str">
        <f t="shared" si="36"/>
        <v>Low Sales</v>
      </c>
      <c r="J494" t="str">
        <f t="shared" si="37"/>
        <v>Average Performance</v>
      </c>
      <c r="K494">
        <f t="shared" si="38"/>
        <v>2004</v>
      </c>
      <c r="L494" t="str">
        <f t="shared" si="39"/>
        <v>October</v>
      </c>
    </row>
    <row r="495" spans="1:12" x14ac:dyDescent="0.25">
      <c r="A495" t="s">
        <v>51</v>
      </c>
      <c r="C495" t="s">
        <v>264</v>
      </c>
      <c r="D495" t="str">
        <f t="shared" si="35"/>
        <v>Vintage Cars</v>
      </c>
      <c r="E495" t="s">
        <v>286</v>
      </c>
      <c r="F495" s="5">
        <v>3710.9</v>
      </c>
      <c r="G495" s="5">
        <v>742.18000000000006</v>
      </c>
      <c r="I495" t="str">
        <f t="shared" si="36"/>
        <v>Low Sales</v>
      </c>
      <c r="J495" t="str">
        <f t="shared" si="37"/>
        <v>Average Performance</v>
      </c>
      <c r="K495">
        <f t="shared" si="38"/>
        <v>2004</v>
      </c>
      <c r="L495" t="str">
        <f t="shared" si="39"/>
        <v>November</v>
      </c>
    </row>
    <row r="496" spans="1:12" x14ac:dyDescent="0.25">
      <c r="A496" t="s">
        <v>165</v>
      </c>
      <c r="B496" t="s">
        <v>258</v>
      </c>
      <c r="C496" t="s">
        <v>264</v>
      </c>
      <c r="D496" t="str">
        <f t="shared" si="35"/>
        <v>Vintage Cars</v>
      </c>
      <c r="E496" t="s">
        <v>286</v>
      </c>
      <c r="F496" s="5">
        <v>4375.9799999999996</v>
      </c>
      <c r="G496" s="5">
        <v>875.19599999999991</v>
      </c>
      <c r="I496" t="str">
        <f t="shared" si="36"/>
        <v>Low Sales</v>
      </c>
      <c r="J496" t="str">
        <f t="shared" si="37"/>
        <v>Average Performance</v>
      </c>
      <c r="K496">
        <f t="shared" si="38"/>
        <v>2004</v>
      </c>
      <c r="L496" t="str">
        <f t="shared" si="39"/>
        <v>November</v>
      </c>
    </row>
    <row r="497" spans="1:12" x14ac:dyDescent="0.25">
      <c r="A497" t="s">
        <v>53</v>
      </c>
      <c r="C497" t="s">
        <v>264</v>
      </c>
      <c r="D497" t="str">
        <f t="shared" si="35"/>
        <v>Vintage Cars</v>
      </c>
      <c r="E497" t="s">
        <v>286</v>
      </c>
      <c r="F497" s="5">
        <v>1516.62</v>
      </c>
      <c r="G497" s="5">
        <v>303.32400000000001</v>
      </c>
      <c r="I497" t="str">
        <f t="shared" si="36"/>
        <v>Low Sales</v>
      </c>
      <c r="J497" t="str">
        <f t="shared" si="37"/>
        <v>Average Performance</v>
      </c>
      <c r="K497">
        <f t="shared" si="38"/>
        <v>2004</v>
      </c>
      <c r="L497" t="str">
        <f t="shared" si="39"/>
        <v>November</v>
      </c>
    </row>
    <row r="498" spans="1:12" x14ac:dyDescent="0.25">
      <c r="A498" t="s">
        <v>166</v>
      </c>
      <c r="B498" t="s">
        <v>258</v>
      </c>
      <c r="C498" t="s">
        <v>264</v>
      </c>
      <c r="D498" t="str">
        <f t="shared" si="35"/>
        <v>Vintage Cars</v>
      </c>
      <c r="E498" t="s">
        <v>286</v>
      </c>
      <c r="F498" s="5">
        <v>2509</v>
      </c>
      <c r="G498" s="5">
        <v>501.8</v>
      </c>
      <c r="I498" t="str">
        <f t="shared" si="36"/>
        <v>Low Sales</v>
      </c>
      <c r="J498" t="str">
        <f t="shared" si="37"/>
        <v>Average Performance</v>
      </c>
      <c r="K498">
        <f t="shared" si="38"/>
        <v>2004</v>
      </c>
      <c r="L498" t="str">
        <f t="shared" si="39"/>
        <v>December</v>
      </c>
    </row>
    <row r="499" spans="1:12" x14ac:dyDescent="0.25">
      <c r="A499" t="s">
        <v>55</v>
      </c>
      <c r="C499" t="s">
        <v>264</v>
      </c>
      <c r="D499" t="str">
        <f t="shared" si="35"/>
        <v>Vintage Cars</v>
      </c>
      <c r="E499" t="s">
        <v>286</v>
      </c>
      <c r="F499" s="5">
        <v>9240.44</v>
      </c>
      <c r="G499" s="5">
        <v>1848.088</v>
      </c>
      <c r="I499" t="str">
        <f t="shared" si="36"/>
        <v>Low Sales</v>
      </c>
      <c r="J499" t="str">
        <f t="shared" si="37"/>
        <v>Average Performance</v>
      </c>
      <c r="K499">
        <f t="shared" si="38"/>
        <v>2005</v>
      </c>
      <c r="L499" t="str">
        <f t="shared" si="39"/>
        <v>January</v>
      </c>
    </row>
    <row r="500" spans="1:12" x14ac:dyDescent="0.25">
      <c r="A500" t="s">
        <v>182</v>
      </c>
      <c r="B500" t="s">
        <v>258</v>
      </c>
      <c r="C500" t="s">
        <v>264</v>
      </c>
      <c r="D500" t="str">
        <f t="shared" si="35"/>
        <v>Vintage Cars</v>
      </c>
      <c r="E500" t="s">
        <v>286</v>
      </c>
      <c r="F500" s="5">
        <v>2515.3200000000002</v>
      </c>
      <c r="G500" s="5">
        <v>503.06400000000008</v>
      </c>
      <c r="I500" t="str">
        <f t="shared" si="36"/>
        <v>Low Sales</v>
      </c>
      <c r="J500" t="str">
        <f t="shared" si="37"/>
        <v>Average Performance</v>
      </c>
      <c r="K500">
        <f t="shared" si="38"/>
        <v>2005</v>
      </c>
      <c r="L500" t="str">
        <f t="shared" si="39"/>
        <v>February</v>
      </c>
    </row>
    <row r="501" spans="1:12" x14ac:dyDescent="0.25">
      <c r="A501" t="s">
        <v>57</v>
      </c>
      <c r="B501" t="s">
        <v>259</v>
      </c>
      <c r="C501" t="s">
        <v>264</v>
      </c>
      <c r="D501" t="str">
        <f t="shared" si="35"/>
        <v>Vintage Cars</v>
      </c>
      <c r="E501" t="s">
        <v>286</v>
      </c>
      <c r="F501" s="5">
        <v>5548.9</v>
      </c>
      <c r="G501" s="5">
        <v>1109.78</v>
      </c>
      <c r="I501" t="str">
        <f t="shared" si="36"/>
        <v>Low Sales</v>
      </c>
      <c r="J501" t="str">
        <f t="shared" si="37"/>
        <v>Average Performance</v>
      </c>
      <c r="K501">
        <f t="shared" si="38"/>
        <v>2005</v>
      </c>
      <c r="L501" t="str">
        <f t="shared" si="39"/>
        <v>March</v>
      </c>
    </row>
    <row r="502" spans="1:12" x14ac:dyDescent="0.25">
      <c r="A502" t="s">
        <v>183</v>
      </c>
      <c r="C502" t="s">
        <v>264</v>
      </c>
      <c r="D502" t="str">
        <f t="shared" si="35"/>
        <v>Vintage Cars</v>
      </c>
      <c r="E502" t="s">
        <v>286</v>
      </c>
      <c r="F502" s="5">
        <v>4873.05</v>
      </c>
      <c r="G502" s="5">
        <v>974.61000000000013</v>
      </c>
      <c r="I502" t="str">
        <f t="shared" si="36"/>
        <v>Low Sales</v>
      </c>
      <c r="J502" t="str">
        <f t="shared" si="37"/>
        <v>Average Performance</v>
      </c>
      <c r="K502">
        <f t="shared" si="38"/>
        <v>2005</v>
      </c>
      <c r="L502" t="str">
        <f t="shared" si="39"/>
        <v>May</v>
      </c>
    </row>
    <row r="503" spans="1:12" x14ac:dyDescent="0.25">
      <c r="A503" t="s">
        <v>170</v>
      </c>
      <c r="C503" t="s">
        <v>264</v>
      </c>
      <c r="D503" t="str">
        <f t="shared" si="35"/>
        <v>Vintage Cars</v>
      </c>
      <c r="E503" t="s">
        <v>287</v>
      </c>
      <c r="F503" s="5">
        <v>2055.7399999999998</v>
      </c>
      <c r="G503" s="5">
        <v>411.14800000000002</v>
      </c>
      <c r="I503" t="str">
        <f t="shared" si="36"/>
        <v>Low Sales</v>
      </c>
      <c r="J503" t="str">
        <f t="shared" si="37"/>
        <v>Average Performance</v>
      </c>
      <c r="K503">
        <f t="shared" si="38"/>
        <v>2003</v>
      </c>
      <c r="L503" t="str">
        <f t="shared" si="39"/>
        <v>January</v>
      </c>
    </row>
    <row r="504" spans="1:12" x14ac:dyDescent="0.25">
      <c r="A504" t="s">
        <v>171</v>
      </c>
      <c r="C504" t="s">
        <v>264</v>
      </c>
      <c r="D504" t="str">
        <f t="shared" si="35"/>
        <v>Vintage Cars</v>
      </c>
      <c r="E504" t="s">
        <v>287</v>
      </c>
      <c r="F504" s="5">
        <v>2354.88</v>
      </c>
      <c r="G504" s="5">
        <v>470.97600000000011</v>
      </c>
      <c r="I504" t="str">
        <f t="shared" si="36"/>
        <v>Low Sales</v>
      </c>
      <c r="J504" t="str">
        <f t="shared" si="37"/>
        <v>Average Performance</v>
      </c>
      <c r="K504">
        <f t="shared" si="38"/>
        <v>2003</v>
      </c>
      <c r="L504" t="str">
        <f t="shared" si="39"/>
        <v>March</v>
      </c>
    </row>
    <row r="505" spans="1:12" x14ac:dyDescent="0.25">
      <c r="A505" t="s">
        <v>34</v>
      </c>
      <c r="B505" t="s">
        <v>258</v>
      </c>
      <c r="C505" t="s">
        <v>264</v>
      </c>
      <c r="D505" t="str">
        <f t="shared" si="35"/>
        <v>Vintage Cars</v>
      </c>
      <c r="E505" t="s">
        <v>287</v>
      </c>
      <c r="F505" s="5">
        <v>2309.58</v>
      </c>
      <c r="G505" s="5">
        <v>461.916</v>
      </c>
      <c r="I505" t="str">
        <f t="shared" si="36"/>
        <v>Low Sales</v>
      </c>
      <c r="J505" t="str">
        <f t="shared" si="37"/>
        <v>Average Performance</v>
      </c>
      <c r="K505">
        <f t="shared" si="38"/>
        <v>2003</v>
      </c>
      <c r="L505" t="str">
        <f t="shared" si="39"/>
        <v>May</v>
      </c>
    </row>
    <row r="506" spans="1:12" x14ac:dyDescent="0.25">
      <c r="A506" t="s">
        <v>173</v>
      </c>
      <c r="B506" t="s">
        <v>259</v>
      </c>
      <c r="C506" t="s">
        <v>264</v>
      </c>
      <c r="D506" t="str">
        <f t="shared" si="35"/>
        <v>Vintage Cars</v>
      </c>
      <c r="E506" t="s">
        <v>287</v>
      </c>
      <c r="F506" s="5">
        <v>2113.37</v>
      </c>
      <c r="G506" s="5">
        <v>422.67399999999998</v>
      </c>
      <c r="I506" t="str">
        <f t="shared" si="36"/>
        <v>Low Sales</v>
      </c>
      <c r="J506" t="str">
        <f t="shared" si="37"/>
        <v>Average Performance</v>
      </c>
      <c r="K506">
        <f t="shared" si="38"/>
        <v>2003</v>
      </c>
      <c r="L506" t="str">
        <f t="shared" si="39"/>
        <v>July</v>
      </c>
    </row>
    <row r="507" spans="1:12" x14ac:dyDescent="0.25">
      <c r="A507" t="s">
        <v>174</v>
      </c>
      <c r="C507" t="s">
        <v>264</v>
      </c>
      <c r="D507" t="str">
        <f t="shared" si="35"/>
        <v>Vintage Cars</v>
      </c>
      <c r="E507" t="s">
        <v>287</v>
      </c>
      <c r="F507" s="5">
        <v>1746.6</v>
      </c>
      <c r="G507" s="5">
        <v>349.32</v>
      </c>
      <c r="I507" t="str">
        <f t="shared" si="36"/>
        <v>Low Sales</v>
      </c>
      <c r="J507" t="str">
        <f t="shared" si="37"/>
        <v>Average Performance</v>
      </c>
      <c r="K507">
        <f t="shared" si="38"/>
        <v>2003</v>
      </c>
      <c r="L507" t="str">
        <f t="shared" si="39"/>
        <v>September</v>
      </c>
    </row>
    <row r="508" spans="1:12" x14ac:dyDescent="0.25">
      <c r="A508" t="s">
        <v>175</v>
      </c>
      <c r="C508" t="s">
        <v>264</v>
      </c>
      <c r="D508" t="str">
        <f t="shared" si="35"/>
        <v>Vintage Cars</v>
      </c>
      <c r="E508" t="s">
        <v>287</v>
      </c>
      <c r="F508" s="5">
        <v>2304.4499999999998</v>
      </c>
      <c r="G508" s="5">
        <v>460.89</v>
      </c>
      <c r="I508" t="str">
        <f t="shared" si="36"/>
        <v>Low Sales</v>
      </c>
      <c r="J508" t="str">
        <f t="shared" si="37"/>
        <v>Average Performance</v>
      </c>
      <c r="K508">
        <f t="shared" si="38"/>
        <v>2003</v>
      </c>
      <c r="L508" t="str">
        <f t="shared" si="39"/>
        <v>October</v>
      </c>
    </row>
    <row r="509" spans="1:12" x14ac:dyDescent="0.25">
      <c r="A509" t="s">
        <v>161</v>
      </c>
      <c r="B509" t="s">
        <v>258</v>
      </c>
      <c r="C509" t="s">
        <v>264</v>
      </c>
      <c r="D509" t="str">
        <f t="shared" si="35"/>
        <v>Vintage Cars</v>
      </c>
      <c r="E509" t="s">
        <v>287</v>
      </c>
      <c r="F509" s="5">
        <v>2122.08</v>
      </c>
      <c r="G509" s="5">
        <v>424.416</v>
      </c>
      <c r="I509" t="str">
        <f t="shared" si="36"/>
        <v>Low Sales</v>
      </c>
      <c r="J509" t="str">
        <f t="shared" si="37"/>
        <v>Average Performance</v>
      </c>
      <c r="K509">
        <f t="shared" si="38"/>
        <v>2003</v>
      </c>
      <c r="L509" t="str">
        <f t="shared" si="39"/>
        <v>November</v>
      </c>
    </row>
    <row r="510" spans="1:12" x14ac:dyDescent="0.25">
      <c r="A510" t="s">
        <v>109</v>
      </c>
      <c r="C510" t="s">
        <v>264</v>
      </c>
      <c r="D510" t="str">
        <f t="shared" si="35"/>
        <v>Vintage Cars</v>
      </c>
      <c r="E510" t="s">
        <v>287</v>
      </c>
      <c r="F510" s="5">
        <v>1742.4</v>
      </c>
      <c r="G510" s="5">
        <v>348.48</v>
      </c>
      <c r="I510" t="str">
        <f t="shared" si="36"/>
        <v>Low Sales</v>
      </c>
      <c r="J510" t="str">
        <f t="shared" si="37"/>
        <v>Average Performance</v>
      </c>
      <c r="K510">
        <f t="shared" si="38"/>
        <v>2003</v>
      </c>
      <c r="L510" t="str">
        <f t="shared" si="39"/>
        <v>November</v>
      </c>
    </row>
    <row r="511" spans="1:12" x14ac:dyDescent="0.25">
      <c r="A511" t="s">
        <v>176</v>
      </c>
      <c r="B511" t="s">
        <v>259</v>
      </c>
      <c r="C511" t="s">
        <v>264</v>
      </c>
      <c r="D511" t="str">
        <f t="shared" si="35"/>
        <v>Vintage Cars</v>
      </c>
      <c r="E511" t="s">
        <v>287</v>
      </c>
      <c r="F511" s="5">
        <v>2455.02</v>
      </c>
      <c r="G511" s="5">
        <v>491.00400000000002</v>
      </c>
      <c r="I511" t="str">
        <f t="shared" si="36"/>
        <v>Low Sales</v>
      </c>
      <c r="J511" t="str">
        <f t="shared" si="37"/>
        <v>Average Performance</v>
      </c>
      <c r="K511">
        <f t="shared" si="38"/>
        <v>2003</v>
      </c>
      <c r="L511" t="str">
        <f t="shared" si="39"/>
        <v>November</v>
      </c>
    </row>
    <row r="512" spans="1:12" x14ac:dyDescent="0.25">
      <c r="A512" t="s">
        <v>177</v>
      </c>
      <c r="B512" t="s">
        <v>258</v>
      </c>
      <c r="C512" t="s">
        <v>264</v>
      </c>
      <c r="D512" t="str">
        <f t="shared" si="35"/>
        <v>Vintage Cars</v>
      </c>
      <c r="E512" t="s">
        <v>287</v>
      </c>
      <c r="F512" s="5">
        <v>3053.28</v>
      </c>
      <c r="G512" s="5">
        <v>610.65600000000006</v>
      </c>
      <c r="I512" t="str">
        <f t="shared" si="36"/>
        <v>Low Sales</v>
      </c>
      <c r="J512" t="str">
        <f t="shared" si="37"/>
        <v>Average Performance</v>
      </c>
      <c r="K512">
        <f t="shared" si="38"/>
        <v>2003</v>
      </c>
      <c r="L512" t="str">
        <f t="shared" si="39"/>
        <v>December</v>
      </c>
    </row>
    <row r="513" spans="1:12" x14ac:dyDescent="0.25">
      <c r="A513" t="s">
        <v>42</v>
      </c>
      <c r="C513" t="s">
        <v>264</v>
      </c>
      <c r="D513" t="str">
        <f t="shared" si="35"/>
        <v>Vintage Cars</v>
      </c>
      <c r="E513" t="s">
        <v>287</v>
      </c>
      <c r="F513" s="5">
        <v>1423.29</v>
      </c>
      <c r="G513" s="5">
        <v>284.65800000000002</v>
      </c>
      <c r="I513" t="str">
        <f t="shared" si="36"/>
        <v>Low Sales</v>
      </c>
      <c r="J513" t="str">
        <f t="shared" si="37"/>
        <v>Average Performance</v>
      </c>
      <c r="K513">
        <f t="shared" si="38"/>
        <v>2004</v>
      </c>
      <c r="L513" t="str">
        <f t="shared" si="39"/>
        <v>January</v>
      </c>
    </row>
    <row r="514" spans="1:12" x14ac:dyDescent="0.25">
      <c r="A514" t="s">
        <v>178</v>
      </c>
      <c r="B514" t="s">
        <v>258</v>
      </c>
      <c r="C514" t="s">
        <v>264</v>
      </c>
      <c r="D514" t="str">
        <f t="shared" si="35"/>
        <v>Vintage Cars</v>
      </c>
      <c r="E514" t="s">
        <v>287</v>
      </c>
      <c r="F514" s="5">
        <v>1504.12</v>
      </c>
      <c r="G514" s="5">
        <v>300.82400000000001</v>
      </c>
      <c r="I514" t="str">
        <f t="shared" si="36"/>
        <v>Low Sales</v>
      </c>
      <c r="J514" t="str">
        <f t="shared" si="37"/>
        <v>Average Performance</v>
      </c>
      <c r="K514">
        <f t="shared" si="38"/>
        <v>2004</v>
      </c>
      <c r="L514" t="str">
        <f t="shared" si="39"/>
        <v>March</v>
      </c>
    </row>
    <row r="515" spans="1:12" x14ac:dyDescent="0.25">
      <c r="A515" t="s">
        <v>179</v>
      </c>
      <c r="B515" t="s">
        <v>258</v>
      </c>
      <c r="C515" t="s">
        <v>264</v>
      </c>
      <c r="D515" t="str">
        <f t="shared" ref="D515:D578" si="40">PROPER(TRIM(C515))</f>
        <v>Vintage Cars</v>
      </c>
      <c r="E515" t="s">
        <v>287</v>
      </c>
      <c r="F515" s="5">
        <v>1164.4000000000001</v>
      </c>
      <c r="G515" s="5">
        <v>232.88</v>
      </c>
      <c r="I515" t="str">
        <f t="shared" ref="I515:I578" si="41">IF(F515&gt;50000,"High Sales","Low Sales")</f>
        <v>Low Sales</v>
      </c>
      <c r="J515" t="str">
        <f t="shared" ref="J515:J578" si="42">IF(AND(F515&gt;30000,G515&gt;5000),"Good Performance","Average Performance")</f>
        <v>Average Performance</v>
      </c>
      <c r="K515">
        <f t="shared" ref="K515:K578" si="43">YEAR(A515)</f>
        <v>2004</v>
      </c>
      <c r="L515" t="str">
        <f t="shared" ref="L515:L578" si="44">TEXT(A515,"mmmm")</f>
        <v>April</v>
      </c>
    </row>
    <row r="516" spans="1:12" x14ac:dyDescent="0.25">
      <c r="A516" t="s">
        <v>180</v>
      </c>
      <c r="B516" t="s">
        <v>258</v>
      </c>
      <c r="C516" t="s">
        <v>264</v>
      </c>
      <c r="D516" t="str">
        <f t="shared" si="40"/>
        <v>Vintage Cars</v>
      </c>
      <c r="E516" t="s">
        <v>287</v>
      </c>
      <c r="F516" s="5">
        <v>1500.75</v>
      </c>
      <c r="G516" s="5">
        <v>300.14999999999998</v>
      </c>
      <c r="I516" t="str">
        <f t="shared" si="41"/>
        <v>Low Sales</v>
      </c>
      <c r="J516" t="str">
        <f t="shared" si="42"/>
        <v>Average Performance</v>
      </c>
      <c r="K516">
        <f t="shared" si="43"/>
        <v>2004</v>
      </c>
      <c r="L516" t="str">
        <f t="shared" si="44"/>
        <v>June</v>
      </c>
    </row>
    <row r="517" spans="1:12" x14ac:dyDescent="0.25">
      <c r="A517" t="s">
        <v>47</v>
      </c>
      <c r="B517" t="s">
        <v>258</v>
      </c>
      <c r="C517" t="s">
        <v>264</v>
      </c>
      <c r="D517" t="str">
        <f t="shared" si="40"/>
        <v>Vintage Cars</v>
      </c>
      <c r="E517" t="s">
        <v>287</v>
      </c>
      <c r="F517" s="5">
        <v>1557.36</v>
      </c>
      <c r="G517" s="5">
        <v>311.47199999999998</v>
      </c>
      <c r="I517" t="str">
        <f t="shared" si="41"/>
        <v>Low Sales</v>
      </c>
      <c r="J517" t="str">
        <f t="shared" si="42"/>
        <v>Average Performance</v>
      </c>
      <c r="K517">
        <f t="shared" si="43"/>
        <v>2004</v>
      </c>
      <c r="L517" t="str">
        <f t="shared" si="44"/>
        <v>August</v>
      </c>
    </row>
    <row r="518" spans="1:12" x14ac:dyDescent="0.25">
      <c r="A518" t="s">
        <v>181</v>
      </c>
      <c r="B518" t="s">
        <v>258</v>
      </c>
      <c r="C518" t="s">
        <v>264</v>
      </c>
      <c r="D518" t="str">
        <f t="shared" si="40"/>
        <v>Vintage Cars</v>
      </c>
      <c r="E518" t="s">
        <v>287</v>
      </c>
      <c r="F518" s="5">
        <v>1345.68</v>
      </c>
      <c r="G518" s="5">
        <v>269.13600000000002</v>
      </c>
      <c r="I518" t="str">
        <f t="shared" si="41"/>
        <v>Low Sales</v>
      </c>
      <c r="J518" t="str">
        <f t="shared" si="42"/>
        <v>Average Performance</v>
      </c>
      <c r="K518">
        <f t="shared" si="43"/>
        <v>2004</v>
      </c>
      <c r="L518" t="str">
        <f t="shared" si="44"/>
        <v>September</v>
      </c>
    </row>
    <row r="519" spans="1:12" x14ac:dyDescent="0.25">
      <c r="A519" t="s">
        <v>49</v>
      </c>
      <c r="B519" t="s">
        <v>258</v>
      </c>
      <c r="C519" t="s">
        <v>264</v>
      </c>
      <c r="D519" t="str">
        <f t="shared" si="40"/>
        <v>Vintage Cars</v>
      </c>
      <c r="E519" t="s">
        <v>287</v>
      </c>
      <c r="F519" s="5">
        <v>1795.24</v>
      </c>
      <c r="G519" s="5">
        <v>359.048</v>
      </c>
      <c r="I519" t="str">
        <f t="shared" si="41"/>
        <v>Low Sales</v>
      </c>
      <c r="J519" t="str">
        <f t="shared" si="42"/>
        <v>Average Performance</v>
      </c>
      <c r="K519">
        <f t="shared" si="43"/>
        <v>2004</v>
      </c>
      <c r="L519" t="str">
        <f t="shared" si="44"/>
        <v>October</v>
      </c>
    </row>
    <row r="520" spans="1:12" x14ac:dyDescent="0.25">
      <c r="A520" t="s">
        <v>50</v>
      </c>
      <c r="C520" t="s">
        <v>264</v>
      </c>
      <c r="D520" t="str">
        <f t="shared" si="40"/>
        <v>Vintage Cars</v>
      </c>
      <c r="E520" t="s">
        <v>287</v>
      </c>
      <c r="F520" s="5">
        <v>1105.25</v>
      </c>
      <c r="G520" s="5">
        <v>221.05</v>
      </c>
      <c r="I520" t="str">
        <f t="shared" si="41"/>
        <v>Low Sales</v>
      </c>
      <c r="J520" t="str">
        <f t="shared" si="42"/>
        <v>Average Performance</v>
      </c>
      <c r="K520">
        <f t="shared" si="43"/>
        <v>2004</v>
      </c>
      <c r="L520" t="str">
        <f t="shared" si="44"/>
        <v>October</v>
      </c>
    </row>
    <row r="521" spans="1:12" x14ac:dyDescent="0.25">
      <c r="A521" t="s">
        <v>51</v>
      </c>
      <c r="C521" t="s">
        <v>264</v>
      </c>
      <c r="D521" t="str">
        <f t="shared" si="40"/>
        <v>Vintage Cars</v>
      </c>
      <c r="E521" t="s">
        <v>287</v>
      </c>
      <c r="F521" s="5">
        <v>2364.88</v>
      </c>
      <c r="G521" s="5">
        <v>472.97600000000011</v>
      </c>
      <c r="I521" t="str">
        <f t="shared" si="41"/>
        <v>Low Sales</v>
      </c>
      <c r="J521" t="str">
        <f t="shared" si="42"/>
        <v>Average Performance</v>
      </c>
      <c r="K521">
        <f t="shared" si="43"/>
        <v>2004</v>
      </c>
      <c r="L521" t="str">
        <f t="shared" si="44"/>
        <v>November</v>
      </c>
    </row>
    <row r="522" spans="1:12" x14ac:dyDescent="0.25">
      <c r="A522" t="s">
        <v>165</v>
      </c>
      <c r="B522" t="s">
        <v>258</v>
      </c>
      <c r="C522" t="s">
        <v>264</v>
      </c>
      <c r="D522" t="str">
        <f t="shared" si="40"/>
        <v>Vintage Cars</v>
      </c>
      <c r="E522" t="s">
        <v>287</v>
      </c>
      <c r="F522" s="5">
        <v>2427.0300000000002</v>
      </c>
      <c r="G522" s="5">
        <v>485.40600000000012</v>
      </c>
      <c r="I522" t="str">
        <f t="shared" si="41"/>
        <v>Low Sales</v>
      </c>
      <c r="J522" t="str">
        <f t="shared" si="42"/>
        <v>Average Performance</v>
      </c>
      <c r="K522">
        <f t="shared" si="43"/>
        <v>2004</v>
      </c>
      <c r="L522" t="str">
        <f t="shared" si="44"/>
        <v>November</v>
      </c>
    </row>
    <row r="523" spans="1:12" x14ac:dyDescent="0.25">
      <c r="A523" t="s">
        <v>53</v>
      </c>
      <c r="B523" t="s">
        <v>259</v>
      </c>
      <c r="C523" t="s">
        <v>264</v>
      </c>
      <c r="D523" t="str">
        <f t="shared" si="40"/>
        <v>Vintage Cars</v>
      </c>
      <c r="E523" t="s">
        <v>287</v>
      </c>
      <c r="F523" s="5">
        <v>1237.95</v>
      </c>
      <c r="G523" s="5">
        <v>247.59</v>
      </c>
      <c r="I523" t="str">
        <f t="shared" si="41"/>
        <v>Low Sales</v>
      </c>
      <c r="J523" t="str">
        <f t="shared" si="42"/>
        <v>Average Performance</v>
      </c>
      <c r="K523">
        <f t="shared" si="43"/>
        <v>2004</v>
      </c>
      <c r="L523" t="str">
        <f t="shared" si="44"/>
        <v>November</v>
      </c>
    </row>
    <row r="524" spans="1:12" x14ac:dyDescent="0.25">
      <c r="A524" t="s">
        <v>166</v>
      </c>
      <c r="B524" t="s">
        <v>258</v>
      </c>
      <c r="C524" t="s">
        <v>264</v>
      </c>
      <c r="D524" t="str">
        <f t="shared" si="40"/>
        <v>Vintage Cars</v>
      </c>
      <c r="E524" t="s">
        <v>287</v>
      </c>
      <c r="F524" s="5">
        <v>1593.02</v>
      </c>
      <c r="G524" s="5">
        <v>318.60399999999998</v>
      </c>
      <c r="I524" t="str">
        <f t="shared" si="41"/>
        <v>Low Sales</v>
      </c>
      <c r="J524" t="str">
        <f t="shared" si="42"/>
        <v>Average Performance</v>
      </c>
      <c r="K524">
        <f t="shared" si="43"/>
        <v>2004</v>
      </c>
      <c r="L524" t="str">
        <f t="shared" si="44"/>
        <v>December</v>
      </c>
    </row>
    <row r="525" spans="1:12" x14ac:dyDescent="0.25">
      <c r="A525" t="s">
        <v>55</v>
      </c>
      <c r="C525" t="s">
        <v>264</v>
      </c>
      <c r="D525" t="str">
        <f t="shared" si="40"/>
        <v>Vintage Cars</v>
      </c>
      <c r="E525" t="s">
        <v>287</v>
      </c>
      <c r="F525" s="5">
        <v>3156.16</v>
      </c>
      <c r="G525" s="5">
        <v>631.23199999999997</v>
      </c>
      <c r="I525" t="str">
        <f t="shared" si="41"/>
        <v>Low Sales</v>
      </c>
      <c r="J525" t="str">
        <f t="shared" si="42"/>
        <v>Average Performance</v>
      </c>
      <c r="K525">
        <f t="shared" si="43"/>
        <v>2005</v>
      </c>
      <c r="L525" t="str">
        <f t="shared" si="44"/>
        <v>January</v>
      </c>
    </row>
    <row r="526" spans="1:12" x14ac:dyDescent="0.25">
      <c r="A526" t="s">
        <v>56</v>
      </c>
      <c r="C526" t="s">
        <v>264</v>
      </c>
      <c r="D526" t="str">
        <f t="shared" si="40"/>
        <v>Vintage Cars</v>
      </c>
      <c r="E526" t="s">
        <v>287</v>
      </c>
      <c r="F526" s="5">
        <v>1320.75</v>
      </c>
      <c r="G526" s="5">
        <v>264.14999999999998</v>
      </c>
      <c r="I526" t="str">
        <f t="shared" si="41"/>
        <v>Low Sales</v>
      </c>
      <c r="J526" t="str">
        <f t="shared" si="42"/>
        <v>Average Performance</v>
      </c>
      <c r="K526">
        <f t="shared" si="43"/>
        <v>2005</v>
      </c>
      <c r="L526" t="str">
        <f t="shared" si="44"/>
        <v>February</v>
      </c>
    </row>
    <row r="527" spans="1:12" x14ac:dyDescent="0.25">
      <c r="A527" t="s">
        <v>57</v>
      </c>
      <c r="B527" t="s">
        <v>259</v>
      </c>
      <c r="C527" t="s">
        <v>264</v>
      </c>
      <c r="D527" t="str">
        <f t="shared" si="40"/>
        <v>Vintage Cars</v>
      </c>
      <c r="E527" t="s">
        <v>287</v>
      </c>
      <c r="F527" s="5">
        <v>4998</v>
      </c>
      <c r="G527" s="5">
        <v>999.6</v>
      </c>
      <c r="I527" t="str">
        <f t="shared" si="41"/>
        <v>Low Sales</v>
      </c>
      <c r="J527" t="str">
        <f t="shared" si="42"/>
        <v>Average Performance</v>
      </c>
      <c r="K527">
        <f t="shared" si="43"/>
        <v>2005</v>
      </c>
      <c r="L527" t="str">
        <f t="shared" si="44"/>
        <v>March</v>
      </c>
    </row>
    <row r="528" spans="1:12" x14ac:dyDescent="0.25">
      <c r="A528" t="s">
        <v>183</v>
      </c>
      <c r="C528" t="s">
        <v>264</v>
      </c>
      <c r="D528" t="str">
        <f t="shared" si="40"/>
        <v>Vintage Cars</v>
      </c>
      <c r="E528" t="s">
        <v>287</v>
      </c>
      <c r="F528" s="5">
        <v>1293.75</v>
      </c>
      <c r="G528" s="5">
        <v>258.75</v>
      </c>
      <c r="I528" t="str">
        <f t="shared" si="41"/>
        <v>Low Sales</v>
      </c>
      <c r="J528" t="str">
        <f t="shared" si="42"/>
        <v>Average Performance</v>
      </c>
      <c r="K528">
        <f t="shared" si="43"/>
        <v>2005</v>
      </c>
      <c r="L528" t="str">
        <f t="shared" si="44"/>
        <v>May</v>
      </c>
    </row>
    <row r="529" spans="1:12" x14ac:dyDescent="0.25">
      <c r="A529" t="s">
        <v>184</v>
      </c>
      <c r="B529" t="s">
        <v>258</v>
      </c>
      <c r="C529" t="s">
        <v>262</v>
      </c>
      <c r="D529" t="str">
        <f t="shared" si="40"/>
        <v>Classic Cars</v>
      </c>
      <c r="E529" t="s">
        <v>288</v>
      </c>
      <c r="F529" s="5">
        <v>5433.08</v>
      </c>
      <c r="G529" s="5">
        <v>1086.616</v>
      </c>
      <c r="I529" t="str">
        <f t="shared" si="41"/>
        <v>Low Sales</v>
      </c>
      <c r="J529" t="str">
        <f t="shared" si="42"/>
        <v>Average Performance</v>
      </c>
      <c r="K529">
        <f t="shared" si="43"/>
        <v>2003</v>
      </c>
      <c r="L529" t="str">
        <f t="shared" si="44"/>
        <v>March</v>
      </c>
    </row>
    <row r="530" spans="1:12" x14ac:dyDescent="0.25">
      <c r="A530" t="s">
        <v>185</v>
      </c>
      <c r="B530" t="s">
        <v>258</v>
      </c>
      <c r="C530" t="s">
        <v>262</v>
      </c>
      <c r="D530" t="str">
        <f t="shared" si="40"/>
        <v>Classic Cars</v>
      </c>
      <c r="E530" t="s">
        <v>288</v>
      </c>
      <c r="F530" s="5">
        <v>3073.72</v>
      </c>
      <c r="G530" s="5">
        <v>614.74400000000003</v>
      </c>
      <c r="I530" t="str">
        <f t="shared" si="41"/>
        <v>Low Sales</v>
      </c>
      <c r="J530" t="str">
        <f t="shared" si="42"/>
        <v>Average Performance</v>
      </c>
      <c r="K530">
        <f t="shared" si="43"/>
        <v>2003</v>
      </c>
      <c r="L530" t="str">
        <f t="shared" si="44"/>
        <v>May</v>
      </c>
    </row>
    <row r="531" spans="1:12" x14ac:dyDescent="0.25">
      <c r="A531" t="s">
        <v>186</v>
      </c>
      <c r="B531" t="s">
        <v>258</v>
      </c>
      <c r="C531" t="s">
        <v>262</v>
      </c>
      <c r="D531" t="str">
        <f t="shared" si="40"/>
        <v>Classic Cars</v>
      </c>
      <c r="E531" t="s">
        <v>288</v>
      </c>
      <c r="F531" s="5">
        <v>4380.2</v>
      </c>
      <c r="G531" s="5">
        <v>876.04</v>
      </c>
      <c r="I531" t="str">
        <f t="shared" si="41"/>
        <v>Low Sales</v>
      </c>
      <c r="J531" t="str">
        <f t="shared" si="42"/>
        <v>Average Performance</v>
      </c>
      <c r="K531">
        <f t="shared" si="43"/>
        <v>2003</v>
      </c>
      <c r="L531" t="str">
        <f t="shared" si="44"/>
        <v>July</v>
      </c>
    </row>
    <row r="532" spans="1:12" x14ac:dyDescent="0.25">
      <c r="A532" t="s">
        <v>159</v>
      </c>
      <c r="B532" t="s">
        <v>259</v>
      </c>
      <c r="C532" t="s">
        <v>262</v>
      </c>
      <c r="D532" t="str">
        <f t="shared" si="40"/>
        <v>Classic Cars</v>
      </c>
      <c r="E532" t="s">
        <v>288</v>
      </c>
      <c r="F532" s="5">
        <v>5848.68</v>
      </c>
      <c r="G532" s="5">
        <v>1169.7360000000001</v>
      </c>
      <c r="I532" t="str">
        <f t="shared" si="41"/>
        <v>Low Sales</v>
      </c>
      <c r="J532" t="str">
        <f t="shared" si="42"/>
        <v>Average Performance</v>
      </c>
      <c r="K532">
        <f t="shared" si="43"/>
        <v>2003</v>
      </c>
      <c r="L532" t="str">
        <f t="shared" si="44"/>
        <v>September</v>
      </c>
    </row>
    <row r="533" spans="1:12" x14ac:dyDescent="0.25">
      <c r="A533" t="s">
        <v>160</v>
      </c>
      <c r="B533" t="s">
        <v>258</v>
      </c>
      <c r="C533" t="s">
        <v>262</v>
      </c>
      <c r="D533" t="str">
        <f t="shared" si="40"/>
        <v>Classic Cars</v>
      </c>
      <c r="E533" t="s">
        <v>288</v>
      </c>
      <c r="F533" s="5">
        <v>6153.73</v>
      </c>
      <c r="G533" s="5">
        <v>1230.7460000000001</v>
      </c>
      <c r="I533" t="str">
        <f t="shared" si="41"/>
        <v>Low Sales</v>
      </c>
      <c r="J533" t="str">
        <f t="shared" si="42"/>
        <v>Average Performance</v>
      </c>
      <c r="K533">
        <f t="shared" si="43"/>
        <v>2003</v>
      </c>
      <c r="L533" t="str">
        <f t="shared" si="44"/>
        <v>October</v>
      </c>
    </row>
    <row r="534" spans="1:12" x14ac:dyDescent="0.25">
      <c r="A534" t="s">
        <v>161</v>
      </c>
      <c r="C534" t="s">
        <v>262</v>
      </c>
      <c r="D534" t="str">
        <f t="shared" si="40"/>
        <v>Classic Cars</v>
      </c>
      <c r="E534" t="s">
        <v>288</v>
      </c>
      <c r="F534" s="5">
        <v>4965.24</v>
      </c>
      <c r="G534" s="5">
        <v>993.048</v>
      </c>
      <c r="I534" t="str">
        <f t="shared" si="41"/>
        <v>Low Sales</v>
      </c>
      <c r="J534" t="str">
        <f t="shared" si="42"/>
        <v>Average Performance</v>
      </c>
      <c r="K534">
        <f t="shared" si="43"/>
        <v>2003</v>
      </c>
      <c r="L534" t="str">
        <f t="shared" si="44"/>
        <v>November</v>
      </c>
    </row>
    <row r="535" spans="1:12" x14ac:dyDescent="0.25">
      <c r="A535" t="s">
        <v>109</v>
      </c>
      <c r="B535" t="s">
        <v>258</v>
      </c>
      <c r="C535" t="s">
        <v>262</v>
      </c>
      <c r="D535" t="str">
        <f t="shared" si="40"/>
        <v>Classic Cars</v>
      </c>
      <c r="E535" t="s">
        <v>288</v>
      </c>
      <c r="F535" s="5">
        <v>5435.64</v>
      </c>
      <c r="G535" s="5">
        <v>1087.1279999999999</v>
      </c>
      <c r="I535" t="str">
        <f t="shared" si="41"/>
        <v>Low Sales</v>
      </c>
      <c r="J535" t="str">
        <f t="shared" si="42"/>
        <v>Average Performance</v>
      </c>
      <c r="K535">
        <f t="shared" si="43"/>
        <v>2003</v>
      </c>
      <c r="L535" t="str">
        <f t="shared" si="44"/>
        <v>November</v>
      </c>
    </row>
    <row r="536" spans="1:12" x14ac:dyDescent="0.25">
      <c r="A536" t="s">
        <v>110</v>
      </c>
      <c r="C536" t="s">
        <v>262</v>
      </c>
      <c r="D536" t="str">
        <f t="shared" si="40"/>
        <v>Classic Cars</v>
      </c>
      <c r="E536" t="s">
        <v>288</v>
      </c>
      <c r="F536" s="5">
        <v>4258.3599999999997</v>
      </c>
      <c r="G536" s="5">
        <v>851.67200000000003</v>
      </c>
      <c r="I536" t="str">
        <f t="shared" si="41"/>
        <v>Low Sales</v>
      </c>
      <c r="J536" t="str">
        <f t="shared" si="42"/>
        <v>Average Performance</v>
      </c>
      <c r="K536">
        <f t="shared" si="43"/>
        <v>2003</v>
      </c>
      <c r="L536" t="str">
        <f t="shared" si="44"/>
        <v>November</v>
      </c>
    </row>
    <row r="537" spans="1:12" x14ac:dyDescent="0.25">
      <c r="A537" t="s">
        <v>111</v>
      </c>
      <c r="C537" t="s">
        <v>262</v>
      </c>
      <c r="D537" t="str">
        <f t="shared" si="40"/>
        <v>Classic Cars</v>
      </c>
      <c r="E537" t="s">
        <v>288</v>
      </c>
      <c r="F537" s="5">
        <v>4032</v>
      </c>
      <c r="G537" s="5">
        <v>806.40000000000009</v>
      </c>
      <c r="I537" t="str">
        <f t="shared" si="41"/>
        <v>Low Sales</v>
      </c>
      <c r="J537" t="str">
        <f t="shared" si="42"/>
        <v>Average Performance</v>
      </c>
      <c r="K537">
        <f t="shared" si="43"/>
        <v>2003</v>
      </c>
      <c r="L537" t="str">
        <f t="shared" si="44"/>
        <v>December</v>
      </c>
    </row>
    <row r="538" spans="1:12" x14ac:dyDescent="0.25">
      <c r="A538" t="s">
        <v>144</v>
      </c>
      <c r="B538" t="s">
        <v>258</v>
      </c>
      <c r="C538" t="s">
        <v>262</v>
      </c>
      <c r="D538" t="str">
        <f t="shared" si="40"/>
        <v>Classic Cars</v>
      </c>
      <c r="E538" t="s">
        <v>288</v>
      </c>
      <c r="F538" s="5">
        <v>4492.3599999999997</v>
      </c>
      <c r="G538" s="5">
        <v>898.47199999999998</v>
      </c>
      <c r="I538" t="str">
        <f t="shared" si="41"/>
        <v>Low Sales</v>
      </c>
      <c r="J538" t="str">
        <f t="shared" si="42"/>
        <v>Average Performance</v>
      </c>
      <c r="K538">
        <f t="shared" si="43"/>
        <v>2004</v>
      </c>
      <c r="L538" t="str">
        <f t="shared" si="44"/>
        <v>January</v>
      </c>
    </row>
    <row r="539" spans="1:12" x14ac:dyDescent="0.25">
      <c r="A539" t="s">
        <v>187</v>
      </c>
      <c r="C539" t="s">
        <v>262</v>
      </c>
      <c r="D539" t="str">
        <f t="shared" si="40"/>
        <v>Classic Cars</v>
      </c>
      <c r="E539" t="s">
        <v>288</v>
      </c>
      <c r="F539" s="5">
        <v>4161.38</v>
      </c>
      <c r="G539" s="5">
        <v>832.27600000000007</v>
      </c>
      <c r="I539" t="str">
        <f t="shared" si="41"/>
        <v>Low Sales</v>
      </c>
      <c r="J539" t="str">
        <f t="shared" si="42"/>
        <v>Average Performance</v>
      </c>
      <c r="K539">
        <f t="shared" si="43"/>
        <v>2004</v>
      </c>
      <c r="L539" t="str">
        <f t="shared" si="44"/>
        <v>February</v>
      </c>
    </row>
    <row r="540" spans="1:12" x14ac:dyDescent="0.25">
      <c r="A540" t="s">
        <v>162</v>
      </c>
      <c r="B540" t="s">
        <v>258</v>
      </c>
      <c r="C540" t="s">
        <v>262</v>
      </c>
      <c r="D540" t="str">
        <f t="shared" si="40"/>
        <v>Classic Cars</v>
      </c>
      <c r="E540" t="s">
        <v>288</v>
      </c>
      <c r="F540" s="5">
        <v>2508.66</v>
      </c>
      <c r="G540" s="5">
        <v>501.73200000000003</v>
      </c>
      <c r="I540" t="str">
        <f t="shared" si="41"/>
        <v>Low Sales</v>
      </c>
      <c r="J540" t="str">
        <f t="shared" si="42"/>
        <v>Average Performance</v>
      </c>
      <c r="K540">
        <f t="shared" si="43"/>
        <v>2004</v>
      </c>
      <c r="L540" t="str">
        <f t="shared" si="44"/>
        <v>April</v>
      </c>
    </row>
    <row r="541" spans="1:12" x14ac:dyDescent="0.25">
      <c r="A541" t="s">
        <v>114</v>
      </c>
      <c r="B541" t="s">
        <v>258</v>
      </c>
      <c r="C541" t="s">
        <v>262</v>
      </c>
      <c r="D541" t="str">
        <f t="shared" si="40"/>
        <v>Classic Cars</v>
      </c>
      <c r="E541" t="s">
        <v>288</v>
      </c>
      <c r="F541" s="5">
        <v>3374.88</v>
      </c>
      <c r="G541" s="5">
        <v>674.97600000000011</v>
      </c>
      <c r="I541" t="str">
        <f t="shared" si="41"/>
        <v>Low Sales</v>
      </c>
      <c r="J541" t="str">
        <f t="shared" si="42"/>
        <v>Average Performance</v>
      </c>
      <c r="K541">
        <f t="shared" si="43"/>
        <v>2004</v>
      </c>
      <c r="L541" t="str">
        <f t="shared" si="44"/>
        <v>June</v>
      </c>
    </row>
    <row r="542" spans="1:12" x14ac:dyDescent="0.25">
      <c r="A542" t="s">
        <v>115</v>
      </c>
      <c r="B542" t="s">
        <v>258</v>
      </c>
      <c r="C542" t="s">
        <v>262</v>
      </c>
      <c r="D542" t="str">
        <f t="shared" si="40"/>
        <v>Classic Cars</v>
      </c>
      <c r="E542" t="s">
        <v>288</v>
      </c>
      <c r="F542" s="5">
        <v>5196.6000000000004</v>
      </c>
      <c r="G542" s="5">
        <v>1039.32</v>
      </c>
      <c r="I542" t="str">
        <f t="shared" si="41"/>
        <v>Low Sales</v>
      </c>
      <c r="J542" t="str">
        <f t="shared" si="42"/>
        <v>Average Performance</v>
      </c>
      <c r="K542">
        <f t="shared" si="43"/>
        <v>2004</v>
      </c>
      <c r="L542" t="str">
        <f t="shared" si="44"/>
        <v>July</v>
      </c>
    </row>
    <row r="543" spans="1:12" x14ac:dyDescent="0.25">
      <c r="A543" t="s">
        <v>163</v>
      </c>
      <c r="C543" t="s">
        <v>262</v>
      </c>
      <c r="D543" t="str">
        <f t="shared" si="40"/>
        <v>Classic Cars</v>
      </c>
      <c r="E543" t="s">
        <v>288</v>
      </c>
      <c r="F543" s="5">
        <v>2604.52</v>
      </c>
      <c r="G543" s="5">
        <v>520.904</v>
      </c>
      <c r="I543" t="str">
        <f t="shared" si="41"/>
        <v>Low Sales</v>
      </c>
      <c r="J543" t="str">
        <f t="shared" si="42"/>
        <v>Average Performance</v>
      </c>
      <c r="K543">
        <f t="shared" si="43"/>
        <v>2004</v>
      </c>
      <c r="L543" t="str">
        <f t="shared" si="44"/>
        <v>August</v>
      </c>
    </row>
    <row r="544" spans="1:12" x14ac:dyDescent="0.25">
      <c r="A544" t="s">
        <v>188</v>
      </c>
      <c r="B544" t="s">
        <v>259</v>
      </c>
      <c r="C544" t="s">
        <v>262</v>
      </c>
      <c r="D544" t="str">
        <f t="shared" si="40"/>
        <v>Classic Cars</v>
      </c>
      <c r="E544" t="s">
        <v>288</v>
      </c>
      <c r="F544" s="5">
        <v>2936.8</v>
      </c>
      <c r="G544" s="5">
        <v>587.36</v>
      </c>
      <c r="I544" t="str">
        <f t="shared" si="41"/>
        <v>Low Sales</v>
      </c>
      <c r="J544" t="str">
        <f t="shared" si="42"/>
        <v>Average Performance</v>
      </c>
      <c r="K544">
        <f t="shared" si="43"/>
        <v>2004</v>
      </c>
      <c r="L544" t="str">
        <f t="shared" si="44"/>
        <v>September</v>
      </c>
    </row>
    <row r="545" spans="1:12" x14ac:dyDescent="0.25">
      <c r="A545" t="s">
        <v>164</v>
      </c>
      <c r="B545" t="s">
        <v>258</v>
      </c>
      <c r="C545" t="s">
        <v>262</v>
      </c>
      <c r="D545" t="str">
        <f t="shared" si="40"/>
        <v>Classic Cars</v>
      </c>
      <c r="E545" t="s">
        <v>288</v>
      </c>
      <c r="F545" s="5">
        <v>3424.64</v>
      </c>
      <c r="G545" s="5">
        <v>684.928</v>
      </c>
      <c r="I545" t="str">
        <f t="shared" si="41"/>
        <v>Low Sales</v>
      </c>
      <c r="J545" t="str">
        <f t="shared" si="42"/>
        <v>Average Performance</v>
      </c>
      <c r="K545">
        <f t="shared" si="43"/>
        <v>2003</v>
      </c>
      <c r="L545" t="str">
        <f t="shared" si="44"/>
        <v>October</v>
      </c>
    </row>
    <row r="546" spans="1:12" x14ac:dyDescent="0.25">
      <c r="A546" t="s">
        <v>119</v>
      </c>
      <c r="B546" t="s">
        <v>258</v>
      </c>
      <c r="C546" t="s">
        <v>262</v>
      </c>
      <c r="D546" t="str">
        <f t="shared" si="40"/>
        <v>Classic Cars</v>
      </c>
      <c r="E546" t="s">
        <v>288</v>
      </c>
      <c r="F546" s="5">
        <v>2923.2</v>
      </c>
      <c r="G546" s="5">
        <v>584.64</v>
      </c>
      <c r="I546" t="str">
        <f t="shared" si="41"/>
        <v>Low Sales</v>
      </c>
      <c r="J546" t="str">
        <f t="shared" si="42"/>
        <v>Average Performance</v>
      </c>
      <c r="K546">
        <f t="shared" si="43"/>
        <v>2004</v>
      </c>
      <c r="L546" t="str">
        <f t="shared" si="44"/>
        <v>October</v>
      </c>
    </row>
    <row r="547" spans="1:12" x14ac:dyDescent="0.25">
      <c r="A547" t="s">
        <v>51</v>
      </c>
      <c r="C547" t="s">
        <v>262</v>
      </c>
      <c r="D547" t="str">
        <f t="shared" si="40"/>
        <v>Classic Cars</v>
      </c>
      <c r="E547" t="s">
        <v>288</v>
      </c>
      <c r="F547" s="5">
        <v>4489.76</v>
      </c>
      <c r="G547" s="5">
        <v>897.95200000000011</v>
      </c>
      <c r="I547" t="str">
        <f t="shared" si="41"/>
        <v>Low Sales</v>
      </c>
      <c r="J547" t="str">
        <f t="shared" si="42"/>
        <v>Average Performance</v>
      </c>
      <c r="K547">
        <f t="shared" si="43"/>
        <v>2004</v>
      </c>
      <c r="L547" t="str">
        <f t="shared" si="44"/>
        <v>November</v>
      </c>
    </row>
    <row r="548" spans="1:12" x14ac:dyDescent="0.25">
      <c r="A548" t="s">
        <v>165</v>
      </c>
      <c r="C548" t="s">
        <v>262</v>
      </c>
      <c r="D548" t="str">
        <f t="shared" si="40"/>
        <v>Classic Cars</v>
      </c>
      <c r="E548" t="s">
        <v>288</v>
      </c>
      <c r="F548" s="5">
        <v>4849.24</v>
      </c>
      <c r="G548" s="5">
        <v>969.84799999999996</v>
      </c>
      <c r="I548" t="str">
        <f t="shared" si="41"/>
        <v>Low Sales</v>
      </c>
      <c r="J548" t="str">
        <f t="shared" si="42"/>
        <v>Average Performance</v>
      </c>
      <c r="K548">
        <f t="shared" si="43"/>
        <v>2004</v>
      </c>
      <c r="L548" t="str">
        <f t="shared" si="44"/>
        <v>November</v>
      </c>
    </row>
    <row r="549" spans="1:12" x14ac:dyDescent="0.25">
      <c r="A549" t="s">
        <v>26</v>
      </c>
      <c r="B549" t="s">
        <v>258</v>
      </c>
      <c r="C549" t="s">
        <v>262</v>
      </c>
      <c r="D549" t="str">
        <f t="shared" si="40"/>
        <v>Classic Cars</v>
      </c>
      <c r="E549" t="s">
        <v>288</v>
      </c>
      <c r="F549" s="5">
        <v>5848.92</v>
      </c>
      <c r="G549" s="5">
        <v>1169.7840000000001</v>
      </c>
      <c r="I549" t="str">
        <f t="shared" si="41"/>
        <v>Low Sales</v>
      </c>
      <c r="J549" t="str">
        <f t="shared" si="42"/>
        <v>Average Performance</v>
      </c>
      <c r="K549">
        <f t="shared" si="43"/>
        <v>2004</v>
      </c>
      <c r="L549" t="str">
        <f t="shared" si="44"/>
        <v>November</v>
      </c>
    </row>
    <row r="550" spans="1:12" x14ac:dyDescent="0.25">
      <c r="A550" t="s">
        <v>189</v>
      </c>
      <c r="C550" t="s">
        <v>262</v>
      </c>
      <c r="D550" t="str">
        <f t="shared" si="40"/>
        <v>Classic Cars</v>
      </c>
      <c r="E550" t="s">
        <v>288</v>
      </c>
      <c r="F550" s="5">
        <v>2758.7</v>
      </c>
      <c r="G550" s="5">
        <v>551.74</v>
      </c>
      <c r="I550" t="str">
        <f t="shared" si="41"/>
        <v>Low Sales</v>
      </c>
      <c r="J550" t="str">
        <f t="shared" si="42"/>
        <v>Average Performance</v>
      </c>
      <c r="K550">
        <f t="shared" si="43"/>
        <v>2005</v>
      </c>
      <c r="L550" t="str">
        <f t="shared" si="44"/>
        <v>January</v>
      </c>
    </row>
    <row r="551" spans="1:12" x14ac:dyDescent="0.25">
      <c r="A551" t="s">
        <v>190</v>
      </c>
      <c r="B551" t="s">
        <v>258</v>
      </c>
      <c r="C551" t="s">
        <v>262</v>
      </c>
      <c r="D551" t="str">
        <f t="shared" si="40"/>
        <v>Classic Cars</v>
      </c>
      <c r="E551" t="s">
        <v>288</v>
      </c>
      <c r="F551" s="5">
        <v>1449.76</v>
      </c>
      <c r="G551" s="5">
        <v>289.952</v>
      </c>
      <c r="I551" t="str">
        <f t="shared" si="41"/>
        <v>Low Sales</v>
      </c>
      <c r="J551" t="str">
        <f t="shared" si="42"/>
        <v>Average Performance</v>
      </c>
      <c r="K551">
        <f t="shared" si="43"/>
        <v>2005</v>
      </c>
      <c r="L551" t="str">
        <f t="shared" si="44"/>
        <v>February</v>
      </c>
    </row>
    <row r="552" spans="1:12" x14ac:dyDescent="0.25">
      <c r="A552" t="s">
        <v>191</v>
      </c>
      <c r="C552" t="s">
        <v>262</v>
      </c>
      <c r="D552" t="str">
        <f t="shared" si="40"/>
        <v>Classic Cars</v>
      </c>
      <c r="E552" t="s">
        <v>288</v>
      </c>
      <c r="F552" s="5">
        <v>7048.14</v>
      </c>
      <c r="G552" s="5">
        <v>1409.6279999999999</v>
      </c>
      <c r="I552" t="str">
        <f t="shared" si="41"/>
        <v>Low Sales</v>
      </c>
      <c r="J552" t="str">
        <f t="shared" si="42"/>
        <v>Average Performance</v>
      </c>
      <c r="K552">
        <f t="shared" si="43"/>
        <v>2005</v>
      </c>
      <c r="L552" t="str">
        <f t="shared" si="44"/>
        <v>April</v>
      </c>
    </row>
    <row r="553" spans="1:12" x14ac:dyDescent="0.25">
      <c r="A553" t="s">
        <v>122</v>
      </c>
      <c r="B553" t="s">
        <v>258</v>
      </c>
      <c r="C553" t="s">
        <v>262</v>
      </c>
      <c r="D553" t="str">
        <f t="shared" si="40"/>
        <v>Classic Cars</v>
      </c>
      <c r="E553" t="s">
        <v>288</v>
      </c>
      <c r="F553" s="5">
        <v>5202.9399999999996</v>
      </c>
      <c r="G553" s="5">
        <v>1040.588</v>
      </c>
      <c r="I553" t="str">
        <f t="shared" si="41"/>
        <v>Low Sales</v>
      </c>
      <c r="J553" t="str">
        <f t="shared" si="42"/>
        <v>Average Performance</v>
      </c>
      <c r="K553">
        <f t="shared" si="43"/>
        <v>2005</v>
      </c>
      <c r="L553" t="str">
        <f t="shared" si="44"/>
        <v>May</v>
      </c>
    </row>
    <row r="554" spans="1:12" x14ac:dyDescent="0.25">
      <c r="A554" t="s">
        <v>192</v>
      </c>
      <c r="B554" t="s">
        <v>258</v>
      </c>
      <c r="C554" t="s">
        <v>265</v>
      </c>
      <c r="D554" t="str">
        <f t="shared" si="40"/>
        <v>Planes</v>
      </c>
      <c r="E554" t="s">
        <v>289</v>
      </c>
      <c r="F554" s="5">
        <v>5279.4</v>
      </c>
      <c r="G554" s="5">
        <v>1055.8800000000001</v>
      </c>
      <c r="I554" t="str">
        <f t="shared" si="41"/>
        <v>Low Sales</v>
      </c>
      <c r="J554" t="str">
        <f t="shared" si="42"/>
        <v>Average Performance</v>
      </c>
      <c r="K554">
        <f t="shared" si="43"/>
        <v>2003</v>
      </c>
      <c r="L554" t="str">
        <f t="shared" si="44"/>
        <v>February</v>
      </c>
    </row>
    <row r="555" spans="1:12" x14ac:dyDescent="0.25">
      <c r="A555" t="s">
        <v>69</v>
      </c>
      <c r="B555" t="s">
        <v>258</v>
      </c>
      <c r="C555" t="s">
        <v>265</v>
      </c>
      <c r="D555" t="str">
        <f t="shared" si="40"/>
        <v>Planes</v>
      </c>
      <c r="E555" t="s">
        <v>289</v>
      </c>
      <c r="F555" s="5">
        <v>6916.12</v>
      </c>
      <c r="G555" s="5">
        <v>1383.2239999999999</v>
      </c>
      <c r="I555" t="str">
        <f t="shared" si="41"/>
        <v>Low Sales</v>
      </c>
      <c r="J555" t="str">
        <f t="shared" si="42"/>
        <v>Average Performance</v>
      </c>
      <c r="K555">
        <f t="shared" si="43"/>
        <v>2003</v>
      </c>
      <c r="L555" t="str">
        <f t="shared" si="44"/>
        <v>April</v>
      </c>
    </row>
    <row r="556" spans="1:12" x14ac:dyDescent="0.25">
      <c r="A556" t="s">
        <v>193</v>
      </c>
      <c r="C556" t="s">
        <v>265</v>
      </c>
      <c r="D556" t="str">
        <f t="shared" si="40"/>
        <v>Planes</v>
      </c>
      <c r="E556" t="s">
        <v>289</v>
      </c>
      <c r="F556" s="5">
        <v>2781.66</v>
      </c>
      <c r="G556" s="5">
        <v>556.33199999999999</v>
      </c>
      <c r="I556" t="str">
        <f t="shared" si="41"/>
        <v>Low Sales</v>
      </c>
      <c r="J556" t="str">
        <f t="shared" si="42"/>
        <v>Average Performance</v>
      </c>
      <c r="K556">
        <f t="shared" si="43"/>
        <v>2003</v>
      </c>
      <c r="L556" t="str">
        <f t="shared" si="44"/>
        <v>June</v>
      </c>
    </row>
    <row r="557" spans="1:12" x14ac:dyDescent="0.25">
      <c r="A557" t="s">
        <v>71</v>
      </c>
      <c r="C557" t="s">
        <v>265</v>
      </c>
      <c r="D557" t="str">
        <f t="shared" si="40"/>
        <v>Planes</v>
      </c>
      <c r="E557" t="s">
        <v>289</v>
      </c>
      <c r="F557" s="5">
        <v>5248</v>
      </c>
      <c r="G557" s="5">
        <v>1049.5999999999999</v>
      </c>
      <c r="I557" t="str">
        <f t="shared" si="41"/>
        <v>Low Sales</v>
      </c>
      <c r="J557" t="str">
        <f t="shared" si="42"/>
        <v>Average Performance</v>
      </c>
      <c r="K557">
        <f t="shared" si="43"/>
        <v>2003</v>
      </c>
      <c r="L557" t="str">
        <f t="shared" si="44"/>
        <v>August</v>
      </c>
    </row>
    <row r="558" spans="1:12" x14ac:dyDescent="0.25">
      <c r="A558" t="s">
        <v>72</v>
      </c>
      <c r="B558" t="s">
        <v>258</v>
      </c>
      <c r="C558" t="s">
        <v>265</v>
      </c>
      <c r="D558" t="str">
        <f t="shared" si="40"/>
        <v>Planes</v>
      </c>
      <c r="E558" t="s">
        <v>289</v>
      </c>
      <c r="F558" s="5">
        <v>6531.44</v>
      </c>
      <c r="G558" s="5">
        <v>1306.288</v>
      </c>
      <c r="I558" t="str">
        <f t="shared" si="41"/>
        <v>Low Sales</v>
      </c>
      <c r="J558" t="str">
        <f t="shared" si="42"/>
        <v>Average Performance</v>
      </c>
      <c r="K558">
        <f t="shared" si="43"/>
        <v>2003</v>
      </c>
      <c r="L558" t="str">
        <f t="shared" si="44"/>
        <v>October</v>
      </c>
    </row>
    <row r="559" spans="1:12" x14ac:dyDescent="0.25">
      <c r="A559" t="s">
        <v>73</v>
      </c>
      <c r="B559" t="s">
        <v>258</v>
      </c>
      <c r="C559" t="s">
        <v>265</v>
      </c>
      <c r="D559" t="str">
        <f t="shared" si="40"/>
        <v>Planes</v>
      </c>
      <c r="E559" t="s">
        <v>289</v>
      </c>
      <c r="F559" s="5">
        <v>5763.72</v>
      </c>
      <c r="G559" s="5">
        <v>1152.7439999999999</v>
      </c>
      <c r="I559" t="str">
        <f t="shared" si="41"/>
        <v>Low Sales</v>
      </c>
      <c r="J559" t="str">
        <f t="shared" si="42"/>
        <v>Average Performance</v>
      </c>
      <c r="K559">
        <f t="shared" si="43"/>
        <v>2003</v>
      </c>
      <c r="L559" t="str">
        <f t="shared" si="44"/>
        <v>October</v>
      </c>
    </row>
    <row r="560" spans="1:12" x14ac:dyDescent="0.25">
      <c r="A560" t="s">
        <v>74</v>
      </c>
      <c r="B560" t="s">
        <v>258</v>
      </c>
      <c r="C560" t="s">
        <v>265</v>
      </c>
      <c r="D560" t="str">
        <f t="shared" si="40"/>
        <v>Planes</v>
      </c>
      <c r="E560" t="s">
        <v>289</v>
      </c>
      <c r="F560" s="5">
        <v>6490.68</v>
      </c>
      <c r="G560" s="5">
        <v>1298.136</v>
      </c>
      <c r="I560" t="str">
        <f t="shared" si="41"/>
        <v>Low Sales</v>
      </c>
      <c r="J560" t="str">
        <f t="shared" si="42"/>
        <v>Average Performance</v>
      </c>
      <c r="K560">
        <f t="shared" si="43"/>
        <v>2003</v>
      </c>
      <c r="L560" t="str">
        <f t="shared" si="44"/>
        <v>November</v>
      </c>
    </row>
    <row r="561" spans="1:12" x14ac:dyDescent="0.25">
      <c r="A561" t="s">
        <v>75</v>
      </c>
      <c r="B561" t="s">
        <v>258</v>
      </c>
      <c r="C561" t="s">
        <v>265</v>
      </c>
      <c r="D561" t="str">
        <f t="shared" si="40"/>
        <v>Planes</v>
      </c>
      <c r="E561" t="s">
        <v>289</v>
      </c>
      <c r="F561" s="5">
        <v>6004.8</v>
      </c>
      <c r="G561" s="5">
        <v>1200.96</v>
      </c>
      <c r="I561" t="str">
        <f t="shared" si="41"/>
        <v>Low Sales</v>
      </c>
      <c r="J561" t="str">
        <f t="shared" si="42"/>
        <v>Average Performance</v>
      </c>
      <c r="K561">
        <f t="shared" si="43"/>
        <v>2003</v>
      </c>
      <c r="L561" t="str">
        <f t="shared" si="44"/>
        <v>November</v>
      </c>
    </row>
    <row r="562" spans="1:12" x14ac:dyDescent="0.25">
      <c r="A562" t="s">
        <v>194</v>
      </c>
      <c r="B562" t="s">
        <v>260</v>
      </c>
      <c r="C562" t="s">
        <v>265</v>
      </c>
      <c r="D562" t="str">
        <f t="shared" si="40"/>
        <v>Planes</v>
      </c>
      <c r="E562" t="s">
        <v>289</v>
      </c>
      <c r="F562" s="5">
        <v>7483.98</v>
      </c>
      <c r="G562" s="5">
        <v>1496.796</v>
      </c>
      <c r="I562" t="str">
        <f t="shared" si="41"/>
        <v>Low Sales</v>
      </c>
      <c r="J562" t="str">
        <f t="shared" si="42"/>
        <v>Average Performance</v>
      </c>
      <c r="K562">
        <f t="shared" si="43"/>
        <v>2003</v>
      </c>
      <c r="L562" t="str">
        <f t="shared" si="44"/>
        <v>November</v>
      </c>
    </row>
    <row r="563" spans="1:12" x14ac:dyDescent="0.25">
      <c r="A563" t="s">
        <v>61</v>
      </c>
      <c r="B563" t="s">
        <v>260</v>
      </c>
      <c r="C563" t="s">
        <v>265</v>
      </c>
      <c r="D563" t="str">
        <f t="shared" si="40"/>
        <v>Planes</v>
      </c>
      <c r="E563" t="s">
        <v>289</v>
      </c>
      <c r="F563" s="5">
        <v>5719.5</v>
      </c>
      <c r="G563" s="5">
        <v>1143.9000000000001</v>
      </c>
      <c r="I563" t="str">
        <f t="shared" si="41"/>
        <v>Low Sales</v>
      </c>
      <c r="J563" t="str">
        <f t="shared" si="42"/>
        <v>Average Performance</v>
      </c>
      <c r="K563">
        <f t="shared" si="43"/>
        <v>2004</v>
      </c>
      <c r="L563" t="str">
        <f t="shared" si="44"/>
        <v>January</v>
      </c>
    </row>
    <row r="564" spans="1:12" x14ac:dyDescent="0.25">
      <c r="A564" t="s">
        <v>78</v>
      </c>
      <c r="C564" t="s">
        <v>265</v>
      </c>
      <c r="D564" t="str">
        <f t="shared" si="40"/>
        <v>Planes</v>
      </c>
      <c r="E564" t="s">
        <v>289</v>
      </c>
      <c r="F564" s="5">
        <v>6954.08</v>
      </c>
      <c r="G564" s="5">
        <v>1390.816</v>
      </c>
      <c r="I564" t="str">
        <f t="shared" si="41"/>
        <v>Low Sales</v>
      </c>
      <c r="J564" t="str">
        <f t="shared" si="42"/>
        <v>Average Performance</v>
      </c>
      <c r="K564">
        <f t="shared" si="43"/>
        <v>2004</v>
      </c>
      <c r="L564" t="str">
        <f t="shared" si="44"/>
        <v>February</v>
      </c>
    </row>
    <row r="565" spans="1:12" x14ac:dyDescent="0.25">
      <c r="A565" t="s">
        <v>195</v>
      </c>
      <c r="C565" t="s">
        <v>265</v>
      </c>
      <c r="D565" t="str">
        <f t="shared" si="40"/>
        <v>Planes</v>
      </c>
      <c r="E565" t="s">
        <v>289</v>
      </c>
      <c r="F565" s="5">
        <v>8160.3</v>
      </c>
      <c r="G565" s="5">
        <v>1632.06</v>
      </c>
      <c r="I565" t="str">
        <f t="shared" si="41"/>
        <v>Low Sales</v>
      </c>
      <c r="J565" t="str">
        <f t="shared" si="42"/>
        <v>Average Performance</v>
      </c>
      <c r="K565">
        <f t="shared" si="43"/>
        <v>2004</v>
      </c>
      <c r="L565" t="str">
        <f t="shared" si="44"/>
        <v>May</v>
      </c>
    </row>
    <row r="566" spans="1:12" x14ac:dyDescent="0.25">
      <c r="A566" t="s">
        <v>196</v>
      </c>
      <c r="B566" t="s">
        <v>258</v>
      </c>
      <c r="C566" t="s">
        <v>265</v>
      </c>
      <c r="D566" t="str">
        <f t="shared" si="40"/>
        <v>Planes</v>
      </c>
      <c r="E566" t="s">
        <v>289</v>
      </c>
      <c r="F566" s="5">
        <v>6567.96</v>
      </c>
      <c r="G566" s="5">
        <v>1313.5920000000001</v>
      </c>
      <c r="I566" t="str">
        <f t="shared" si="41"/>
        <v>Low Sales</v>
      </c>
      <c r="J566" t="str">
        <f t="shared" si="42"/>
        <v>Average Performance</v>
      </c>
      <c r="K566">
        <f t="shared" si="43"/>
        <v>2004</v>
      </c>
      <c r="L566" t="str">
        <f t="shared" si="44"/>
        <v>June</v>
      </c>
    </row>
    <row r="567" spans="1:12" x14ac:dyDescent="0.25">
      <c r="A567" t="s">
        <v>81</v>
      </c>
      <c r="C567" t="s">
        <v>265</v>
      </c>
      <c r="D567" t="str">
        <f t="shared" si="40"/>
        <v>Planes</v>
      </c>
      <c r="E567" t="s">
        <v>289</v>
      </c>
      <c r="F567" s="5">
        <v>6724</v>
      </c>
      <c r="G567" s="5">
        <v>1344.8</v>
      </c>
      <c r="I567" t="str">
        <f t="shared" si="41"/>
        <v>Low Sales</v>
      </c>
      <c r="J567" t="str">
        <f t="shared" si="42"/>
        <v>Average Performance</v>
      </c>
      <c r="K567">
        <f t="shared" si="43"/>
        <v>2004</v>
      </c>
      <c r="L567" t="str">
        <f t="shared" si="44"/>
        <v>July</v>
      </c>
    </row>
    <row r="568" spans="1:12" x14ac:dyDescent="0.25">
      <c r="A568" t="s">
        <v>197</v>
      </c>
      <c r="B568" t="s">
        <v>258</v>
      </c>
      <c r="C568" t="s">
        <v>265</v>
      </c>
      <c r="D568" t="str">
        <f t="shared" si="40"/>
        <v>Planes</v>
      </c>
      <c r="E568" t="s">
        <v>289</v>
      </c>
      <c r="F568" s="5">
        <v>5747.85</v>
      </c>
      <c r="G568" s="5">
        <v>1149.57</v>
      </c>
      <c r="I568" t="str">
        <f t="shared" si="41"/>
        <v>Low Sales</v>
      </c>
      <c r="J568" t="str">
        <f t="shared" si="42"/>
        <v>Average Performance</v>
      </c>
      <c r="K568">
        <f t="shared" si="43"/>
        <v>2004</v>
      </c>
      <c r="L568" t="str">
        <f t="shared" si="44"/>
        <v>August</v>
      </c>
    </row>
    <row r="569" spans="1:12" x14ac:dyDescent="0.25">
      <c r="A569" t="s">
        <v>198</v>
      </c>
      <c r="B569" t="s">
        <v>258</v>
      </c>
      <c r="C569" t="s">
        <v>265</v>
      </c>
      <c r="D569" t="str">
        <f t="shared" si="40"/>
        <v>Planes</v>
      </c>
      <c r="E569" t="s">
        <v>289</v>
      </c>
      <c r="F569" s="5">
        <v>5676.84</v>
      </c>
      <c r="G569" s="5">
        <v>1135.3679999999999</v>
      </c>
      <c r="I569" t="str">
        <f t="shared" si="41"/>
        <v>Low Sales</v>
      </c>
      <c r="J569" t="str">
        <f t="shared" si="42"/>
        <v>Average Performance</v>
      </c>
      <c r="K569">
        <f t="shared" si="43"/>
        <v>2004</v>
      </c>
      <c r="L569" t="str">
        <f t="shared" si="44"/>
        <v>September</v>
      </c>
    </row>
    <row r="570" spans="1:12" x14ac:dyDescent="0.25">
      <c r="A570" t="s">
        <v>84</v>
      </c>
      <c r="C570" t="s">
        <v>265</v>
      </c>
      <c r="D570" t="str">
        <f t="shared" si="40"/>
        <v>Planes</v>
      </c>
      <c r="E570" t="s">
        <v>289</v>
      </c>
      <c r="F570" s="5">
        <v>7379.97</v>
      </c>
      <c r="G570" s="5">
        <v>1475.9939999999999</v>
      </c>
      <c r="I570" t="str">
        <f t="shared" si="41"/>
        <v>Low Sales</v>
      </c>
      <c r="J570" t="str">
        <f t="shared" si="42"/>
        <v>Average Performance</v>
      </c>
      <c r="K570">
        <f t="shared" si="43"/>
        <v>2004</v>
      </c>
      <c r="L570" t="str">
        <f t="shared" si="44"/>
        <v>October</v>
      </c>
    </row>
    <row r="571" spans="1:12" x14ac:dyDescent="0.25">
      <c r="A571" t="s">
        <v>85</v>
      </c>
      <c r="B571" t="s">
        <v>258</v>
      </c>
      <c r="C571" t="s">
        <v>265</v>
      </c>
      <c r="D571" t="str">
        <f t="shared" si="40"/>
        <v>Planes</v>
      </c>
      <c r="E571" t="s">
        <v>289</v>
      </c>
      <c r="F571" s="5">
        <v>3704.13</v>
      </c>
      <c r="G571" s="5">
        <v>740.82600000000002</v>
      </c>
      <c r="I571" t="str">
        <f t="shared" si="41"/>
        <v>Low Sales</v>
      </c>
      <c r="J571" t="str">
        <f t="shared" si="42"/>
        <v>Average Performance</v>
      </c>
      <c r="K571">
        <f t="shared" si="43"/>
        <v>2004</v>
      </c>
      <c r="L571" t="str">
        <f t="shared" si="44"/>
        <v>November</v>
      </c>
    </row>
    <row r="572" spans="1:12" x14ac:dyDescent="0.25">
      <c r="A572" t="s">
        <v>199</v>
      </c>
      <c r="B572" t="s">
        <v>258</v>
      </c>
      <c r="C572" t="s">
        <v>265</v>
      </c>
      <c r="D572" t="str">
        <f t="shared" si="40"/>
        <v>Planes</v>
      </c>
      <c r="E572" t="s">
        <v>289</v>
      </c>
      <c r="F572" s="5">
        <v>2804.75</v>
      </c>
      <c r="G572" s="5">
        <v>560.95000000000005</v>
      </c>
      <c r="I572" t="str">
        <f t="shared" si="41"/>
        <v>Low Sales</v>
      </c>
      <c r="J572" t="str">
        <f t="shared" si="42"/>
        <v>Average Performance</v>
      </c>
      <c r="K572">
        <f t="shared" si="43"/>
        <v>2004</v>
      </c>
      <c r="L572" t="str">
        <f t="shared" si="44"/>
        <v>November</v>
      </c>
    </row>
    <row r="573" spans="1:12" x14ac:dyDescent="0.25">
      <c r="A573" t="s">
        <v>200</v>
      </c>
      <c r="B573" t="s">
        <v>258</v>
      </c>
      <c r="C573" t="s">
        <v>265</v>
      </c>
      <c r="D573" t="str">
        <f t="shared" si="40"/>
        <v>Planes</v>
      </c>
      <c r="E573" t="s">
        <v>289</v>
      </c>
      <c r="F573" s="5">
        <v>5624.79</v>
      </c>
      <c r="G573" s="5">
        <v>1124.9580000000001</v>
      </c>
      <c r="I573" t="str">
        <f t="shared" si="41"/>
        <v>Low Sales</v>
      </c>
      <c r="J573" t="str">
        <f t="shared" si="42"/>
        <v>Average Performance</v>
      </c>
      <c r="K573">
        <f t="shared" si="43"/>
        <v>2004</v>
      </c>
      <c r="L573" t="str">
        <f t="shared" si="44"/>
        <v>November</v>
      </c>
    </row>
    <row r="574" spans="1:12" x14ac:dyDescent="0.25">
      <c r="A574" t="s">
        <v>201</v>
      </c>
      <c r="B574" t="s">
        <v>258</v>
      </c>
      <c r="C574" t="s">
        <v>265</v>
      </c>
      <c r="D574" t="str">
        <f t="shared" si="40"/>
        <v>Planes</v>
      </c>
      <c r="E574" t="s">
        <v>289</v>
      </c>
      <c r="F574" s="5">
        <v>3881.28</v>
      </c>
      <c r="G574" s="5">
        <v>776.25600000000009</v>
      </c>
      <c r="I574" t="str">
        <f t="shared" si="41"/>
        <v>Low Sales</v>
      </c>
      <c r="J574" t="str">
        <f t="shared" si="42"/>
        <v>Average Performance</v>
      </c>
      <c r="K574">
        <f t="shared" si="43"/>
        <v>2004</v>
      </c>
      <c r="L574" t="str">
        <f t="shared" si="44"/>
        <v>December</v>
      </c>
    </row>
    <row r="575" spans="1:12" x14ac:dyDescent="0.25">
      <c r="A575" t="s">
        <v>90</v>
      </c>
      <c r="B575" t="s">
        <v>258</v>
      </c>
      <c r="C575" t="s">
        <v>265</v>
      </c>
      <c r="D575" t="str">
        <f t="shared" si="40"/>
        <v>Planes</v>
      </c>
      <c r="E575" t="s">
        <v>289</v>
      </c>
      <c r="F575" s="5">
        <v>1611.4</v>
      </c>
      <c r="G575" s="5">
        <v>322.27999999999997</v>
      </c>
      <c r="I575" t="str">
        <f t="shared" si="41"/>
        <v>Low Sales</v>
      </c>
      <c r="J575" t="str">
        <f t="shared" si="42"/>
        <v>Average Performance</v>
      </c>
      <c r="K575">
        <f t="shared" si="43"/>
        <v>2005</v>
      </c>
      <c r="L575" t="str">
        <f t="shared" si="44"/>
        <v>January</v>
      </c>
    </row>
    <row r="576" spans="1:12" x14ac:dyDescent="0.25">
      <c r="A576" t="s">
        <v>202</v>
      </c>
      <c r="B576" t="s">
        <v>258</v>
      </c>
      <c r="C576" t="s">
        <v>265</v>
      </c>
      <c r="D576" t="str">
        <f t="shared" si="40"/>
        <v>Planes</v>
      </c>
      <c r="E576" t="s">
        <v>289</v>
      </c>
      <c r="F576" s="5">
        <v>1364.25</v>
      </c>
      <c r="G576" s="5">
        <v>272.85000000000002</v>
      </c>
      <c r="I576" t="str">
        <f t="shared" si="41"/>
        <v>Low Sales</v>
      </c>
      <c r="J576" t="str">
        <f t="shared" si="42"/>
        <v>Average Performance</v>
      </c>
      <c r="K576">
        <f t="shared" si="43"/>
        <v>2005</v>
      </c>
      <c r="L576" t="str">
        <f t="shared" si="44"/>
        <v>March</v>
      </c>
    </row>
    <row r="577" spans="1:12" x14ac:dyDescent="0.25">
      <c r="A577" t="s">
        <v>203</v>
      </c>
      <c r="B577" t="s">
        <v>258</v>
      </c>
      <c r="C577" t="s">
        <v>265</v>
      </c>
      <c r="D577" t="str">
        <f t="shared" si="40"/>
        <v>Planes</v>
      </c>
      <c r="E577" t="s">
        <v>289</v>
      </c>
      <c r="F577" s="5">
        <v>4215.09</v>
      </c>
      <c r="G577" s="5">
        <v>843.01800000000003</v>
      </c>
      <c r="I577" t="str">
        <f t="shared" si="41"/>
        <v>Low Sales</v>
      </c>
      <c r="J577" t="str">
        <f t="shared" si="42"/>
        <v>Average Performance</v>
      </c>
      <c r="K577">
        <f t="shared" si="43"/>
        <v>2005</v>
      </c>
      <c r="L577" t="str">
        <f t="shared" si="44"/>
        <v>March</v>
      </c>
    </row>
    <row r="578" spans="1:12" x14ac:dyDescent="0.25">
      <c r="A578" t="s">
        <v>93</v>
      </c>
      <c r="C578" t="s">
        <v>265</v>
      </c>
      <c r="D578" t="str">
        <f t="shared" si="40"/>
        <v>Planes</v>
      </c>
      <c r="E578" t="s">
        <v>289</v>
      </c>
      <c r="F578" s="5">
        <v>6433.82</v>
      </c>
      <c r="G578" s="5">
        <v>1286.7639999999999</v>
      </c>
      <c r="I578" t="str">
        <f t="shared" si="41"/>
        <v>Low Sales</v>
      </c>
      <c r="J578" t="str">
        <f t="shared" si="42"/>
        <v>Average Performance</v>
      </c>
      <c r="K578">
        <f t="shared" si="43"/>
        <v>2005</v>
      </c>
      <c r="L578" t="str">
        <f t="shared" si="44"/>
        <v>April</v>
      </c>
    </row>
    <row r="579" spans="1:12" x14ac:dyDescent="0.25">
      <c r="A579" t="s">
        <v>204</v>
      </c>
      <c r="B579" t="s">
        <v>258</v>
      </c>
      <c r="C579" t="s">
        <v>265</v>
      </c>
      <c r="D579" t="str">
        <f t="shared" ref="D579:D642" si="45">PROPER(TRIM(C579))</f>
        <v>Planes</v>
      </c>
      <c r="E579" t="s">
        <v>289</v>
      </c>
      <c r="F579" s="5">
        <v>4352.16</v>
      </c>
      <c r="G579" s="5">
        <v>870.43200000000002</v>
      </c>
      <c r="I579" t="str">
        <f t="shared" ref="I579:I642" si="46">IF(F579&gt;50000,"High Sales","Low Sales")</f>
        <v>Low Sales</v>
      </c>
      <c r="J579" t="str">
        <f t="shared" ref="J579:J642" si="47">IF(AND(F579&gt;30000,G579&gt;5000),"Good Performance","Average Performance")</f>
        <v>Average Performance</v>
      </c>
      <c r="K579">
        <f t="shared" ref="K579:K642" si="48">YEAR(A579)</f>
        <v>2005</v>
      </c>
      <c r="L579" t="str">
        <f t="shared" ref="L579:L642" si="49">TEXT(A579,"mmmm")</f>
        <v>May</v>
      </c>
    </row>
    <row r="580" spans="1:12" x14ac:dyDescent="0.25">
      <c r="A580" t="s">
        <v>205</v>
      </c>
      <c r="C580" t="s">
        <v>264</v>
      </c>
      <c r="D580" t="str">
        <f t="shared" si="45"/>
        <v>Vintage Cars</v>
      </c>
      <c r="E580" t="s">
        <v>290</v>
      </c>
      <c r="F580" s="5">
        <v>5151</v>
      </c>
      <c r="G580" s="5">
        <v>1030.2</v>
      </c>
      <c r="I580" t="str">
        <f t="shared" si="46"/>
        <v>Low Sales</v>
      </c>
      <c r="J580" t="str">
        <f t="shared" si="47"/>
        <v>Average Performance</v>
      </c>
      <c r="K580">
        <f t="shared" si="48"/>
        <v>2003</v>
      </c>
      <c r="L580" t="str">
        <f t="shared" si="49"/>
        <v>January</v>
      </c>
    </row>
    <row r="581" spans="1:12" x14ac:dyDescent="0.25">
      <c r="A581" t="s">
        <v>184</v>
      </c>
      <c r="B581" t="s">
        <v>258</v>
      </c>
      <c r="C581" t="s">
        <v>264</v>
      </c>
      <c r="D581" t="str">
        <f t="shared" si="45"/>
        <v>Vintage Cars</v>
      </c>
      <c r="E581" t="s">
        <v>290</v>
      </c>
      <c r="F581" s="5">
        <v>6069</v>
      </c>
      <c r="G581" s="5">
        <v>1213.8</v>
      </c>
      <c r="I581" t="str">
        <f t="shared" si="46"/>
        <v>Low Sales</v>
      </c>
      <c r="J581" t="str">
        <f t="shared" si="47"/>
        <v>Average Performance</v>
      </c>
      <c r="K581">
        <f t="shared" si="48"/>
        <v>2003</v>
      </c>
      <c r="L581" t="str">
        <f t="shared" si="49"/>
        <v>March</v>
      </c>
    </row>
    <row r="582" spans="1:12" x14ac:dyDescent="0.25">
      <c r="A582" t="s">
        <v>172</v>
      </c>
      <c r="C582" t="s">
        <v>264</v>
      </c>
      <c r="D582" t="str">
        <f t="shared" si="45"/>
        <v>Vintage Cars</v>
      </c>
      <c r="E582" t="s">
        <v>290</v>
      </c>
      <c r="F582" s="5">
        <v>2856</v>
      </c>
      <c r="G582" s="5">
        <v>571.20000000000005</v>
      </c>
      <c r="I582" t="str">
        <f t="shared" si="46"/>
        <v>Low Sales</v>
      </c>
      <c r="J582" t="str">
        <f t="shared" si="47"/>
        <v>Average Performance</v>
      </c>
      <c r="K582">
        <f t="shared" si="48"/>
        <v>2003</v>
      </c>
      <c r="L582" t="str">
        <f t="shared" si="49"/>
        <v>May</v>
      </c>
    </row>
    <row r="583" spans="1:12" x14ac:dyDescent="0.25">
      <c r="A583" t="s">
        <v>174</v>
      </c>
      <c r="C583" t="s">
        <v>264</v>
      </c>
      <c r="D583" t="str">
        <f t="shared" si="45"/>
        <v>Vintage Cars</v>
      </c>
      <c r="E583" t="s">
        <v>290</v>
      </c>
      <c r="F583" s="5">
        <v>5375.4</v>
      </c>
      <c r="G583" s="5">
        <v>1075.08</v>
      </c>
      <c r="I583" t="str">
        <f t="shared" si="46"/>
        <v>Low Sales</v>
      </c>
      <c r="J583" t="str">
        <f t="shared" si="47"/>
        <v>Average Performance</v>
      </c>
      <c r="K583">
        <f t="shared" si="48"/>
        <v>2003</v>
      </c>
      <c r="L583" t="str">
        <f t="shared" si="49"/>
        <v>September</v>
      </c>
    </row>
    <row r="584" spans="1:12" x14ac:dyDescent="0.25">
      <c r="A584" t="s">
        <v>175</v>
      </c>
      <c r="C584" t="s">
        <v>264</v>
      </c>
      <c r="D584" t="str">
        <f t="shared" si="45"/>
        <v>Vintage Cars</v>
      </c>
      <c r="E584" t="s">
        <v>290</v>
      </c>
      <c r="F584" s="5">
        <v>5176.5</v>
      </c>
      <c r="G584" s="5">
        <v>1035.3</v>
      </c>
      <c r="I584" t="str">
        <f t="shared" si="46"/>
        <v>Low Sales</v>
      </c>
      <c r="J584" t="str">
        <f t="shared" si="47"/>
        <v>Average Performance</v>
      </c>
      <c r="K584">
        <f t="shared" si="48"/>
        <v>2003</v>
      </c>
      <c r="L584" t="str">
        <f t="shared" si="49"/>
        <v>October</v>
      </c>
    </row>
    <row r="585" spans="1:12" x14ac:dyDescent="0.25">
      <c r="A585" t="s">
        <v>161</v>
      </c>
      <c r="B585" t="s">
        <v>258</v>
      </c>
      <c r="C585" t="s">
        <v>264</v>
      </c>
      <c r="D585" t="str">
        <f t="shared" si="45"/>
        <v>Vintage Cars</v>
      </c>
      <c r="E585" t="s">
        <v>290</v>
      </c>
      <c r="F585" s="5">
        <v>3508.8</v>
      </c>
      <c r="G585" s="5">
        <v>701.7600000000001</v>
      </c>
      <c r="I585" t="str">
        <f t="shared" si="46"/>
        <v>Low Sales</v>
      </c>
      <c r="J585" t="str">
        <f t="shared" si="47"/>
        <v>Average Performance</v>
      </c>
      <c r="K585">
        <f t="shared" si="48"/>
        <v>2003</v>
      </c>
      <c r="L585" t="str">
        <f t="shared" si="49"/>
        <v>November</v>
      </c>
    </row>
    <row r="586" spans="1:12" x14ac:dyDescent="0.25">
      <c r="A586" t="s">
        <v>109</v>
      </c>
      <c r="C586" t="s">
        <v>264</v>
      </c>
      <c r="D586" t="str">
        <f t="shared" si="45"/>
        <v>Vintage Cars</v>
      </c>
      <c r="E586" t="s">
        <v>290</v>
      </c>
      <c r="F586" s="5">
        <v>7554.8</v>
      </c>
      <c r="G586" s="5">
        <v>1510.96</v>
      </c>
      <c r="I586" t="str">
        <f t="shared" si="46"/>
        <v>Low Sales</v>
      </c>
      <c r="J586" t="str">
        <f t="shared" si="47"/>
        <v>Average Performance</v>
      </c>
      <c r="K586">
        <f t="shared" si="48"/>
        <v>2003</v>
      </c>
      <c r="L586" t="str">
        <f t="shared" si="49"/>
        <v>November</v>
      </c>
    </row>
    <row r="587" spans="1:12" x14ac:dyDescent="0.25">
      <c r="A587" t="s">
        <v>176</v>
      </c>
      <c r="B587" t="s">
        <v>259</v>
      </c>
      <c r="C587" t="s">
        <v>264</v>
      </c>
      <c r="D587" t="str">
        <f t="shared" si="45"/>
        <v>Vintage Cars</v>
      </c>
      <c r="E587" t="s">
        <v>290</v>
      </c>
      <c r="F587" s="5">
        <v>3141.6</v>
      </c>
      <c r="G587" s="5">
        <v>628.32000000000005</v>
      </c>
      <c r="I587" t="str">
        <f t="shared" si="46"/>
        <v>Low Sales</v>
      </c>
      <c r="J587" t="str">
        <f t="shared" si="47"/>
        <v>Average Performance</v>
      </c>
      <c r="K587">
        <f t="shared" si="48"/>
        <v>2003</v>
      </c>
      <c r="L587" t="str">
        <f t="shared" si="49"/>
        <v>November</v>
      </c>
    </row>
    <row r="588" spans="1:12" x14ac:dyDescent="0.25">
      <c r="A588" t="s">
        <v>111</v>
      </c>
      <c r="C588" t="s">
        <v>264</v>
      </c>
      <c r="D588" t="str">
        <f t="shared" si="45"/>
        <v>Vintage Cars</v>
      </c>
      <c r="E588" t="s">
        <v>290</v>
      </c>
      <c r="F588" s="5">
        <v>5890.5</v>
      </c>
      <c r="G588" s="5">
        <v>1178.0999999999999</v>
      </c>
      <c r="I588" t="str">
        <f t="shared" si="46"/>
        <v>Low Sales</v>
      </c>
      <c r="J588" t="str">
        <f t="shared" si="47"/>
        <v>Average Performance</v>
      </c>
      <c r="K588">
        <f t="shared" si="48"/>
        <v>2003</v>
      </c>
      <c r="L588" t="str">
        <f t="shared" si="49"/>
        <v>December</v>
      </c>
    </row>
    <row r="589" spans="1:12" x14ac:dyDescent="0.25">
      <c r="A589" t="s">
        <v>206</v>
      </c>
      <c r="B589" t="s">
        <v>258</v>
      </c>
      <c r="C589" t="s">
        <v>264</v>
      </c>
      <c r="D589" t="str">
        <f t="shared" si="45"/>
        <v>Vintage Cars</v>
      </c>
      <c r="E589" t="s">
        <v>290</v>
      </c>
      <c r="F589" s="5">
        <v>5967</v>
      </c>
      <c r="G589" s="5">
        <v>1193.4000000000001</v>
      </c>
      <c r="I589" t="str">
        <f t="shared" si="46"/>
        <v>Low Sales</v>
      </c>
      <c r="J589" t="str">
        <f t="shared" si="47"/>
        <v>Average Performance</v>
      </c>
      <c r="K589">
        <f t="shared" si="48"/>
        <v>2004</v>
      </c>
      <c r="L589" t="str">
        <f t="shared" si="49"/>
        <v>January</v>
      </c>
    </row>
    <row r="590" spans="1:12" x14ac:dyDescent="0.25">
      <c r="A590" t="s">
        <v>178</v>
      </c>
      <c r="B590" t="s">
        <v>258</v>
      </c>
      <c r="C590" t="s">
        <v>264</v>
      </c>
      <c r="D590" t="str">
        <f t="shared" si="45"/>
        <v>Vintage Cars</v>
      </c>
      <c r="E590" t="s">
        <v>290</v>
      </c>
      <c r="F590" s="5">
        <v>3712.8</v>
      </c>
      <c r="G590" s="5">
        <v>742.56000000000006</v>
      </c>
      <c r="I590" t="str">
        <f t="shared" si="46"/>
        <v>Low Sales</v>
      </c>
      <c r="J590" t="str">
        <f t="shared" si="47"/>
        <v>Average Performance</v>
      </c>
      <c r="K590">
        <f t="shared" si="48"/>
        <v>2004</v>
      </c>
      <c r="L590" t="str">
        <f t="shared" si="49"/>
        <v>March</v>
      </c>
    </row>
    <row r="591" spans="1:12" x14ac:dyDescent="0.25">
      <c r="A591" t="s">
        <v>162</v>
      </c>
      <c r="B591" t="s">
        <v>258</v>
      </c>
      <c r="C591" t="s">
        <v>264</v>
      </c>
      <c r="D591" t="str">
        <f t="shared" si="45"/>
        <v>Vintage Cars</v>
      </c>
      <c r="E591" t="s">
        <v>290</v>
      </c>
      <c r="F591" s="5">
        <v>7597.3</v>
      </c>
      <c r="G591" s="5">
        <v>1519.46</v>
      </c>
      <c r="I591" t="str">
        <f t="shared" si="46"/>
        <v>Low Sales</v>
      </c>
      <c r="J591" t="str">
        <f t="shared" si="47"/>
        <v>Average Performance</v>
      </c>
      <c r="K591">
        <f t="shared" si="48"/>
        <v>2004</v>
      </c>
      <c r="L591" t="str">
        <f t="shared" si="49"/>
        <v>April</v>
      </c>
    </row>
    <row r="592" spans="1:12" x14ac:dyDescent="0.25">
      <c r="A592" t="s">
        <v>47</v>
      </c>
      <c r="B592" t="s">
        <v>258</v>
      </c>
      <c r="C592" t="s">
        <v>264</v>
      </c>
      <c r="D592" t="str">
        <f t="shared" si="45"/>
        <v>Vintage Cars</v>
      </c>
      <c r="E592" t="s">
        <v>290</v>
      </c>
      <c r="F592" s="5">
        <v>3668.6</v>
      </c>
      <c r="G592" s="5">
        <v>733.72</v>
      </c>
      <c r="I592" t="str">
        <f t="shared" si="46"/>
        <v>Low Sales</v>
      </c>
      <c r="J592" t="str">
        <f t="shared" si="47"/>
        <v>Average Performance</v>
      </c>
      <c r="K592">
        <f t="shared" si="48"/>
        <v>2004</v>
      </c>
      <c r="L592" t="str">
        <f t="shared" si="49"/>
        <v>August</v>
      </c>
    </row>
    <row r="593" spans="1:12" x14ac:dyDescent="0.25">
      <c r="A593" t="s">
        <v>188</v>
      </c>
      <c r="B593" t="s">
        <v>259</v>
      </c>
      <c r="C593" t="s">
        <v>264</v>
      </c>
      <c r="D593" t="str">
        <f t="shared" si="45"/>
        <v>Vintage Cars</v>
      </c>
      <c r="E593" t="s">
        <v>290</v>
      </c>
      <c r="F593" s="5">
        <v>5875.2</v>
      </c>
      <c r="G593" s="5">
        <v>1175.04</v>
      </c>
      <c r="I593" t="str">
        <f t="shared" si="46"/>
        <v>Low Sales</v>
      </c>
      <c r="J593" t="str">
        <f t="shared" si="47"/>
        <v>Average Performance</v>
      </c>
      <c r="K593">
        <f t="shared" si="48"/>
        <v>2004</v>
      </c>
      <c r="L593" t="str">
        <f t="shared" si="49"/>
        <v>September</v>
      </c>
    </row>
    <row r="594" spans="1:12" x14ac:dyDescent="0.25">
      <c r="A594" t="s">
        <v>72</v>
      </c>
      <c r="B594" t="s">
        <v>258</v>
      </c>
      <c r="C594" t="s">
        <v>264</v>
      </c>
      <c r="D594" t="str">
        <f t="shared" si="45"/>
        <v>Vintage Cars</v>
      </c>
      <c r="E594" t="s">
        <v>290</v>
      </c>
      <c r="F594" s="5">
        <v>7310</v>
      </c>
      <c r="G594" s="5">
        <v>1462</v>
      </c>
      <c r="I594" t="str">
        <f t="shared" si="46"/>
        <v>Low Sales</v>
      </c>
      <c r="J594" t="str">
        <f t="shared" si="47"/>
        <v>Average Performance</v>
      </c>
      <c r="K594">
        <f t="shared" si="48"/>
        <v>2003</v>
      </c>
      <c r="L594" t="str">
        <f t="shared" si="49"/>
        <v>October</v>
      </c>
    </row>
    <row r="595" spans="1:12" x14ac:dyDescent="0.25">
      <c r="A595" t="s">
        <v>50</v>
      </c>
      <c r="C595" t="s">
        <v>264</v>
      </c>
      <c r="D595" t="str">
        <f t="shared" si="45"/>
        <v>Vintage Cars</v>
      </c>
      <c r="E595" t="s">
        <v>290</v>
      </c>
      <c r="F595" s="5">
        <v>8078.4</v>
      </c>
      <c r="G595" s="5">
        <v>1615.68</v>
      </c>
      <c r="I595" t="str">
        <f t="shared" si="46"/>
        <v>Low Sales</v>
      </c>
      <c r="J595" t="str">
        <f t="shared" si="47"/>
        <v>Average Performance</v>
      </c>
      <c r="K595">
        <f t="shared" si="48"/>
        <v>2004</v>
      </c>
      <c r="L595" t="str">
        <f t="shared" si="49"/>
        <v>October</v>
      </c>
    </row>
    <row r="596" spans="1:12" x14ac:dyDescent="0.25">
      <c r="A596" t="s">
        <v>165</v>
      </c>
      <c r="C596" t="s">
        <v>264</v>
      </c>
      <c r="D596" t="str">
        <f t="shared" si="45"/>
        <v>Vintage Cars</v>
      </c>
      <c r="E596" t="s">
        <v>290</v>
      </c>
      <c r="F596" s="5">
        <v>3257.76</v>
      </c>
      <c r="G596" s="5">
        <v>651.55200000000013</v>
      </c>
      <c r="I596" t="str">
        <f t="shared" si="46"/>
        <v>Low Sales</v>
      </c>
      <c r="J596" t="str">
        <f t="shared" si="47"/>
        <v>Average Performance</v>
      </c>
      <c r="K596">
        <f t="shared" si="48"/>
        <v>2004</v>
      </c>
      <c r="L596" t="str">
        <f t="shared" si="49"/>
        <v>November</v>
      </c>
    </row>
    <row r="597" spans="1:12" x14ac:dyDescent="0.25">
      <c r="A597" t="s">
        <v>207</v>
      </c>
      <c r="B597" t="s">
        <v>258</v>
      </c>
      <c r="C597" t="s">
        <v>264</v>
      </c>
      <c r="D597" t="str">
        <f t="shared" si="45"/>
        <v>Vintage Cars</v>
      </c>
      <c r="E597" t="s">
        <v>290</v>
      </c>
      <c r="F597" s="5">
        <v>7650</v>
      </c>
      <c r="G597" s="5">
        <v>1530</v>
      </c>
      <c r="I597" t="str">
        <f t="shared" si="46"/>
        <v>Low Sales</v>
      </c>
      <c r="J597" t="str">
        <f t="shared" si="47"/>
        <v>Average Performance</v>
      </c>
      <c r="K597">
        <f t="shared" si="48"/>
        <v>2004</v>
      </c>
      <c r="L597" t="str">
        <f t="shared" si="49"/>
        <v>November</v>
      </c>
    </row>
    <row r="598" spans="1:12" x14ac:dyDescent="0.25">
      <c r="A598" t="s">
        <v>189</v>
      </c>
      <c r="C598" t="s">
        <v>264</v>
      </c>
      <c r="D598" t="str">
        <f t="shared" si="45"/>
        <v>Vintage Cars</v>
      </c>
      <c r="E598" t="s">
        <v>290</v>
      </c>
      <c r="F598" s="5">
        <v>4703.8100000000004</v>
      </c>
      <c r="G598" s="5">
        <v>940.76200000000017</v>
      </c>
      <c r="I598" t="str">
        <f t="shared" si="46"/>
        <v>Low Sales</v>
      </c>
      <c r="J598" t="str">
        <f t="shared" si="47"/>
        <v>Average Performance</v>
      </c>
      <c r="K598">
        <f t="shared" si="48"/>
        <v>2005</v>
      </c>
      <c r="L598" t="str">
        <f t="shared" si="49"/>
        <v>January</v>
      </c>
    </row>
    <row r="599" spans="1:12" x14ac:dyDescent="0.25">
      <c r="A599" t="s">
        <v>190</v>
      </c>
      <c r="B599" t="s">
        <v>258</v>
      </c>
      <c r="C599" t="s">
        <v>264</v>
      </c>
      <c r="D599" t="str">
        <f t="shared" si="45"/>
        <v>Vintage Cars</v>
      </c>
      <c r="E599" t="s">
        <v>290</v>
      </c>
      <c r="F599" s="5">
        <v>5399.55</v>
      </c>
      <c r="G599" s="5">
        <v>1079.9100000000001</v>
      </c>
      <c r="I599" t="str">
        <f t="shared" si="46"/>
        <v>Low Sales</v>
      </c>
      <c r="J599" t="str">
        <f t="shared" si="47"/>
        <v>Average Performance</v>
      </c>
      <c r="K599">
        <f t="shared" si="48"/>
        <v>2005</v>
      </c>
      <c r="L599" t="str">
        <f t="shared" si="49"/>
        <v>February</v>
      </c>
    </row>
    <row r="600" spans="1:12" x14ac:dyDescent="0.25">
      <c r="A600" t="s">
        <v>191</v>
      </c>
      <c r="C600" t="s">
        <v>264</v>
      </c>
      <c r="D600" t="str">
        <f t="shared" si="45"/>
        <v>Vintage Cars</v>
      </c>
      <c r="E600" t="s">
        <v>290</v>
      </c>
      <c r="F600" s="5">
        <v>14082.8</v>
      </c>
      <c r="G600" s="5">
        <v>2816.56</v>
      </c>
      <c r="I600" t="str">
        <f t="shared" si="46"/>
        <v>Low Sales</v>
      </c>
      <c r="J600" t="str">
        <f t="shared" si="47"/>
        <v>Average Performance</v>
      </c>
      <c r="K600">
        <f t="shared" si="48"/>
        <v>2005</v>
      </c>
      <c r="L600" t="str">
        <f t="shared" si="49"/>
        <v>April</v>
      </c>
    </row>
    <row r="601" spans="1:12" x14ac:dyDescent="0.25">
      <c r="A601" t="s">
        <v>208</v>
      </c>
      <c r="B601" t="s">
        <v>259</v>
      </c>
      <c r="C601" t="s">
        <v>264</v>
      </c>
      <c r="D601" t="str">
        <f t="shared" si="45"/>
        <v>Vintage Cars</v>
      </c>
      <c r="E601" t="s">
        <v>290</v>
      </c>
      <c r="F601" s="5">
        <v>5283.6</v>
      </c>
      <c r="G601" s="5">
        <v>1056.72</v>
      </c>
      <c r="I601" t="str">
        <f t="shared" si="46"/>
        <v>Low Sales</v>
      </c>
      <c r="J601" t="str">
        <f t="shared" si="47"/>
        <v>Average Performance</v>
      </c>
      <c r="K601">
        <f t="shared" si="48"/>
        <v>2005</v>
      </c>
      <c r="L601" t="str">
        <f t="shared" si="49"/>
        <v>May</v>
      </c>
    </row>
    <row r="602" spans="1:12" x14ac:dyDescent="0.25">
      <c r="A602" t="s">
        <v>104</v>
      </c>
      <c r="B602" t="s">
        <v>260</v>
      </c>
      <c r="C602" t="s">
        <v>262</v>
      </c>
      <c r="D602" t="str">
        <f t="shared" si="45"/>
        <v>Classic Cars</v>
      </c>
      <c r="E602" t="s">
        <v>291</v>
      </c>
      <c r="F602" s="5">
        <v>3130.82</v>
      </c>
      <c r="G602" s="5">
        <v>626.1640000000001</v>
      </c>
      <c r="I602" t="str">
        <f t="shared" si="46"/>
        <v>Low Sales</v>
      </c>
      <c r="J602" t="str">
        <f t="shared" si="47"/>
        <v>Average Performance</v>
      </c>
      <c r="K602">
        <f t="shared" si="48"/>
        <v>2003</v>
      </c>
      <c r="L602" t="str">
        <f t="shared" si="49"/>
        <v>March</v>
      </c>
    </row>
    <row r="603" spans="1:12" x14ac:dyDescent="0.25">
      <c r="A603" t="s">
        <v>105</v>
      </c>
      <c r="B603" t="s">
        <v>258</v>
      </c>
      <c r="C603" t="s">
        <v>262</v>
      </c>
      <c r="D603" t="str">
        <f t="shared" si="45"/>
        <v>Classic Cars</v>
      </c>
      <c r="E603" t="s">
        <v>291</v>
      </c>
      <c r="F603" s="5">
        <v>3112.34</v>
      </c>
      <c r="G603" s="5">
        <v>622.46800000000007</v>
      </c>
      <c r="I603" t="str">
        <f t="shared" si="46"/>
        <v>Low Sales</v>
      </c>
      <c r="J603" t="str">
        <f t="shared" si="47"/>
        <v>Average Performance</v>
      </c>
      <c r="K603">
        <f t="shared" si="48"/>
        <v>2003</v>
      </c>
      <c r="L603" t="str">
        <f t="shared" si="49"/>
        <v>May</v>
      </c>
    </row>
    <row r="604" spans="1:12" x14ac:dyDescent="0.25">
      <c r="A604" t="s">
        <v>106</v>
      </c>
      <c r="C604" t="s">
        <v>262</v>
      </c>
      <c r="D604" t="str">
        <f t="shared" si="45"/>
        <v>Classic Cars</v>
      </c>
      <c r="E604" t="s">
        <v>291</v>
      </c>
      <c r="F604" s="5">
        <v>3806.88</v>
      </c>
      <c r="G604" s="5">
        <v>761.37600000000009</v>
      </c>
      <c r="I604" t="str">
        <f t="shared" si="46"/>
        <v>Low Sales</v>
      </c>
      <c r="J604" t="str">
        <f t="shared" si="47"/>
        <v>Average Performance</v>
      </c>
      <c r="K604">
        <f t="shared" si="48"/>
        <v>2003</v>
      </c>
      <c r="L604" t="str">
        <f t="shared" si="49"/>
        <v>July</v>
      </c>
    </row>
    <row r="605" spans="1:12" x14ac:dyDescent="0.25">
      <c r="A605" t="s">
        <v>107</v>
      </c>
      <c r="C605" t="s">
        <v>262</v>
      </c>
      <c r="D605" t="str">
        <f t="shared" si="45"/>
        <v>Classic Cars</v>
      </c>
      <c r="E605" t="s">
        <v>291</v>
      </c>
      <c r="F605" s="5">
        <v>2142.14</v>
      </c>
      <c r="G605" s="5">
        <v>428.428</v>
      </c>
      <c r="I605" t="str">
        <f t="shared" si="46"/>
        <v>Low Sales</v>
      </c>
      <c r="J605" t="str">
        <f t="shared" si="47"/>
        <v>Average Performance</v>
      </c>
      <c r="K605">
        <f t="shared" si="48"/>
        <v>2003</v>
      </c>
      <c r="L605" t="str">
        <f t="shared" si="49"/>
        <v>September</v>
      </c>
    </row>
    <row r="606" spans="1:12" x14ac:dyDescent="0.25">
      <c r="A606" t="s">
        <v>143</v>
      </c>
      <c r="C606" t="s">
        <v>262</v>
      </c>
      <c r="D606" t="str">
        <f t="shared" si="45"/>
        <v>Classic Cars</v>
      </c>
      <c r="E606" t="s">
        <v>291</v>
      </c>
      <c r="F606" s="5">
        <v>3364.9</v>
      </c>
      <c r="G606" s="5">
        <v>672.98</v>
      </c>
      <c r="I606" t="str">
        <f t="shared" si="46"/>
        <v>Low Sales</v>
      </c>
      <c r="J606" t="str">
        <f t="shared" si="47"/>
        <v>Average Performance</v>
      </c>
      <c r="K606">
        <f t="shared" si="48"/>
        <v>2003</v>
      </c>
      <c r="L606" t="str">
        <f t="shared" si="49"/>
        <v>October</v>
      </c>
    </row>
    <row r="607" spans="1:12" x14ac:dyDescent="0.25">
      <c r="A607" t="s">
        <v>108</v>
      </c>
      <c r="B607" t="s">
        <v>258</v>
      </c>
      <c r="C607" t="s">
        <v>262</v>
      </c>
      <c r="D607" t="str">
        <f t="shared" si="45"/>
        <v>Classic Cars</v>
      </c>
      <c r="E607" t="s">
        <v>291</v>
      </c>
      <c r="F607" s="5">
        <v>1262.8</v>
      </c>
      <c r="G607" s="5">
        <v>252.56</v>
      </c>
      <c r="I607" t="str">
        <f t="shared" si="46"/>
        <v>Low Sales</v>
      </c>
      <c r="J607" t="str">
        <f t="shared" si="47"/>
        <v>Average Performance</v>
      </c>
      <c r="K607">
        <f t="shared" si="48"/>
        <v>2003</v>
      </c>
      <c r="L607" t="str">
        <f t="shared" si="49"/>
        <v>November</v>
      </c>
    </row>
    <row r="608" spans="1:12" x14ac:dyDescent="0.25">
      <c r="A608" t="s">
        <v>109</v>
      </c>
      <c r="B608" t="s">
        <v>258</v>
      </c>
      <c r="C608" t="s">
        <v>262</v>
      </c>
      <c r="D608" t="str">
        <f t="shared" si="45"/>
        <v>Classic Cars</v>
      </c>
      <c r="E608" t="s">
        <v>291</v>
      </c>
      <c r="F608" s="5">
        <v>1626.24</v>
      </c>
      <c r="G608" s="5">
        <v>325.24799999999999</v>
      </c>
      <c r="I608" t="str">
        <f t="shared" si="46"/>
        <v>Low Sales</v>
      </c>
      <c r="J608" t="str">
        <f t="shared" si="47"/>
        <v>Average Performance</v>
      </c>
      <c r="K608">
        <f t="shared" si="48"/>
        <v>2003</v>
      </c>
      <c r="L608" t="str">
        <f t="shared" si="49"/>
        <v>November</v>
      </c>
    </row>
    <row r="609" spans="1:12" x14ac:dyDescent="0.25">
      <c r="A609" t="s">
        <v>110</v>
      </c>
      <c r="C609" t="s">
        <v>262</v>
      </c>
      <c r="D609" t="str">
        <f t="shared" si="45"/>
        <v>Classic Cars</v>
      </c>
      <c r="E609" t="s">
        <v>291</v>
      </c>
      <c r="F609" s="5">
        <v>4088.7</v>
      </c>
      <c r="G609" s="5">
        <v>817.74</v>
      </c>
      <c r="I609" t="str">
        <f t="shared" si="46"/>
        <v>Low Sales</v>
      </c>
      <c r="J609" t="str">
        <f t="shared" si="47"/>
        <v>Average Performance</v>
      </c>
      <c r="K609">
        <f t="shared" si="48"/>
        <v>2003</v>
      </c>
      <c r="L609" t="str">
        <f t="shared" si="49"/>
        <v>November</v>
      </c>
    </row>
    <row r="610" spans="1:12" x14ac:dyDescent="0.25">
      <c r="A610" t="s">
        <v>111</v>
      </c>
      <c r="B610" t="s">
        <v>258</v>
      </c>
      <c r="C610" t="s">
        <v>262</v>
      </c>
      <c r="D610" t="str">
        <f t="shared" si="45"/>
        <v>Classic Cars</v>
      </c>
      <c r="E610" t="s">
        <v>291</v>
      </c>
      <c r="F610" s="5">
        <v>3846.15</v>
      </c>
      <c r="G610" s="5">
        <v>769.23</v>
      </c>
      <c r="I610" t="str">
        <f t="shared" si="46"/>
        <v>Low Sales</v>
      </c>
      <c r="J610" t="str">
        <f t="shared" si="47"/>
        <v>Average Performance</v>
      </c>
      <c r="K610">
        <f t="shared" si="48"/>
        <v>2003</v>
      </c>
      <c r="L610" t="str">
        <f t="shared" si="49"/>
        <v>December</v>
      </c>
    </row>
    <row r="611" spans="1:12" x14ac:dyDescent="0.25">
      <c r="A611" t="s">
        <v>144</v>
      </c>
      <c r="B611" t="s">
        <v>258</v>
      </c>
      <c r="C611" t="s">
        <v>262</v>
      </c>
      <c r="D611" t="str">
        <f t="shared" si="45"/>
        <v>Classic Cars</v>
      </c>
      <c r="E611" t="s">
        <v>291</v>
      </c>
      <c r="F611" s="5">
        <v>1339.8</v>
      </c>
      <c r="G611" s="5">
        <v>267.95999999999998</v>
      </c>
      <c r="I611" t="str">
        <f t="shared" si="46"/>
        <v>Low Sales</v>
      </c>
      <c r="J611" t="str">
        <f t="shared" si="47"/>
        <v>Average Performance</v>
      </c>
      <c r="K611">
        <f t="shared" si="48"/>
        <v>2004</v>
      </c>
      <c r="L611" t="str">
        <f t="shared" si="49"/>
        <v>January</v>
      </c>
    </row>
    <row r="612" spans="1:12" x14ac:dyDescent="0.25">
      <c r="A612" t="s">
        <v>112</v>
      </c>
      <c r="B612" t="s">
        <v>258</v>
      </c>
      <c r="C612" t="s">
        <v>262</v>
      </c>
      <c r="D612" t="str">
        <f t="shared" si="45"/>
        <v>Classic Cars</v>
      </c>
      <c r="E612" t="s">
        <v>291</v>
      </c>
      <c r="F612" s="5">
        <v>3039.96</v>
      </c>
      <c r="G612" s="5">
        <v>607.99200000000008</v>
      </c>
      <c r="I612" t="str">
        <f t="shared" si="46"/>
        <v>Low Sales</v>
      </c>
      <c r="J612" t="str">
        <f t="shared" si="47"/>
        <v>Average Performance</v>
      </c>
      <c r="K612">
        <f t="shared" si="48"/>
        <v>2004</v>
      </c>
      <c r="L612" t="str">
        <f t="shared" si="49"/>
        <v>February</v>
      </c>
    </row>
    <row r="613" spans="1:12" x14ac:dyDescent="0.25">
      <c r="A613" t="s">
        <v>154</v>
      </c>
      <c r="B613" t="s">
        <v>258</v>
      </c>
      <c r="C613" t="s">
        <v>262</v>
      </c>
      <c r="D613" t="str">
        <f t="shared" si="45"/>
        <v>Classic Cars</v>
      </c>
      <c r="E613" t="s">
        <v>291</v>
      </c>
      <c r="F613" s="5">
        <v>3400.32</v>
      </c>
      <c r="G613" s="5">
        <v>680.06400000000008</v>
      </c>
      <c r="I613" t="str">
        <f t="shared" si="46"/>
        <v>Low Sales</v>
      </c>
      <c r="J613" t="str">
        <f t="shared" si="47"/>
        <v>Average Performance</v>
      </c>
      <c r="K613">
        <f t="shared" si="48"/>
        <v>2004</v>
      </c>
      <c r="L613" t="str">
        <f t="shared" si="49"/>
        <v>April</v>
      </c>
    </row>
    <row r="614" spans="1:12" x14ac:dyDescent="0.25">
      <c r="A614" t="s">
        <v>114</v>
      </c>
      <c r="B614" t="s">
        <v>258</v>
      </c>
      <c r="C614" t="s">
        <v>262</v>
      </c>
      <c r="D614" t="str">
        <f t="shared" si="45"/>
        <v>Classic Cars</v>
      </c>
      <c r="E614" t="s">
        <v>291</v>
      </c>
      <c r="F614" s="5">
        <v>1930.39</v>
      </c>
      <c r="G614" s="5">
        <v>386.07799999999997</v>
      </c>
      <c r="I614" t="str">
        <f t="shared" si="46"/>
        <v>Low Sales</v>
      </c>
      <c r="J614" t="str">
        <f t="shared" si="47"/>
        <v>Average Performance</v>
      </c>
      <c r="K614">
        <f t="shared" si="48"/>
        <v>2004</v>
      </c>
      <c r="L614" t="str">
        <f t="shared" si="49"/>
        <v>June</v>
      </c>
    </row>
    <row r="615" spans="1:12" x14ac:dyDescent="0.25">
      <c r="A615" t="s">
        <v>115</v>
      </c>
      <c r="B615" t="s">
        <v>258</v>
      </c>
      <c r="C615" t="s">
        <v>262</v>
      </c>
      <c r="D615" t="str">
        <f t="shared" si="45"/>
        <v>Classic Cars</v>
      </c>
      <c r="E615" t="s">
        <v>291</v>
      </c>
      <c r="F615" s="5">
        <v>2464.77</v>
      </c>
      <c r="G615" s="5">
        <v>492.95400000000001</v>
      </c>
      <c r="I615" t="str">
        <f t="shared" si="46"/>
        <v>Low Sales</v>
      </c>
      <c r="J615" t="str">
        <f t="shared" si="47"/>
        <v>Average Performance</v>
      </c>
      <c r="K615">
        <f t="shared" si="48"/>
        <v>2004</v>
      </c>
      <c r="L615" t="str">
        <f t="shared" si="49"/>
        <v>July</v>
      </c>
    </row>
    <row r="616" spans="1:12" x14ac:dyDescent="0.25">
      <c r="A616" t="s">
        <v>163</v>
      </c>
      <c r="C616" t="s">
        <v>262</v>
      </c>
      <c r="D616" t="str">
        <f t="shared" si="45"/>
        <v>Classic Cars</v>
      </c>
      <c r="E616" t="s">
        <v>291</v>
      </c>
      <c r="F616" s="5">
        <v>2634.94</v>
      </c>
      <c r="G616" s="5">
        <v>526.98800000000006</v>
      </c>
      <c r="I616" t="str">
        <f t="shared" si="46"/>
        <v>Low Sales</v>
      </c>
      <c r="J616" t="str">
        <f t="shared" si="47"/>
        <v>Average Performance</v>
      </c>
      <c r="K616">
        <f t="shared" si="48"/>
        <v>2004</v>
      </c>
      <c r="L616" t="str">
        <f t="shared" si="49"/>
        <v>August</v>
      </c>
    </row>
    <row r="617" spans="1:12" x14ac:dyDescent="0.25">
      <c r="A617" t="s">
        <v>117</v>
      </c>
      <c r="B617" t="s">
        <v>258</v>
      </c>
      <c r="C617" t="s">
        <v>262</v>
      </c>
      <c r="D617" t="str">
        <f t="shared" si="45"/>
        <v>Classic Cars</v>
      </c>
      <c r="E617" t="s">
        <v>291</v>
      </c>
      <c r="F617" s="5">
        <v>3625.16</v>
      </c>
      <c r="G617" s="5">
        <v>725.03200000000004</v>
      </c>
      <c r="I617" t="str">
        <f t="shared" si="46"/>
        <v>Low Sales</v>
      </c>
      <c r="J617" t="str">
        <f t="shared" si="47"/>
        <v>Average Performance</v>
      </c>
      <c r="K617">
        <f t="shared" si="48"/>
        <v>2004</v>
      </c>
      <c r="L617" t="str">
        <f t="shared" si="49"/>
        <v>August</v>
      </c>
    </row>
    <row r="618" spans="1:12" x14ac:dyDescent="0.25">
      <c r="A618" t="s">
        <v>118</v>
      </c>
      <c r="B618" t="s">
        <v>258</v>
      </c>
      <c r="C618" t="s">
        <v>262</v>
      </c>
      <c r="D618" t="str">
        <f t="shared" si="45"/>
        <v>Classic Cars</v>
      </c>
      <c r="E618" t="s">
        <v>291</v>
      </c>
      <c r="F618" s="5">
        <v>3788.4</v>
      </c>
      <c r="G618" s="5">
        <v>757.68000000000006</v>
      </c>
      <c r="I618" t="str">
        <f t="shared" si="46"/>
        <v>Low Sales</v>
      </c>
      <c r="J618" t="str">
        <f t="shared" si="47"/>
        <v>Average Performance</v>
      </c>
      <c r="K618">
        <f t="shared" si="48"/>
        <v>2003</v>
      </c>
      <c r="L618" t="str">
        <f t="shared" si="49"/>
        <v>October</v>
      </c>
    </row>
    <row r="619" spans="1:12" x14ac:dyDescent="0.25">
      <c r="A619" t="s">
        <v>119</v>
      </c>
      <c r="B619" t="s">
        <v>258</v>
      </c>
      <c r="C619" t="s">
        <v>262</v>
      </c>
      <c r="D619" t="str">
        <f t="shared" si="45"/>
        <v>Classic Cars</v>
      </c>
      <c r="E619" t="s">
        <v>291</v>
      </c>
      <c r="F619" s="5">
        <v>1832.6</v>
      </c>
      <c r="G619" s="5">
        <v>366.52</v>
      </c>
      <c r="I619" t="str">
        <f t="shared" si="46"/>
        <v>Low Sales</v>
      </c>
      <c r="J619" t="str">
        <f t="shared" si="47"/>
        <v>Average Performance</v>
      </c>
      <c r="K619">
        <f t="shared" si="48"/>
        <v>2004</v>
      </c>
      <c r="L619" t="str">
        <f t="shared" si="49"/>
        <v>October</v>
      </c>
    </row>
    <row r="620" spans="1:12" x14ac:dyDescent="0.25">
      <c r="A620" t="s">
        <v>51</v>
      </c>
      <c r="C620" t="s">
        <v>262</v>
      </c>
      <c r="D620" t="str">
        <f t="shared" si="45"/>
        <v>Classic Cars</v>
      </c>
      <c r="E620" t="s">
        <v>291</v>
      </c>
      <c r="F620" s="5">
        <v>2905.98</v>
      </c>
      <c r="G620" s="5">
        <v>581.19600000000003</v>
      </c>
      <c r="I620" t="str">
        <f t="shared" si="46"/>
        <v>Low Sales</v>
      </c>
      <c r="J620" t="str">
        <f t="shared" si="47"/>
        <v>Average Performance</v>
      </c>
      <c r="K620">
        <f t="shared" si="48"/>
        <v>2004</v>
      </c>
      <c r="L620" t="str">
        <f t="shared" si="49"/>
        <v>November</v>
      </c>
    </row>
    <row r="621" spans="1:12" x14ac:dyDescent="0.25">
      <c r="A621" t="s">
        <v>25</v>
      </c>
      <c r="C621" t="s">
        <v>262</v>
      </c>
      <c r="D621" t="str">
        <f t="shared" si="45"/>
        <v>Classic Cars</v>
      </c>
      <c r="E621" t="s">
        <v>291</v>
      </c>
      <c r="F621" s="5">
        <v>2954.81</v>
      </c>
      <c r="G621" s="5">
        <v>590.96199999999999</v>
      </c>
      <c r="I621" t="str">
        <f t="shared" si="46"/>
        <v>Low Sales</v>
      </c>
      <c r="J621" t="str">
        <f t="shared" si="47"/>
        <v>Average Performance</v>
      </c>
      <c r="K621">
        <f t="shared" si="48"/>
        <v>2004</v>
      </c>
      <c r="L621" t="str">
        <f t="shared" si="49"/>
        <v>November</v>
      </c>
    </row>
    <row r="622" spans="1:12" x14ac:dyDescent="0.25">
      <c r="A622" t="s">
        <v>26</v>
      </c>
      <c r="B622" t="s">
        <v>259</v>
      </c>
      <c r="C622" t="s">
        <v>262</v>
      </c>
      <c r="D622" t="str">
        <f t="shared" si="45"/>
        <v>Classic Cars</v>
      </c>
      <c r="E622" t="s">
        <v>291</v>
      </c>
      <c r="F622" s="5">
        <v>3599.75</v>
      </c>
      <c r="G622" s="5">
        <v>719.95</v>
      </c>
      <c r="I622" t="str">
        <f t="shared" si="46"/>
        <v>Low Sales</v>
      </c>
      <c r="J622" t="str">
        <f t="shared" si="47"/>
        <v>Average Performance</v>
      </c>
      <c r="K622">
        <f t="shared" si="48"/>
        <v>2004</v>
      </c>
      <c r="L622" t="str">
        <f t="shared" si="49"/>
        <v>November</v>
      </c>
    </row>
    <row r="623" spans="1:12" x14ac:dyDescent="0.25">
      <c r="A623" t="s">
        <v>121</v>
      </c>
      <c r="B623" t="s">
        <v>258</v>
      </c>
      <c r="C623" t="s">
        <v>262</v>
      </c>
      <c r="D623" t="str">
        <f t="shared" si="45"/>
        <v>Classic Cars</v>
      </c>
      <c r="E623" t="s">
        <v>291</v>
      </c>
      <c r="F623" s="5">
        <v>3686.54</v>
      </c>
      <c r="G623" s="5">
        <v>737.30799999999999</v>
      </c>
      <c r="I623" t="str">
        <f t="shared" si="46"/>
        <v>Low Sales</v>
      </c>
      <c r="J623" t="str">
        <f t="shared" si="47"/>
        <v>Average Performance</v>
      </c>
      <c r="K623">
        <f t="shared" si="48"/>
        <v>2005</v>
      </c>
      <c r="L623" t="str">
        <f t="shared" si="49"/>
        <v>January</v>
      </c>
    </row>
    <row r="624" spans="1:12" x14ac:dyDescent="0.25">
      <c r="A624" t="s">
        <v>148</v>
      </c>
      <c r="B624" t="s">
        <v>258</v>
      </c>
      <c r="C624" t="s">
        <v>262</v>
      </c>
      <c r="D624" t="str">
        <f t="shared" si="45"/>
        <v>Classic Cars</v>
      </c>
      <c r="E624" t="s">
        <v>291</v>
      </c>
      <c r="F624" s="5">
        <v>2100.56</v>
      </c>
      <c r="G624" s="5">
        <v>420.11200000000002</v>
      </c>
      <c r="I624" t="str">
        <f t="shared" si="46"/>
        <v>Low Sales</v>
      </c>
      <c r="J624" t="str">
        <f t="shared" si="47"/>
        <v>Average Performance</v>
      </c>
      <c r="K624">
        <f t="shared" si="48"/>
        <v>2005</v>
      </c>
      <c r="L624" t="str">
        <f t="shared" si="49"/>
        <v>February</v>
      </c>
    </row>
    <row r="625" spans="1:12" x14ac:dyDescent="0.25">
      <c r="A625" t="s">
        <v>29</v>
      </c>
      <c r="B625" t="s">
        <v>258</v>
      </c>
      <c r="C625" t="s">
        <v>262</v>
      </c>
      <c r="D625" t="str">
        <f t="shared" si="45"/>
        <v>Classic Cars</v>
      </c>
      <c r="E625" t="s">
        <v>291</v>
      </c>
      <c r="F625" s="5">
        <v>3881.78</v>
      </c>
      <c r="G625" s="5">
        <v>776.35600000000011</v>
      </c>
      <c r="I625" t="str">
        <f t="shared" si="46"/>
        <v>Low Sales</v>
      </c>
      <c r="J625" t="str">
        <f t="shared" si="47"/>
        <v>Average Performance</v>
      </c>
      <c r="K625">
        <f t="shared" si="48"/>
        <v>2005</v>
      </c>
      <c r="L625" t="str">
        <f t="shared" si="49"/>
        <v>March</v>
      </c>
    </row>
    <row r="626" spans="1:12" x14ac:dyDescent="0.25">
      <c r="A626" t="s">
        <v>156</v>
      </c>
      <c r="B626" t="s">
        <v>258</v>
      </c>
      <c r="C626" t="s">
        <v>262</v>
      </c>
      <c r="D626" t="str">
        <f t="shared" si="45"/>
        <v>Classic Cars</v>
      </c>
      <c r="E626" t="s">
        <v>291</v>
      </c>
      <c r="F626" s="5">
        <v>4509.12</v>
      </c>
      <c r="G626" s="5">
        <v>901.82400000000007</v>
      </c>
      <c r="I626" t="str">
        <f t="shared" si="46"/>
        <v>Low Sales</v>
      </c>
      <c r="J626" t="str">
        <f t="shared" si="47"/>
        <v>Average Performance</v>
      </c>
      <c r="K626">
        <f t="shared" si="48"/>
        <v>2005</v>
      </c>
      <c r="L626" t="str">
        <f t="shared" si="49"/>
        <v>April</v>
      </c>
    </row>
    <row r="627" spans="1:12" x14ac:dyDescent="0.25">
      <c r="A627" t="s">
        <v>122</v>
      </c>
      <c r="B627" t="s">
        <v>258</v>
      </c>
      <c r="C627" t="s">
        <v>262</v>
      </c>
      <c r="D627" t="str">
        <f t="shared" si="45"/>
        <v>Classic Cars</v>
      </c>
      <c r="E627" t="s">
        <v>291</v>
      </c>
      <c r="F627" s="5">
        <v>3273.27</v>
      </c>
      <c r="G627" s="5">
        <v>654.654</v>
      </c>
      <c r="I627" t="str">
        <f t="shared" si="46"/>
        <v>Low Sales</v>
      </c>
      <c r="J627" t="str">
        <f t="shared" si="47"/>
        <v>Average Performance</v>
      </c>
      <c r="K627">
        <f t="shared" si="48"/>
        <v>2005</v>
      </c>
      <c r="L627" t="str">
        <f t="shared" si="49"/>
        <v>May</v>
      </c>
    </row>
    <row r="628" spans="1:12" x14ac:dyDescent="0.25">
      <c r="A628" t="s">
        <v>157</v>
      </c>
      <c r="C628" t="s">
        <v>262</v>
      </c>
      <c r="D628" t="str">
        <f t="shared" si="45"/>
        <v>Classic Cars</v>
      </c>
      <c r="E628" t="s">
        <v>292</v>
      </c>
      <c r="F628" s="5">
        <v>4432.7</v>
      </c>
      <c r="G628" s="5">
        <v>886.54</v>
      </c>
      <c r="I628" t="str">
        <f t="shared" si="46"/>
        <v>Low Sales</v>
      </c>
      <c r="J628" t="str">
        <f t="shared" si="47"/>
        <v>Average Performance</v>
      </c>
      <c r="K628">
        <f t="shared" si="48"/>
        <v>2003</v>
      </c>
      <c r="L628" t="str">
        <f t="shared" si="49"/>
        <v>March</v>
      </c>
    </row>
    <row r="629" spans="1:12" x14ac:dyDescent="0.25">
      <c r="A629" t="s">
        <v>105</v>
      </c>
      <c r="B629" t="s">
        <v>258</v>
      </c>
      <c r="C629" t="s">
        <v>262</v>
      </c>
      <c r="D629" t="str">
        <f t="shared" si="45"/>
        <v>Classic Cars</v>
      </c>
      <c r="E629" t="s">
        <v>292</v>
      </c>
      <c r="F629" s="5">
        <v>4100.99</v>
      </c>
      <c r="G629" s="5">
        <v>820.19799999999998</v>
      </c>
      <c r="I629" t="str">
        <f t="shared" si="46"/>
        <v>Low Sales</v>
      </c>
      <c r="J629" t="str">
        <f t="shared" si="47"/>
        <v>Average Performance</v>
      </c>
      <c r="K629">
        <f t="shared" si="48"/>
        <v>2003</v>
      </c>
      <c r="L629" t="str">
        <f t="shared" si="49"/>
        <v>May</v>
      </c>
    </row>
    <row r="630" spans="1:12" x14ac:dyDescent="0.25">
      <c r="A630" t="s">
        <v>158</v>
      </c>
      <c r="B630" t="s">
        <v>258</v>
      </c>
      <c r="C630" t="s">
        <v>262</v>
      </c>
      <c r="D630" t="str">
        <f t="shared" si="45"/>
        <v>Classic Cars</v>
      </c>
      <c r="E630" t="s">
        <v>292</v>
      </c>
      <c r="F630" s="5">
        <v>5274.72</v>
      </c>
      <c r="G630" s="5">
        <v>1054.944</v>
      </c>
      <c r="I630" t="str">
        <f t="shared" si="46"/>
        <v>Low Sales</v>
      </c>
      <c r="J630" t="str">
        <f t="shared" si="47"/>
        <v>Average Performance</v>
      </c>
      <c r="K630">
        <f t="shared" si="48"/>
        <v>2003</v>
      </c>
      <c r="L630" t="str">
        <f t="shared" si="49"/>
        <v>July</v>
      </c>
    </row>
    <row r="631" spans="1:12" x14ac:dyDescent="0.25">
      <c r="A631" t="s">
        <v>159</v>
      </c>
      <c r="B631" t="s">
        <v>259</v>
      </c>
      <c r="C631" t="s">
        <v>262</v>
      </c>
      <c r="D631" t="str">
        <f t="shared" si="45"/>
        <v>Classic Cars</v>
      </c>
      <c r="E631" t="s">
        <v>292</v>
      </c>
      <c r="F631" s="5">
        <v>4232</v>
      </c>
      <c r="G631" s="5">
        <v>846.40000000000009</v>
      </c>
      <c r="I631" t="str">
        <f t="shared" si="46"/>
        <v>Low Sales</v>
      </c>
      <c r="J631" t="str">
        <f t="shared" si="47"/>
        <v>Average Performance</v>
      </c>
      <c r="K631">
        <f t="shared" si="48"/>
        <v>2003</v>
      </c>
      <c r="L631" t="str">
        <f t="shared" si="49"/>
        <v>September</v>
      </c>
    </row>
    <row r="632" spans="1:12" x14ac:dyDescent="0.25">
      <c r="A632" t="s">
        <v>160</v>
      </c>
      <c r="B632" t="s">
        <v>258</v>
      </c>
      <c r="C632" t="s">
        <v>262</v>
      </c>
      <c r="D632" t="str">
        <f t="shared" si="45"/>
        <v>Classic Cars</v>
      </c>
      <c r="E632" t="s">
        <v>292</v>
      </c>
      <c r="F632" s="5">
        <v>6145.44</v>
      </c>
      <c r="G632" s="5">
        <v>1229.088</v>
      </c>
      <c r="I632" t="str">
        <f t="shared" si="46"/>
        <v>Low Sales</v>
      </c>
      <c r="J632" t="str">
        <f t="shared" si="47"/>
        <v>Average Performance</v>
      </c>
      <c r="K632">
        <f t="shared" si="48"/>
        <v>2003</v>
      </c>
      <c r="L632" t="str">
        <f t="shared" si="49"/>
        <v>October</v>
      </c>
    </row>
    <row r="633" spans="1:12" x14ac:dyDescent="0.25">
      <c r="A633" t="s">
        <v>161</v>
      </c>
      <c r="C633" t="s">
        <v>262</v>
      </c>
      <c r="D633" t="str">
        <f t="shared" si="45"/>
        <v>Classic Cars</v>
      </c>
      <c r="E633" t="s">
        <v>292</v>
      </c>
      <c r="F633" s="5">
        <v>4680.2</v>
      </c>
      <c r="G633" s="5">
        <v>936.04</v>
      </c>
      <c r="I633" t="str">
        <f t="shared" si="46"/>
        <v>Low Sales</v>
      </c>
      <c r="J633" t="str">
        <f t="shared" si="47"/>
        <v>Average Performance</v>
      </c>
      <c r="K633">
        <f t="shared" si="48"/>
        <v>2003</v>
      </c>
      <c r="L633" t="str">
        <f t="shared" si="49"/>
        <v>November</v>
      </c>
    </row>
    <row r="634" spans="1:12" x14ac:dyDescent="0.25">
      <c r="A634" t="s">
        <v>109</v>
      </c>
      <c r="B634" t="s">
        <v>258</v>
      </c>
      <c r="C634" t="s">
        <v>262</v>
      </c>
      <c r="D634" t="str">
        <f t="shared" si="45"/>
        <v>Classic Cars</v>
      </c>
      <c r="E634" t="s">
        <v>292</v>
      </c>
      <c r="F634" s="5">
        <v>3286.08</v>
      </c>
      <c r="G634" s="5">
        <v>657.21600000000001</v>
      </c>
      <c r="I634" t="str">
        <f t="shared" si="46"/>
        <v>Low Sales</v>
      </c>
      <c r="J634" t="str">
        <f t="shared" si="47"/>
        <v>Average Performance</v>
      </c>
      <c r="K634">
        <f t="shared" si="48"/>
        <v>2003</v>
      </c>
      <c r="L634" t="str">
        <f t="shared" si="49"/>
        <v>November</v>
      </c>
    </row>
    <row r="635" spans="1:12" x14ac:dyDescent="0.25">
      <c r="A635" t="s">
        <v>110</v>
      </c>
      <c r="C635" t="s">
        <v>262</v>
      </c>
      <c r="D635" t="str">
        <f t="shared" si="45"/>
        <v>Classic Cars</v>
      </c>
      <c r="E635" t="s">
        <v>292</v>
      </c>
      <c r="F635" s="5">
        <v>7421.3</v>
      </c>
      <c r="G635" s="5">
        <v>1484.26</v>
      </c>
      <c r="I635" t="str">
        <f t="shared" si="46"/>
        <v>Low Sales</v>
      </c>
      <c r="J635" t="str">
        <f t="shared" si="47"/>
        <v>Average Performance</v>
      </c>
      <c r="K635">
        <f t="shared" si="48"/>
        <v>2003</v>
      </c>
      <c r="L635" t="str">
        <f t="shared" si="49"/>
        <v>November</v>
      </c>
    </row>
    <row r="636" spans="1:12" x14ac:dyDescent="0.25">
      <c r="A636" t="s">
        <v>111</v>
      </c>
      <c r="C636" t="s">
        <v>262</v>
      </c>
      <c r="D636" t="str">
        <f t="shared" si="45"/>
        <v>Classic Cars</v>
      </c>
      <c r="E636" t="s">
        <v>292</v>
      </c>
      <c r="F636" s="5">
        <v>6432.64</v>
      </c>
      <c r="G636" s="5">
        <v>1286.528</v>
      </c>
      <c r="I636" t="str">
        <f t="shared" si="46"/>
        <v>Low Sales</v>
      </c>
      <c r="J636" t="str">
        <f t="shared" si="47"/>
        <v>Average Performance</v>
      </c>
      <c r="K636">
        <f t="shared" si="48"/>
        <v>2003</v>
      </c>
      <c r="L636" t="str">
        <f t="shared" si="49"/>
        <v>December</v>
      </c>
    </row>
    <row r="637" spans="1:12" x14ac:dyDescent="0.25">
      <c r="A637" t="s">
        <v>144</v>
      </c>
      <c r="B637" t="s">
        <v>258</v>
      </c>
      <c r="C637" t="s">
        <v>262</v>
      </c>
      <c r="D637" t="str">
        <f t="shared" si="45"/>
        <v>Classic Cars</v>
      </c>
      <c r="E637" t="s">
        <v>292</v>
      </c>
      <c r="F637" s="5">
        <v>4840.87</v>
      </c>
      <c r="G637" s="5">
        <v>968.17399999999998</v>
      </c>
      <c r="I637" t="str">
        <f t="shared" si="46"/>
        <v>Low Sales</v>
      </c>
      <c r="J637" t="str">
        <f t="shared" si="47"/>
        <v>Average Performance</v>
      </c>
      <c r="K637">
        <f t="shared" si="48"/>
        <v>2004</v>
      </c>
      <c r="L637" t="str">
        <f t="shared" si="49"/>
        <v>January</v>
      </c>
    </row>
    <row r="638" spans="1:12" x14ac:dyDescent="0.25">
      <c r="A638" t="s">
        <v>187</v>
      </c>
      <c r="C638" t="s">
        <v>262</v>
      </c>
      <c r="D638" t="str">
        <f t="shared" si="45"/>
        <v>Classic Cars</v>
      </c>
      <c r="E638" t="s">
        <v>292</v>
      </c>
      <c r="F638" s="5">
        <v>3892.08</v>
      </c>
      <c r="G638" s="5">
        <v>778.41600000000005</v>
      </c>
      <c r="I638" t="str">
        <f t="shared" si="46"/>
        <v>Low Sales</v>
      </c>
      <c r="J638" t="str">
        <f t="shared" si="47"/>
        <v>Average Performance</v>
      </c>
      <c r="K638">
        <f t="shared" si="48"/>
        <v>2004</v>
      </c>
      <c r="L638" t="str">
        <f t="shared" si="49"/>
        <v>February</v>
      </c>
    </row>
    <row r="639" spans="1:12" x14ac:dyDescent="0.25">
      <c r="A639" t="s">
        <v>162</v>
      </c>
      <c r="B639" t="s">
        <v>260</v>
      </c>
      <c r="C639" t="s">
        <v>262</v>
      </c>
      <c r="D639" t="str">
        <f t="shared" si="45"/>
        <v>Classic Cars</v>
      </c>
      <c r="E639" t="s">
        <v>292</v>
      </c>
      <c r="F639" s="5">
        <v>5526.32</v>
      </c>
      <c r="G639" s="5">
        <v>1105.2639999999999</v>
      </c>
      <c r="I639" t="str">
        <f t="shared" si="46"/>
        <v>Low Sales</v>
      </c>
      <c r="J639" t="str">
        <f t="shared" si="47"/>
        <v>Average Performance</v>
      </c>
      <c r="K639">
        <f t="shared" si="48"/>
        <v>2004</v>
      </c>
      <c r="L639" t="str">
        <f t="shared" si="49"/>
        <v>April</v>
      </c>
    </row>
    <row r="640" spans="1:12" x14ac:dyDescent="0.25">
      <c r="A640" t="s">
        <v>114</v>
      </c>
      <c r="B640" t="s">
        <v>258</v>
      </c>
      <c r="C640" t="s">
        <v>262</v>
      </c>
      <c r="D640" t="str">
        <f t="shared" si="45"/>
        <v>Classic Cars</v>
      </c>
      <c r="E640" t="s">
        <v>292</v>
      </c>
      <c r="F640" s="5">
        <v>4459.62</v>
      </c>
      <c r="G640" s="5">
        <v>891.92399999999998</v>
      </c>
      <c r="I640" t="str">
        <f t="shared" si="46"/>
        <v>Low Sales</v>
      </c>
      <c r="J640" t="str">
        <f t="shared" si="47"/>
        <v>Average Performance</v>
      </c>
      <c r="K640">
        <f t="shared" si="48"/>
        <v>2004</v>
      </c>
      <c r="L640" t="str">
        <f t="shared" si="49"/>
        <v>June</v>
      </c>
    </row>
    <row r="641" spans="1:12" x14ac:dyDescent="0.25">
      <c r="A641" t="s">
        <v>115</v>
      </c>
      <c r="B641" t="s">
        <v>258</v>
      </c>
      <c r="C641" t="s">
        <v>262</v>
      </c>
      <c r="D641" t="str">
        <f t="shared" si="45"/>
        <v>Classic Cars</v>
      </c>
      <c r="E641" t="s">
        <v>292</v>
      </c>
      <c r="F641" s="5">
        <v>6203.4</v>
      </c>
      <c r="G641" s="5">
        <v>1240.68</v>
      </c>
      <c r="I641" t="str">
        <f t="shared" si="46"/>
        <v>Low Sales</v>
      </c>
      <c r="J641" t="str">
        <f t="shared" si="47"/>
        <v>Average Performance</v>
      </c>
      <c r="K641">
        <f t="shared" si="48"/>
        <v>2004</v>
      </c>
      <c r="L641" t="str">
        <f t="shared" si="49"/>
        <v>July</v>
      </c>
    </row>
    <row r="642" spans="1:12" x14ac:dyDescent="0.25">
      <c r="A642" t="s">
        <v>163</v>
      </c>
      <c r="C642" t="s">
        <v>262</v>
      </c>
      <c r="D642" t="str">
        <f t="shared" si="45"/>
        <v>Classic Cars</v>
      </c>
      <c r="E642" t="s">
        <v>292</v>
      </c>
      <c r="F642" s="5">
        <v>3754.05</v>
      </c>
      <c r="G642" s="5">
        <v>750.81000000000006</v>
      </c>
      <c r="I642" t="str">
        <f t="shared" si="46"/>
        <v>Low Sales</v>
      </c>
      <c r="J642" t="str">
        <f t="shared" si="47"/>
        <v>Average Performance</v>
      </c>
      <c r="K642">
        <f t="shared" si="48"/>
        <v>2004</v>
      </c>
      <c r="L642" t="str">
        <f t="shared" si="49"/>
        <v>August</v>
      </c>
    </row>
    <row r="643" spans="1:12" x14ac:dyDescent="0.25">
      <c r="A643" t="s">
        <v>117</v>
      </c>
      <c r="B643" t="s">
        <v>258</v>
      </c>
      <c r="C643" t="s">
        <v>262</v>
      </c>
      <c r="D643" t="str">
        <f t="shared" ref="D643:D706" si="50">PROPER(TRIM(C643))</f>
        <v>Classic Cars</v>
      </c>
      <c r="E643" t="s">
        <v>292</v>
      </c>
      <c r="F643" s="5">
        <v>3516.48</v>
      </c>
      <c r="G643" s="5">
        <v>703.29600000000005</v>
      </c>
      <c r="I643" t="str">
        <f t="shared" ref="I643:I706" si="51">IF(F643&gt;50000,"High Sales","Low Sales")</f>
        <v>Low Sales</v>
      </c>
      <c r="J643" t="str">
        <f t="shared" ref="J643:J706" si="52">IF(AND(F643&gt;30000,G643&gt;5000),"Good Performance","Average Performance")</f>
        <v>Average Performance</v>
      </c>
      <c r="K643">
        <f t="shared" ref="K643:K706" si="53">YEAR(A643)</f>
        <v>2004</v>
      </c>
      <c r="L643" t="str">
        <f t="shared" ref="L643:L706" si="54">TEXT(A643,"mmmm")</f>
        <v>August</v>
      </c>
    </row>
    <row r="644" spans="1:12" x14ac:dyDescent="0.25">
      <c r="A644" t="s">
        <v>164</v>
      </c>
      <c r="B644" t="s">
        <v>258</v>
      </c>
      <c r="C644" t="s">
        <v>262</v>
      </c>
      <c r="D644" t="str">
        <f t="shared" si="50"/>
        <v>Classic Cars</v>
      </c>
      <c r="E644" t="s">
        <v>292</v>
      </c>
      <c r="F644" s="5">
        <v>7488.04</v>
      </c>
      <c r="G644" s="5">
        <v>1497.6079999999999</v>
      </c>
      <c r="I644" t="str">
        <f t="shared" si="51"/>
        <v>Low Sales</v>
      </c>
      <c r="J644" t="str">
        <f t="shared" si="52"/>
        <v>Average Performance</v>
      </c>
      <c r="K644">
        <f t="shared" si="53"/>
        <v>2003</v>
      </c>
      <c r="L644" t="str">
        <f t="shared" si="54"/>
        <v>October</v>
      </c>
    </row>
    <row r="645" spans="1:12" x14ac:dyDescent="0.25">
      <c r="A645" t="s">
        <v>119</v>
      </c>
      <c r="B645" t="s">
        <v>258</v>
      </c>
      <c r="C645" t="s">
        <v>262</v>
      </c>
      <c r="D645" t="str">
        <f t="shared" si="50"/>
        <v>Classic Cars</v>
      </c>
      <c r="E645" t="s">
        <v>292</v>
      </c>
      <c r="F645" s="5">
        <v>3448.08</v>
      </c>
      <c r="G645" s="5">
        <v>689.61599999999999</v>
      </c>
      <c r="I645" t="str">
        <f t="shared" si="51"/>
        <v>Low Sales</v>
      </c>
      <c r="J645" t="str">
        <f t="shared" si="52"/>
        <v>Average Performance</v>
      </c>
      <c r="K645">
        <f t="shared" si="53"/>
        <v>2004</v>
      </c>
      <c r="L645" t="str">
        <f t="shared" si="54"/>
        <v>October</v>
      </c>
    </row>
    <row r="646" spans="1:12" x14ac:dyDescent="0.25">
      <c r="A646" t="s">
        <v>51</v>
      </c>
      <c r="C646" t="s">
        <v>262</v>
      </c>
      <c r="D646" t="str">
        <f t="shared" si="50"/>
        <v>Classic Cars</v>
      </c>
      <c r="E646" t="s">
        <v>292</v>
      </c>
      <c r="F646" s="5">
        <v>3734</v>
      </c>
      <c r="G646" s="5">
        <v>746.80000000000007</v>
      </c>
      <c r="I646" t="str">
        <f t="shared" si="51"/>
        <v>Low Sales</v>
      </c>
      <c r="J646" t="str">
        <f t="shared" si="52"/>
        <v>Average Performance</v>
      </c>
      <c r="K646">
        <f t="shared" si="53"/>
        <v>2004</v>
      </c>
      <c r="L646" t="str">
        <f t="shared" si="54"/>
        <v>November</v>
      </c>
    </row>
    <row r="647" spans="1:12" x14ac:dyDescent="0.25">
      <c r="A647" t="s">
        <v>165</v>
      </c>
      <c r="C647" t="s">
        <v>262</v>
      </c>
      <c r="D647" t="str">
        <f t="shared" si="50"/>
        <v>Classic Cars</v>
      </c>
      <c r="E647" t="s">
        <v>292</v>
      </c>
      <c r="F647" s="5">
        <v>974.1</v>
      </c>
      <c r="G647" s="5">
        <v>194.82</v>
      </c>
      <c r="I647" t="str">
        <f t="shared" si="51"/>
        <v>Low Sales</v>
      </c>
      <c r="J647" t="str">
        <f t="shared" si="52"/>
        <v>Average Performance</v>
      </c>
      <c r="K647">
        <f t="shared" si="53"/>
        <v>2004</v>
      </c>
      <c r="L647" t="str">
        <f t="shared" si="54"/>
        <v>November</v>
      </c>
    </row>
    <row r="648" spans="1:12" x14ac:dyDescent="0.25">
      <c r="A648" t="s">
        <v>26</v>
      </c>
      <c r="B648" t="s">
        <v>259</v>
      </c>
      <c r="C648" t="s">
        <v>262</v>
      </c>
      <c r="D648" t="str">
        <f t="shared" si="50"/>
        <v>Classic Cars</v>
      </c>
      <c r="E648" t="s">
        <v>292</v>
      </c>
      <c r="F648" s="5">
        <v>3160.74</v>
      </c>
      <c r="G648" s="5">
        <v>632.14800000000002</v>
      </c>
      <c r="I648" t="str">
        <f t="shared" si="51"/>
        <v>Low Sales</v>
      </c>
      <c r="J648" t="str">
        <f t="shared" si="52"/>
        <v>Average Performance</v>
      </c>
      <c r="K648">
        <f t="shared" si="53"/>
        <v>2004</v>
      </c>
      <c r="L648" t="str">
        <f t="shared" si="54"/>
        <v>November</v>
      </c>
    </row>
    <row r="649" spans="1:12" x14ac:dyDescent="0.25">
      <c r="A649" t="s">
        <v>166</v>
      </c>
      <c r="B649" t="s">
        <v>258</v>
      </c>
      <c r="C649" t="s">
        <v>262</v>
      </c>
      <c r="D649" t="str">
        <f t="shared" si="50"/>
        <v>Classic Cars</v>
      </c>
      <c r="E649" t="s">
        <v>292</v>
      </c>
      <c r="F649" s="5">
        <v>1746.63</v>
      </c>
      <c r="G649" s="5">
        <v>349.32600000000002</v>
      </c>
      <c r="I649" t="str">
        <f t="shared" si="51"/>
        <v>Low Sales</v>
      </c>
      <c r="J649" t="str">
        <f t="shared" si="52"/>
        <v>Average Performance</v>
      </c>
      <c r="K649">
        <f t="shared" si="53"/>
        <v>2004</v>
      </c>
      <c r="L649" t="str">
        <f t="shared" si="54"/>
        <v>December</v>
      </c>
    </row>
    <row r="650" spans="1:12" x14ac:dyDescent="0.25">
      <c r="A650" t="s">
        <v>209</v>
      </c>
      <c r="B650" t="s">
        <v>258</v>
      </c>
      <c r="C650" t="s">
        <v>262</v>
      </c>
      <c r="D650" t="str">
        <f t="shared" si="50"/>
        <v>Classic Cars</v>
      </c>
      <c r="E650" t="s">
        <v>292</v>
      </c>
      <c r="F650" s="5">
        <v>4207.84</v>
      </c>
      <c r="G650" s="5">
        <v>841.5680000000001</v>
      </c>
      <c r="I650" t="str">
        <f t="shared" si="51"/>
        <v>Low Sales</v>
      </c>
      <c r="J650" t="str">
        <f t="shared" si="52"/>
        <v>Average Performance</v>
      </c>
      <c r="K650">
        <f t="shared" si="53"/>
        <v>2005</v>
      </c>
      <c r="L650" t="str">
        <f t="shared" si="54"/>
        <v>January</v>
      </c>
    </row>
    <row r="651" spans="1:12" x14ac:dyDescent="0.25">
      <c r="A651" t="s">
        <v>148</v>
      </c>
      <c r="B651" t="s">
        <v>258</v>
      </c>
      <c r="C651" t="s">
        <v>262</v>
      </c>
      <c r="D651" t="str">
        <f t="shared" si="50"/>
        <v>Classic Cars</v>
      </c>
      <c r="E651" t="s">
        <v>292</v>
      </c>
      <c r="F651" s="5">
        <v>4352.76</v>
      </c>
      <c r="G651" s="5">
        <v>870.55200000000013</v>
      </c>
      <c r="I651" t="str">
        <f t="shared" si="51"/>
        <v>Low Sales</v>
      </c>
      <c r="J651" t="str">
        <f t="shared" si="52"/>
        <v>Average Performance</v>
      </c>
      <c r="K651">
        <f t="shared" si="53"/>
        <v>2005</v>
      </c>
      <c r="L651" t="str">
        <f t="shared" si="54"/>
        <v>February</v>
      </c>
    </row>
    <row r="652" spans="1:12" x14ac:dyDescent="0.25">
      <c r="A652" t="s">
        <v>168</v>
      </c>
      <c r="C652" t="s">
        <v>262</v>
      </c>
      <c r="D652" t="str">
        <f t="shared" si="50"/>
        <v>Classic Cars</v>
      </c>
      <c r="E652" t="s">
        <v>292</v>
      </c>
      <c r="F652" s="5">
        <v>1463.7</v>
      </c>
      <c r="G652" s="5">
        <v>292.74</v>
      </c>
      <c r="I652" t="str">
        <f t="shared" si="51"/>
        <v>Low Sales</v>
      </c>
      <c r="J652" t="str">
        <f t="shared" si="52"/>
        <v>Average Performance</v>
      </c>
      <c r="K652">
        <f t="shared" si="53"/>
        <v>2005</v>
      </c>
      <c r="L652" t="str">
        <f t="shared" si="54"/>
        <v>March</v>
      </c>
    </row>
    <row r="653" spans="1:12" x14ac:dyDescent="0.25">
      <c r="A653" t="s">
        <v>169</v>
      </c>
      <c r="B653" t="s">
        <v>258</v>
      </c>
      <c r="C653" t="s">
        <v>262</v>
      </c>
      <c r="D653" t="str">
        <f t="shared" si="50"/>
        <v>Classic Cars</v>
      </c>
      <c r="E653" t="s">
        <v>292</v>
      </c>
      <c r="F653" s="5">
        <v>7169.28</v>
      </c>
      <c r="G653" s="5">
        <v>1433.856</v>
      </c>
      <c r="I653" t="str">
        <f t="shared" si="51"/>
        <v>Low Sales</v>
      </c>
      <c r="J653" t="str">
        <f t="shared" si="52"/>
        <v>Average Performance</v>
      </c>
      <c r="K653">
        <f t="shared" si="53"/>
        <v>2005</v>
      </c>
      <c r="L653" t="str">
        <f t="shared" si="54"/>
        <v>April</v>
      </c>
    </row>
    <row r="654" spans="1:12" x14ac:dyDescent="0.25">
      <c r="A654" t="s">
        <v>122</v>
      </c>
      <c r="B654" t="s">
        <v>258</v>
      </c>
      <c r="C654" t="s">
        <v>262</v>
      </c>
      <c r="D654" t="str">
        <f t="shared" si="50"/>
        <v>Classic Cars</v>
      </c>
      <c r="E654" t="s">
        <v>292</v>
      </c>
      <c r="F654" s="5">
        <v>4594.76</v>
      </c>
      <c r="G654" s="5">
        <v>918.95200000000011</v>
      </c>
      <c r="I654" t="str">
        <f t="shared" si="51"/>
        <v>Low Sales</v>
      </c>
      <c r="J654" t="str">
        <f t="shared" si="52"/>
        <v>Average Performance</v>
      </c>
      <c r="K654">
        <f t="shared" si="53"/>
        <v>2005</v>
      </c>
      <c r="L654" t="str">
        <f t="shared" si="54"/>
        <v>May</v>
      </c>
    </row>
    <row r="655" spans="1:12" x14ac:dyDescent="0.25">
      <c r="A655" t="s">
        <v>140</v>
      </c>
      <c r="B655" t="s">
        <v>258</v>
      </c>
      <c r="C655" t="s">
        <v>262</v>
      </c>
      <c r="D655" t="str">
        <f t="shared" si="50"/>
        <v>Classic Cars</v>
      </c>
      <c r="E655" t="s">
        <v>293</v>
      </c>
      <c r="F655" s="5">
        <v>3457.92</v>
      </c>
      <c r="G655" s="5">
        <v>691.58400000000006</v>
      </c>
      <c r="I655" t="str">
        <f t="shared" si="51"/>
        <v>Low Sales</v>
      </c>
      <c r="J655" t="str">
        <f t="shared" si="52"/>
        <v>Average Performance</v>
      </c>
      <c r="K655">
        <f t="shared" si="53"/>
        <v>2003</v>
      </c>
      <c r="L655" t="str">
        <f t="shared" si="54"/>
        <v>January</v>
      </c>
    </row>
    <row r="656" spans="1:12" x14ac:dyDescent="0.25">
      <c r="A656" t="s">
        <v>149</v>
      </c>
      <c r="C656" t="s">
        <v>262</v>
      </c>
      <c r="D656" t="str">
        <f t="shared" si="50"/>
        <v>Classic Cars</v>
      </c>
      <c r="E656" t="s">
        <v>293</v>
      </c>
      <c r="F656" s="5">
        <v>7381.16</v>
      </c>
      <c r="G656" s="5">
        <v>1476.232</v>
      </c>
      <c r="I656" t="str">
        <f t="shared" si="51"/>
        <v>Low Sales</v>
      </c>
      <c r="J656" t="str">
        <f t="shared" si="52"/>
        <v>Average Performance</v>
      </c>
      <c r="K656">
        <f t="shared" si="53"/>
        <v>2003</v>
      </c>
      <c r="L656" t="str">
        <f t="shared" si="54"/>
        <v>April</v>
      </c>
    </row>
    <row r="657" spans="1:12" x14ac:dyDescent="0.25">
      <c r="A657" t="s">
        <v>124</v>
      </c>
      <c r="C657" t="s">
        <v>262</v>
      </c>
      <c r="D657" t="str">
        <f t="shared" si="50"/>
        <v>Classic Cars</v>
      </c>
      <c r="E657" t="s">
        <v>293</v>
      </c>
      <c r="F657" s="5">
        <v>7146.9</v>
      </c>
      <c r="G657" s="5">
        <v>1429.38</v>
      </c>
      <c r="I657" t="str">
        <f t="shared" si="51"/>
        <v>Low Sales</v>
      </c>
      <c r="J657" t="str">
        <f t="shared" si="52"/>
        <v>Average Performance</v>
      </c>
      <c r="K657">
        <f t="shared" si="53"/>
        <v>2003</v>
      </c>
      <c r="L657" t="str">
        <f t="shared" si="54"/>
        <v>June</v>
      </c>
    </row>
    <row r="658" spans="1:12" x14ac:dyDescent="0.25">
      <c r="A658" t="s">
        <v>150</v>
      </c>
      <c r="B658" t="s">
        <v>258</v>
      </c>
      <c r="C658" t="s">
        <v>262</v>
      </c>
      <c r="D658" t="str">
        <f t="shared" si="50"/>
        <v>Classic Cars</v>
      </c>
      <c r="E658" t="s">
        <v>293</v>
      </c>
      <c r="F658" s="5">
        <v>5938.53</v>
      </c>
      <c r="G658" s="5">
        <v>1187.7059999999999</v>
      </c>
      <c r="I658" t="str">
        <f t="shared" si="51"/>
        <v>Low Sales</v>
      </c>
      <c r="J658" t="str">
        <f t="shared" si="52"/>
        <v>Average Performance</v>
      </c>
      <c r="K658">
        <f t="shared" si="53"/>
        <v>2003</v>
      </c>
      <c r="L658" t="str">
        <f t="shared" si="54"/>
        <v>August</v>
      </c>
    </row>
    <row r="659" spans="1:12" x14ac:dyDescent="0.25">
      <c r="A659" t="s">
        <v>151</v>
      </c>
      <c r="B659" t="s">
        <v>258</v>
      </c>
      <c r="C659" t="s">
        <v>262</v>
      </c>
      <c r="D659" t="str">
        <f t="shared" si="50"/>
        <v>Classic Cars</v>
      </c>
      <c r="E659" t="s">
        <v>293</v>
      </c>
      <c r="F659" s="5">
        <v>7110.91</v>
      </c>
      <c r="G659" s="5">
        <v>1422.182</v>
      </c>
      <c r="I659" t="str">
        <f t="shared" si="51"/>
        <v>Low Sales</v>
      </c>
      <c r="J659" t="str">
        <f t="shared" si="52"/>
        <v>Average Performance</v>
      </c>
      <c r="K659">
        <f t="shared" si="53"/>
        <v>2003</v>
      </c>
      <c r="L659" t="str">
        <f t="shared" si="54"/>
        <v>September</v>
      </c>
    </row>
    <row r="660" spans="1:12" x14ac:dyDescent="0.25">
      <c r="A660" t="s">
        <v>127</v>
      </c>
      <c r="B660" t="s">
        <v>260</v>
      </c>
      <c r="C660" t="s">
        <v>262</v>
      </c>
      <c r="D660" t="str">
        <f t="shared" si="50"/>
        <v>Classic Cars</v>
      </c>
      <c r="E660" t="s">
        <v>293</v>
      </c>
      <c r="F660" s="5">
        <v>5032.95</v>
      </c>
      <c r="G660" s="5">
        <v>1006.59</v>
      </c>
      <c r="I660" t="str">
        <f t="shared" si="51"/>
        <v>Low Sales</v>
      </c>
      <c r="J660" t="str">
        <f t="shared" si="52"/>
        <v>Average Performance</v>
      </c>
      <c r="K660">
        <f t="shared" si="53"/>
        <v>2003</v>
      </c>
      <c r="L660" t="str">
        <f t="shared" si="54"/>
        <v>October</v>
      </c>
    </row>
    <row r="661" spans="1:12" x14ac:dyDescent="0.25">
      <c r="A661" t="s">
        <v>38</v>
      </c>
      <c r="B661" t="s">
        <v>258</v>
      </c>
      <c r="C661" t="s">
        <v>262</v>
      </c>
      <c r="D661" t="str">
        <f t="shared" si="50"/>
        <v>Classic Cars</v>
      </c>
      <c r="E661" t="s">
        <v>293</v>
      </c>
      <c r="F661" s="5">
        <v>3667.6</v>
      </c>
      <c r="G661" s="5">
        <v>733.52</v>
      </c>
      <c r="I661" t="str">
        <f t="shared" si="51"/>
        <v>Low Sales</v>
      </c>
      <c r="J661" t="str">
        <f t="shared" si="52"/>
        <v>Average Performance</v>
      </c>
      <c r="K661">
        <f t="shared" si="53"/>
        <v>2003</v>
      </c>
      <c r="L661" t="str">
        <f t="shared" si="54"/>
        <v>November</v>
      </c>
    </row>
    <row r="662" spans="1:12" x14ac:dyDescent="0.25">
      <c r="A662" t="s">
        <v>75</v>
      </c>
      <c r="B662" t="s">
        <v>258</v>
      </c>
      <c r="C662" t="s">
        <v>262</v>
      </c>
      <c r="D662" t="str">
        <f t="shared" si="50"/>
        <v>Classic Cars</v>
      </c>
      <c r="E662" t="s">
        <v>293</v>
      </c>
      <c r="F662" s="5">
        <v>7381.16</v>
      </c>
      <c r="G662" s="5">
        <v>1476.232</v>
      </c>
      <c r="I662" t="str">
        <f t="shared" si="51"/>
        <v>Low Sales</v>
      </c>
      <c r="J662" t="str">
        <f t="shared" si="52"/>
        <v>Average Performance</v>
      </c>
      <c r="K662">
        <f t="shared" si="53"/>
        <v>2003</v>
      </c>
      <c r="L662" t="str">
        <f t="shared" si="54"/>
        <v>November</v>
      </c>
    </row>
    <row r="663" spans="1:12" x14ac:dyDescent="0.25">
      <c r="A663" t="s">
        <v>40</v>
      </c>
      <c r="C663" t="s">
        <v>262</v>
      </c>
      <c r="D663" t="str">
        <f t="shared" si="50"/>
        <v>Classic Cars</v>
      </c>
      <c r="E663" t="s">
        <v>293</v>
      </c>
      <c r="F663" s="5">
        <v>5128.1099999999997</v>
      </c>
      <c r="G663" s="5">
        <v>1025.6220000000001</v>
      </c>
      <c r="I663" t="str">
        <f t="shared" si="51"/>
        <v>Low Sales</v>
      </c>
      <c r="J663" t="str">
        <f t="shared" si="52"/>
        <v>Average Performance</v>
      </c>
      <c r="K663">
        <f t="shared" si="53"/>
        <v>2003</v>
      </c>
      <c r="L663" t="str">
        <f t="shared" si="54"/>
        <v>November</v>
      </c>
    </row>
    <row r="664" spans="1:12" x14ac:dyDescent="0.25">
      <c r="A664" t="s">
        <v>97</v>
      </c>
      <c r="C664" t="s">
        <v>262</v>
      </c>
      <c r="D664" t="str">
        <f t="shared" si="50"/>
        <v>Classic Cars</v>
      </c>
      <c r="E664" t="s">
        <v>293</v>
      </c>
      <c r="F664" s="5">
        <v>7060.24</v>
      </c>
      <c r="G664" s="5">
        <v>1412.048</v>
      </c>
      <c r="I664" t="str">
        <f t="shared" si="51"/>
        <v>Low Sales</v>
      </c>
      <c r="J664" t="str">
        <f t="shared" si="52"/>
        <v>Average Performance</v>
      </c>
      <c r="K664">
        <f t="shared" si="53"/>
        <v>2003</v>
      </c>
      <c r="L664" t="str">
        <f t="shared" si="54"/>
        <v>December</v>
      </c>
    </row>
    <row r="665" spans="1:12" x14ac:dyDescent="0.25">
      <c r="A665" t="s">
        <v>152</v>
      </c>
      <c r="C665" t="s">
        <v>262</v>
      </c>
      <c r="D665" t="str">
        <f t="shared" si="50"/>
        <v>Classic Cars</v>
      </c>
      <c r="E665" t="s">
        <v>293</v>
      </c>
      <c r="F665" s="5">
        <v>8448.64</v>
      </c>
      <c r="G665" s="5">
        <v>1689.7280000000001</v>
      </c>
      <c r="I665" t="str">
        <f t="shared" si="51"/>
        <v>Low Sales</v>
      </c>
      <c r="J665" t="str">
        <f t="shared" si="52"/>
        <v>Average Performance</v>
      </c>
      <c r="K665">
        <f t="shared" si="53"/>
        <v>2004</v>
      </c>
      <c r="L665" t="str">
        <f t="shared" si="54"/>
        <v>February</v>
      </c>
    </row>
    <row r="666" spans="1:12" x14ac:dyDescent="0.25">
      <c r="A666" t="s">
        <v>141</v>
      </c>
      <c r="B666" t="s">
        <v>258</v>
      </c>
      <c r="C666" t="s">
        <v>262</v>
      </c>
      <c r="D666" t="str">
        <f t="shared" si="50"/>
        <v>Classic Cars</v>
      </c>
      <c r="E666" t="s">
        <v>293</v>
      </c>
      <c r="F666" s="5">
        <v>7300.51</v>
      </c>
      <c r="G666" s="5">
        <v>1460.1020000000001</v>
      </c>
      <c r="I666" t="str">
        <f t="shared" si="51"/>
        <v>Low Sales</v>
      </c>
      <c r="J666" t="str">
        <f t="shared" si="52"/>
        <v>Average Performance</v>
      </c>
      <c r="K666">
        <f t="shared" si="53"/>
        <v>2004</v>
      </c>
      <c r="L666" t="str">
        <f t="shared" si="54"/>
        <v>March</v>
      </c>
    </row>
    <row r="667" spans="1:12" x14ac:dyDescent="0.25">
      <c r="A667" t="s">
        <v>131</v>
      </c>
      <c r="B667" t="s">
        <v>258</v>
      </c>
      <c r="C667" t="s">
        <v>262</v>
      </c>
      <c r="D667" t="str">
        <f t="shared" si="50"/>
        <v>Classic Cars</v>
      </c>
      <c r="E667" t="s">
        <v>293</v>
      </c>
      <c r="F667" s="5">
        <v>6549.2</v>
      </c>
      <c r="G667" s="5">
        <v>1309.8399999999999</v>
      </c>
      <c r="I667" t="str">
        <f t="shared" si="51"/>
        <v>Low Sales</v>
      </c>
      <c r="J667" t="str">
        <f t="shared" si="52"/>
        <v>Average Performance</v>
      </c>
      <c r="K667">
        <f t="shared" si="53"/>
        <v>2004</v>
      </c>
      <c r="L667" t="str">
        <f t="shared" si="54"/>
        <v>May</v>
      </c>
    </row>
    <row r="668" spans="1:12" x14ac:dyDescent="0.25">
      <c r="A668" t="s">
        <v>45</v>
      </c>
      <c r="B668" t="s">
        <v>259</v>
      </c>
      <c r="C668" t="s">
        <v>262</v>
      </c>
      <c r="D668" t="str">
        <f t="shared" si="50"/>
        <v>Classic Cars</v>
      </c>
      <c r="E668" t="s">
        <v>293</v>
      </c>
      <c r="F668" s="5">
        <v>5697.9</v>
      </c>
      <c r="G668" s="5">
        <v>1139.58</v>
      </c>
      <c r="I668" t="str">
        <f t="shared" si="51"/>
        <v>Low Sales</v>
      </c>
      <c r="J668" t="str">
        <f t="shared" si="52"/>
        <v>Average Performance</v>
      </c>
      <c r="K668">
        <f t="shared" si="53"/>
        <v>2004</v>
      </c>
      <c r="L668" t="str">
        <f t="shared" si="54"/>
        <v>June</v>
      </c>
    </row>
    <row r="669" spans="1:12" x14ac:dyDescent="0.25">
      <c r="A669" t="s">
        <v>132</v>
      </c>
      <c r="C669" t="s">
        <v>262</v>
      </c>
      <c r="D669" t="str">
        <f t="shared" si="50"/>
        <v>Classic Cars</v>
      </c>
      <c r="E669" t="s">
        <v>293</v>
      </c>
      <c r="F669" s="5">
        <v>9169</v>
      </c>
      <c r="G669" s="5">
        <v>1833.8</v>
      </c>
      <c r="I669" t="str">
        <f t="shared" si="51"/>
        <v>Low Sales</v>
      </c>
      <c r="J669" t="str">
        <f t="shared" si="52"/>
        <v>Average Performance</v>
      </c>
      <c r="K669">
        <f t="shared" si="53"/>
        <v>2004</v>
      </c>
      <c r="L669" t="str">
        <f t="shared" si="54"/>
        <v>July</v>
      </c>
    </row>
    <row r="670" spans="1:12" x14ac:dyDescent="0.25">
      <c r="A670" t="s">
        <v>82</v>
      </c>
      <c r="C670" t="s">
        <v>262</v>
      </c>
      <c r="D670" t="str">
        <f t="shared" si="50"/>
        <v>Classic Cars</v>
      </c>
      <c r="E670" t="s">
        <v>293</v>
      </c>
      <c r="F670" s="5">
        <v>3238.63</v>
      </c>
      <c r="G670" s="5">
        <v>647.72600000000011</v>
      </c>
      <c r="I670" t="str">
        <f t="shared" si="51"/>
        <v>Low Sales</v>
      </c>
      <c r="J670" t="str">
        <f t="shared" si="52"/>
        <v>Average Performance</v>
      </c>
      <c r="K670">
        <f t="shared" si="53"/>
        <v>2004</v>
      </c>
      <c r="L670" t="str">
        <f t="shared" si="54"/>
        <v>August</v>
      </c>
    </row>
    <row r="671" spans="1:12" x14ac:dyDescent="0.25">
      <c r="A671" t="s">
        <v>48</v>
      </c>
      <c r="C671" t="s">
        <v>262</v>
      </c>
      <c r="D671" t="str">
        <f t="shared" si="50"/>
        <v>Classic Cars</v>
      </c>
      <c r="E671" t="s">
        <v>293</v>
      </c>
      <c r="F671" s="5">
        <v>4554.9399999999996</v>
      </c>
      <c r="G671" s="5">
        <v>910.98799999999994</v>
      </c>
      <c r="I671" t="str">
        <f t="shared" si="51"/>
        <v>Low Sales</v>
      </c>
      <c r="J671" t="str">
        <f t="shared" si="52"/>
        <v>Average Performance</v>
      </c>
      <c r="K671">
        <f t="shared" si="53"/>
        <v>2004</v>
      </c>
      <c r="L671" t="str">
        <f t="shared" si="54"/>
        <v>September</v>
      </c>
    </row>
    <row r="672" spans="1:12" x14ac:dyDescent="0.25">
      <c r="A672" t="s">
        <v>101</v>
      </c>
      <c r="C672" t="s">
        <v>262</v>
      </c>
      <c r="D672" t="str">
        <f t="shared" si="50"/>
        <v>Classic Cars</v>
      </c>
      <c r="E672" t="s">
        <v>293</v>
      </c>
      <c r="F672" s="5">
        <v>3934.44</v>
      </c>
      <c r="G672" s="5">
        <v>786.88800000000003</v>
      </c>
      <c r="I672" t="str">
        <f t="shared" si="51"/>
        <v>Low Sales</v>
      </c>
      <c r="J672" t="str">
        <f t="shared" si="52"/>
        <v>Average Performance</v>
      </c>
      <c r="K672">
        <f t="shared" si="53"/>
        <v>2004</v>
      </c>
      <c r="L672" t="str">
        <f t="shared" si="54"/>
        <v>October</v>
      </c>
    </row>
    <row r="673" spans="1:12" x14ac:dyDescent="0.25">
      <c r="A673" t="s">
        <v>102</v>
      </c>
      <c r="B673" t="s">
        <v>258</v>
      </c>
      <c r="C673" t="s">
        <v>262</v>
      </c>
      <c r="D673" t="str">
        <f t="shared" si="50"/>
        <v>Classic Cars</v>
      </c>
      <c r="E673" t="s">
        <v>293</v>
      </c>
      <c r="F673" s="5">
        <v>5776.26</v>
      </c>
      <c r="G673" s="5">
        <v>1155.252</v>
      </c>
      <c r="I673" t="str">
        <f t="shared" si="51"/>
        <v>Low Sales</v>
      </c>
      <c r="J673" t="str">
        <f t="shared" si="52"/>
        <v>Average Performance</v>
      </c>
      <c r="K673">
        <f t="shared" si="53"/>
        <v>2004</v>
      </c>
      <c r="L673" t="str">
        <f t="shared" si="54"/>
        <v>October</v>
      </c>
    </row>
    <row r="674" spans="1:12" x14ac:dyDescent="0.25">
      <c r="A674" t="s">
        <v>86</v>
      </c>
      <c r="C674" t="s">
        <v>262</v>
      </c>
      <c r="D674" t="str">
        <f t="shared" si="50"/>
        <v>Classic Cars</v>
      </c>
      <c r="E674" t="s">
        <v>293</v>
      </c>
      <c r="F674" s="5">
        <v>7207.45</v>
      </c>
      <c r="G674" s="5">
        <v>1441.49</v>
      </c>
      <c r="I674" t="str">
        <f t="shared" si="51"/>
        <v>Low Sales</v>
      </c>
      <c r="J674" t="str">
        <f t="shared" si="52"/>
        <v>Average Performance</v>
      </c>
      <c r="K674">
        <f t="shared" si="53"/>
        <v>2004</v>
      </c>
      <c r="L674" t="str">
        <f t="shared" si="54"/>
        <v>November</v>
      </c>
    </row>
    <row r="675" spans="1:12" x14ac:dyDescent="0.25">
      <c r="A675" t="s">
        <v>134</v>
      </c>
      <c r="B675" t="s">
        <v>258</v>
      </c>
      <c r="C675" t="s">
        <v>262</v>
      </c>
      <c r="D675" t="str">
        <f t="shared" si="50"/>
        <v>Classic Cars</v>
      </c>
      <c r="E675" t="s">
        <v>293</v>
      </c>
      <c r="F675" s="5">
        <v>7460.74</v>
      </c>
      <c r="G675" s="5">
        <v>1492.1479999999999</v>
      </c>
      <c r="I675" t="str">
        <f t="shared" si="51"/>
        <v>Low Sales</v>
      </c>
      <c r="J675" t="str">
        <f t="shared" si="52"/>
        <v>Average Performance</v>
      </c>
      <c r="K675">
        <f t="shared" si="53"/>
        <v>2004</v>
      </c>
      <c r="L675" t="str">
        <f t="shared" si="54"/>
        <v>November</v>
      </c>
    </row>
    <row r="676" spans="1:12" x14ac:dyDescent="0.25">
      <c r="A676" t="s">
        <v>146</v>
      </c>
      <c r="C676" t="s">
        <v>262</v>
      </c>
      <c r="D676" t="str">
        <f t="shared" si="50"/>
        <v>Classic Cars</v>
      </c>
      <c r="E676" t="s">
        <v>293</v>
      </c>
      <c r="F676" s="5">
        <v>6719.54</v>
      </c>
      <c r="G676" s="5">
        <v>1343.9079999999999</v>
      </c>
      <c r="I676" t="str">
        <f t="shared" si="51"/>
        <v>Low Sales</v>
      </c>
      <c r="J676" t="str">
        <f t="shared" si="52"/>
        <v>Average Performance</v>
      </c>
      <c r="K676">
        <f t="shared" si="53"/>
        <v>2004</v>
      </c>
      <c r="L676" t="str">
        <f t="shared" si="54"/>
        <v>December</v>
      </c>
    </row>
    <row r="677" spans="1:12" x14ac:dyDescent="0.25">
      <c r="A677" t="s">
        <v>54</v>
      </c>
      <c r="B677" t="s">
        <v>258</v>
      </c>
      <c r="C677" t="s">
        <v>262</v>
      </c>
      <c r="D677" t="str">
        <f t="shared" si="50"/>
        <v>Classic Cars</v>
      </c>
      <c r="E677" t="s">
        <v>293</v>
      </c>
      <c r="F677" s="5">
        <v>2428</v>
      </c>
      <c r="G677" s="5">
        <v>485.6</v>
      </c>
      <c r="I677" t="str">
        <f t="shared" si="51"/>
        <v>Low Sales</v>
      </c>
      <c r="J677" t="str">
        <f t="shared" si="52"/>
        <v>Average Performance</v>
      </c>
      <c r="K677">
        <f t="shared" si="53"/>
        <v>2004</v>
      </c>
      <c r="L677" t="str">
        <f t="shared" si="54"/>
        <v>December</v>
      </c>
    </row>
    <row r="678" spans="1:12" x14ac:dyDescent="0.25">
      <c r="A678" t="s">
        <v>135</v>
      </c>
      <c r="C678" t="s">
        <v>262</v>
      </c>
      <c r="D678" t="str">
        <f t="shared" si="50"/>
        <v>Classic Cars</v>
      </c>
      <c r="E678" t="s">
        <v>293</v>
      </c>
      <c r="F678" s="5">
        <v>2602.25</v>
      </c>
      <c r="G678" s="5">
        <v>520.45000000000005</v>
      </c>
      <c r="I678" t="str">
        <f t="shared" si="51"/>
        <v>Low Sales</v>
      </c>
      <c r="J678" t="str">
        <f t="shared" si="52"/>
        <v>Average Performance</v>
      </c>
      <c r="K678">
        <f t="shared" si="53"/>
        <v>2005</v>
      </c>
      <c r="L678" t="str">
        <f t="shared" si="54"/>
        <v>January</v>
      </c>
    </row>
    <row r="679" spans="1:12" x14ac:dyDescent="0.25">
      <c r="A679" t="s">
        <v>56</v>
      </c>
      <c r="C679" t="s">
        <v>262</v>
      </c>
      <c r="D679" t="str">
        <f t="shared" si="50"/>
        <v>Classic Cars</v>
      </c>
      <c r="E679" t="s">
        <v>293</v>
      </c>
      <c r="F679" s="5">
        <v>2200</v>
      </c>
      <c r="G679" s="5">
        <v>440</v>
      </c>
      <c r="I679" t="str">
        <f t="shared" si="51"/>
        <v>Low Sales</v>
      </c>
      <c r="J679" t="str">
        <f t="shared" si="52"/>
        <v>Average Performance</v>
      </c>
      <c r="K679">
        <f t="shared" si="53"/>
        <v>2005</v>
      </c>
      <c r="L679" t="str">
        <f t="shared" si="54"/>
        <v>February</v>
      </c>
    </row>
    <row r="680" spans="1:12" x14ac:dyDescent="0.25">
      <c r="A680" t="s">
        <v>153</v>
      </c>
      <c r="B680" t="s">
        <v>258</v>
      </c>
      <c r="C680" t="s">
        <v>262</v>
      </c>
      <c r="D680" t="str">
        <f t="shared" si="50"/>
        <v>Classic Cars</v>
      </c>
      <c r="E680" t="s">
        <v>293</v>
      </c>
      <c r="F680" s="5">
        <v>6712.93</v>
      </c>
      <c r="G680" s="5">
        <v>1342.586</v>
      </c>
      <c r="I680" t="str">
        <f t="shared" si="51"/>
        <v>Low Sales</v>
      </c>
      <c r="J680" t="str">
        <f t="shared" si="52"/>
        <v>Average Performance</v>
      </c>
      <c r="K680">
        <f t="shared" si="53"/>
        <v>2005</v>
      </c>
      <c r="L680" t="str">
        <f t="shared" si="54"/>
        <v>May</v>
      </c>
    </row>
    <row r="681" spans="1:12" x14ac:dyDescent="0.25">
      <c r="A681" t="s">
        <v>59</v>
      </c>
      <c r="B681" t="s">
        <v>258</v>
      </c>
      <c r="C681" t="s">
        <v>262</v>
      </c>
      <c r="D681" t="str">
        <f t="shared" si="50"/>
        <v>Classic Cars</v>
      </c>
      <c r="E681" t="s">
        <v>293</v>
      </c>
      <c r="F681" s="5">
        <v>5318.04</v>
      </c>
      <c r="G681" s="5">
        <v>1063.6079999999999</v>
      </c>
      <c r="I681" t="str">
        <f t="shared" si="51"/>
        <v>Low Sales</v>
      </c>
      <c r="J681" t="str">
        <f t="shared" si="52"/>
        <v>Average Performance</v>
      </c>
      <c r="K681">
        <f t="shared" si="53"/>
        <v>2005</v>
      </c>
      <c r="L681" t="str">
        <f t="shared" si="54"/>
        <v>May</v>
      </c>
    </row>
    <row r="682" spans="1:12" x14ac:dyDescent="0.25">
      <c r="A682" t="s">
        <v>205</v>
      </c>
      <c r="C682" t="s">
        <v>264</v>
      </c>
      <c r="D682" t="str">
        <f t="shared" si="50"/>
        <v>Vintage Cars</v>
      </c>
      <c r="E682" t="s">
        <v>294</v>
      </c>
      <c r="F682" s="5">
        <v>3390</v>
      </c>
      <c r="G682" s="5">
        <v>678</v>
      </c>
      <c r="I682" t="str">
        <f t="shared" si="51"/>
        <v>Low Sales</v>
      </c>
      <c r="J682" t="str">
        <f t="shared" si="52"/>
        <v>Average Performance</v>
      </c>
      <c r="K682">
        <f t="shared" si="53"/>
        <v>2003</v>
      </c>
      <c r="L682" t="str">
        <f t="shared" si="54"/>
        <v>January</v>
      </c>
    </row>
    <row r="683" spans="1:12" x14ac:dyDescent="0.25">
      <c r="A683" t="s">
        <v>184</v>
      </c>
      <c r="B683" t="s">
        <v>258</v>
      </c>
      <c r="C683" t="s">
        <v>264</v>
      </c>
      <c r="D683" t="str">
        <f t="shared" si="50"/>
        <v>Vintage Cars</v>
      </c>
      <c r="E683" t="s">
        <v>294</v>
      </c>
      <c r="F683" s="5">
        <v>1608</v>
      </c>
      <c r="G683" s="5">
        <v>321.60000000000002</v>
      </c>
      <c r="I683" t="str">
        <f t="shared" si="51"/>
        <v>Low Sales</v>
      </c>
      <c r="J683" t="str">
        <f t="shared" si="52"/>
        <v>Average Performance</v>
      </c>
      <c r="K683">
        <f t="shared" si="53"/>
        <v>2003</v>
      </c>
      <c r="L683" t="str">
        <f t="shared" si="54"/>
        <v>March</v>
      </c>
    </row>
    <row r="684" spans="1:12" x14ac:dyDescent="0.25">
      <c r="A684" t="s">
        <v>172</v>
      </c>
      <c r="C684" t="s">
        <v>264</v>
      </c>
      <c r="D684" t="str">
        <f t="shared" si="50"/>
        <v>Vintage Cars</v>
      </c>
      <c r="E684" t="s">
        <v>294</v>
      </c>
      <c r="F684" s="5">
        <v>2262.96</v>
      </c>
      <c r="G684" s="5">
        <v>452.59199999999998</v>
      </c>
      <c r="I684" t="str">
        <f t="shared" si="51"/>
        <v>Low Sales</v>
      </c>
      <c r="J684" t="str">
        <f t="shared" si="52"/>
        <v>Average Performance</v>
      </c>
      <c r="K684">
        <f t="shared" si="53"/>
        <v>2003</v>
      </c>
      <c r="L684" t="str">
        <f t="shared" si="54"/>
        <v>May</v>
      </c>
    </row>
    <row r="685" spans="1:12" x14ac:dyDescent="0.25">
      <c r="A685" t="s">
        <v>174</v>
      </c>
      <c r="C685" t="s">
        <v>264</v>
      </c>
      <c r="D685" t="str">
        <f t="shared" si="50"/>
        <v>Vintage Cars</v>
      </c>
      <c r="E685" t="s">
        <v>294</v>
      </c>
      <c r="F685" s="5">
        <v>1496.64</v>
      </c>
      <c r="G685" s="5">
        <v>299.32799999999997</v>
      </c>
      <c r="I685" t="str">
        <f t="shared" si="51"/>
        <v>Low Sales</v>
      </c>
      <c r="J685" t="str">
        <f t="shared" si="52"/>
        <v>Average Performance</v>
      </c>
      <c r="K685">
        <f t="shared" si="53"/>
        <v>2003</v>
      </c>
      <c r="L685" t="str">
        <f t="shared" si="54"/>
        <v>September</v>
      </c>
    </row>
    <row r="686" spans="1:12" x14ac:dyDescent="0.25">
      <c r="A686" t="s">
        <v>175</v>
      </c>
      <c r="C686" t="s">
        <v>264</v>
      </c>
      <c r="D686" t="str">
        <f t="shared" si="50"/>
        <v>Vintage Cars</v>
      </c>
      <c r="E686" t="s">
        <v>294</v>
      </c>
      <c r="F686" s="5">
        <v>1879.74</v>
      </c>
      <c r="G686" s="5">
        <v>375.94799999999998</v>
      </c>
      <c r="I686" t="str">
        <f t="shared" si="51"/>
        <v>Low Sales</v>
      </c>
      <c r="J686" t="str">
        <f t="shared" si="52"/>
        <v>Average Performance</v>
      </c>
      <c r="K686">
        <f t="shared" si="53"/>
        <v>2003</v>
      </c>
      <c r="L686" t="str">
        <f t="shared" si="54"/>
        <v>October</v>
      </c>
    </row>
    <row r="687" spans="1:12" x14ac:dyDescent="0.25">
      <c r="A687" t="s">
        <v>161</v>
      </c>
      <c r="B687" t="s">
        <v>258</v>
      </c>
      <c r="C687" t="s">
        <v>264</v>
      </c>
      <c r="D687" t="str">
        <f t="shared" si="50"/>
        <v>Vintage Cars</v>
      </c>
      <c r="E687" t="s">
        <v>294</v>
      </c>
      <c r="F687" s="5">
        <v>1495.26</v>
      </c>
      <c r="G687" s="5">
        <v>299.05200000000002</v>
      </c>
      <c r="I687" t="str">
        <f t="shared" si="51"/>
        <v>Low Sales</v>
      </c>
      <c r="J687" t="str">
        <f t="shared" si="52"/>
        <v>Average Performance</v>
      </c>
      <c r="K687">
        <f t="shared" si="53"/>
        <v>2003</v>
      </c>
      <c r="L687" t="str">
        <f t="shared" si="54"/>
        <v>November</v>
      </c>
    </row>
    <row r="688" spans="1:12" x14ac:dyDescent="0.25">
      <c r="A688" t="s">
        <v>109</v>
      </c>
      <c r="C688" t="s">
        <v>264</v>
      </c>
      <c r="D688" t="str">
        <f t="shared" si="50"/>
        <v>Vintage Cars</v>
      </c>
      <c r="E688" t="s">
        <v>294</v>
      </c>
      <c r="F688" s="5">
        <v>2323.6999999999998</v>
      </c>
      <c r="G688" s="5">
        <v>464.74</v>
      </c>
      <c r="I688" t="str">
        <f t="shared" si="51"/>
        <v>Low Sales</v>
      </c>
      <c r="J688" t="str">
        <f t="shared" si="52"/>
        <v>Average Performance</v>
      </c>
      <c r="K688">
        <f t="shared" si="53"/>
        <v>2003</v>
      </c>
      <c r="L688" t="str">
        <f t="shared" si="54"/>
        <v>November</v>
      </c>
    </row>
    <row r="689" spans="1:12" x14ac:dyDescent="0.25">
      <c r="A689" t="s">
        <v>176</v>
      </c>
      <c r="B689" t="s">
        <v>259</v>
      </c>
      <c r="C689" t="s">
        <v>264</v>
      </c>
      <c r="D689" t="str">
        <f t="shared" si="50"/>
        <v>Vintage Cars</v>
      </c>
      <c r="E689" t="s">
        <v>294</v>
      </c>
      <c r="F689" s="5">
        <v>2491.86</v>
      </c>
      <c r="G689" s="5">
        <v>498.37200000000013</v>
      </c>
      <c r="I689" t="str">
        <f t="shared" si="51"/>
        <v>Low Sales</v>
      </c>
      <c r="J689" t="str">
        <f t="shared" si="52"/>
        <v>Average Performance</v>
      </c>
      <c r="K689">
        <f t="shared" si="53"/>
        <v>2003</v>
      </c>
      <c r="L689" t="str">
        <f t="shared" si="54"/>
        <v>November</v>
      </c>
    </row>
    <row r="690" spans="1:12" x14ac:dyDescent="0.25">
      <c r="A690" t="s">
        <v>111</v>
      </c>
      <c r="C690" t="s">
        <v>264</v>
      </c>
      <c r="D690" t="str">
        <f t="shared" si="50"/>
        <v>Vintage Cars</v>
      </c>
      <c r="E690" t="s">
        <v>294</v>
      </c>
      <c r="F690" s="5">
        <v>1643.12</v>
      </c>
      <c r="G690" s="5">
        <v>328.62400000000002</v>
      </c>
      <c r="I690" t="str">
        <f t="shared" si="51"/>
        <v>Low Sales</v>
      </c>
      <c r="J690" t="str">
        <f t="shared" si="52"/>
        <v>Average Performance</v>
      </c>
      <c r="K690">
        <f t="shared" si="53"/>
        <v>2003</v>
      </c>
      <c r="L690" t="str">
        <f t="shared" si="54"/>
        <v>December</v>
      </c>
    </row>
    <row r="691" spans="1:12" x14ac:dyDescent="0.25">
      <c r="A691" t="s">
        <v>206</v>
      </c>
      <c r="B691" t="s">
        <v>258</v>
      </c>
      <c r="C691" t="s">
        <v>264</v>
      </c>
      <c r="D691" t="str">
        <f t="shared" si="50"/>
        <v>Vintage Cars</v>
      </c>
      <c r="E691" t="s">
        <v>294</v>
      </c>
      <c r="F691" s="5">
        <v>1322.16</v>
      </c>
      <c r="G691" s="5">
        <v>264.43200000000002</v>
      </c>
      <c r="I691" t="str">
        <f t="shared" si="51"/>
        <v>Low Sales</v>
      </c>
      <c r="J691" t="str">
        <f t="shared" si="52"/>
        <v>Average Performance</v>
      </c>
      <c r="K691">
        <f t="shared" si="53"/>
        <v>2004</v>
      </c>
      <c r="L691" t="str">
        <f t="shared" si="54"/>
        <v>January</v>
      </c>
    </row>
    <row r="692" spans="1:12" x14ac:dyDescent="0.25">
      <c r="A692" t="s">
        <v>178</v>
      </c>
      <c r="B692" t="s">
        <v>258</v>
      </c>
      <c r="C692" t="s">
        <v>264</v>
      </c>
      <c r="D692" t="str">
        <f t="shared" si="50"/>
        <v>Vintage Cars</v>
      </c>
      <c r="E692" t="s">
        <v>294</v>
      </c>
      <c r="F692" s="5">
        <v>1423.8</v>
      </c>
      <c r="G692" s="5">
        <v>284.76</v>
      </c>
      <c r="I692" t="str">
        <f t="shared" si="51"/>
        <v>Low Sales</v>
      </c>
      <c r="J692" t="str">
        <f t="shared" si="52"/>
        <v>Average Performance</v>
      </c>
      <c r="K692">
        <f t="shared" si="53"/>
        <v>2004</v>
      </c>
      <c r="L692" t="str">
        <f t="shared" si="54"/>
        <v>March</v>
      </c>
    </row>
    <row r="693" spans="1:12" x14ac:dyDescent="0.25">
      <c r="A693" t="s">
        <v>162</v>
      </c>
      <c r="B693" t="s">
        <v>258</v>
      </c>
      <c r="C693" t="s">
        <v>264</v>
      </c>
      <c r="D693" t="str">
        <f t="shared" si="50"/>
        <v>Vintage Cars</v>
      </c>
      <c r="E693" t="s">
        <v>294</v>
      </c>
      <c r="F693" s="5">
        <v>2397.4499999999998</v>
      </c>
      <c r="G693" s="5">
        <v>479.49</v>
      </c>
      <c r="I693" t="str">
        <f t="shared" si="51"/>
        <v>Low Sales</v>
      </c>
      <c r="J693" t="str">
        <f t="shared" si="52"/>
        <v>Average Performance</v>
      </c>
      <c r="K693">
        <f t="shared" si="53"/>
        <v>2004</v>
      </c>
      <c r="L693" t="str">
        <f t="shared" si="54"/>
        <v>April</v>
      </c>
    </row>
    <row r="694" spans="1:12" x14ac:dyDescent="0.25">
      <c r="A694" t="s">
        <v>47</v>
      </c>
      <c r="B694" t="s">
        <v>258</v>
      </c>
      <c r="C694" t="s">
        <v>264</v>
      </c>
      <c r="D694" t="str">
        <f t="shared" si="50"/>
        <v>Vintage Cars</v>
      </c>
      <c r="E694" t="s">
        <v>294</v>
      </c>
      <c r="F694" s="5">
        <v>1574</v>
      </c>
      <c r="G694" s="5">
        <v>314.8</v>
      </c>
      <c r="I694" t="str">
        <f t="shared" si="51"/>
        <v>Low Sales</v>
      </c>
      <c r="J694" t="str">
        <f t="shared" si="52"/>
        <v>Average Performance</v>
      </c>
      <c r="K694">
        <f t="shared" si="53"/>
        <v>2004</v>
      </c>
      <c r="L694" t="str">
        <f t="shared" si="54"/>
        <v>August</v>
      </c>
    </row>
    <row r="695" spans="1:12" x14ac:dyDescent="0.25">
      <c r="A695" t="s">
        <v>188</v>
      </c>
      <c r="B695" t="s">
        <v>259</v>
      </c>
      <c r="C695" t="s">
        <v>264</v>
      </c>
      <c r="D695" t="str">
        <f t="shared" si="50"/>
        <v>Vintage Cars</v>
      </c>
      <c r="E695" t="s">
        <v>294</v>
      </c>
      <c r="F695" s="5">
        <v>1729</v>
      </c>
      <c r="G695" s="5">
        <v>345.8</v>
      </c>
      <c r="I695" t="str">
        <f t="shared" si="51"/>
        <v>Low Sales</v>
      </c>
      <c r="J695" t="str">
        <f t="shared" si="52"/>
        <v>Average Performance</v>
      </c>
      <c r="K695">
        <f t="shared" si="53"/>
        <v>2004</v>
      </c>
      <c r="L695" t="str">
        <f t="shared" si="54"/>
        <v>September</v>
      </c>
    </row>
    <row r="696" spans="1:12" x14ac:dyDescent="0.25">
      <c r="A696" t="s">
        <v>210</v>
      </c>
      <c r="B696" t="s">
        <v>258</v>
      </c>
      <c r="C696" t="s">
        <v>264</v>
      </c>
      <c r="D696" t="str">
        <f t="shared" si="50"/>
        <v>Vintage Cars</v>
      </c>
      <c r="E696" t="s">
        <v>294</v>
      </c>
      <c r="F696" s="5">
        <v>2255.84</v>
      </c>
      <c r="G696" s="5">
        <v>451.16800000000012</v>
      </c>
      <c r="I696" t="str">
        <f t="shared" si="51"/>
        <v>Low Sales</v>
      </c>
      <c r="J696" t="str">
        <f t="shared" si="52"/>
        <v>Average Performance</v>
      </c>
      <c r="K696">
        <f t="shared" si="53"/>
        <v>2004</v>
      </c>
      <c r="L696" t="str">
        <f t="shared" si="54"/>
        <v>October</v>
      </c>
    </row>
    <row r="697" spans="1:12" x14ac:dyDescent="0.25">
      <c r="A697" t="s">
        <v>50</v>
      </c>
      <c r="C697" t="s">
        <v>264</v>
      </c>
      <c r="D697" t="str">
        <f t="shared" si="50"/>
        <v>Vintage Cars</v>
      </c>
      <c r="E697" t="s">
        <v>294</v>
      </c>
      <c r="F697" s="5">
        <v>1834.5</v>
      </c>
      <c r="G697" s="5">
        <v>366.9</v>
      </c>
      <c r="I697" t="str">
        <f t="shared" si="51"/>
        <v>Low Sales</v>
      </c>
      <c r="J697" t="str">
        <f t="shared" si="52"/>
        <v>Average Performance</v>
      </c>
      <c r="K697">
        <f t="shared" si="53"/>
        <v>2004</v>
      </c>
      <c r="L697" t="str">
        <f t="shared" si="54"/>
        <v>October</v>
      </c>
    </row>
    <row r="698" spans="1:12" x14ac:dyDescent="0.25">
      <c r="A698" t="s">
        <v>165</v>
      </c>
      <c r="B698" t="s">
        <v>258</v>
      </c>
      <c r="C698" t="s">
        <v>264</v>
      </c>
      <c r="D698" t="str">
        <f t="shared" si="50"/>
        <v>Vintage Cars</v>
      </c>
      <c r="E698" t="s">
        <v>294</v>
      </c>
      <c r="F698" s="5">
        <v>3201.5</v>
      </c>
      <c r="G698" s="5">
        <v>640.30000000000007</v>
      </c>
      <c r="I698" t="str">
        <f t="shared" si="51"/>
        <v>Low Sales</v>
      </c>
      <c r="J698" t="str">
        <f t="shared" si="52"/>
        <v>Average Performance</v>
      </c>
      <c r="K698">
        <f t="shared" si="53"/>
        <v>2004</v>
      </c>
      <c r="L698" t="str">
        <f t="shared" si="54"/>
        <v>November</v>
      </c>
    </row>
    <row r="699" spans="1:12" x14ac:dyDescent="0.25">
      <c r="A699" t="s">
        <v>207</v>
      </c>
      <c r="B699" t="s">
        <v>258</v>
      </c>
      <c r="C699" t="s">
        <v>264</v>
      </c>
      <c r="D699" t="str">
        <f t="shared" si="50"/>
        <v>Vintage Cars</v>
      </c>
      <c r="E699" t="s">
        <v>294</v>
      </c>
      <c r="F699" s="5">
        <v>2276.4</v>
      </c>
      <c r="G699" s="5">
        <v>455.28</v>
      </c>
      <c r="I699" t="str">
        <f t="shared" si="51"/>
        <v>Low Sales</v>
      </c>
      <c r="J699" t="str">
        <f t="shared" si="52"/>
        <v>Average Performance</v>
      </c>
      <c r="K699">
        <f t="shared" si="53"/>
        <v>2004</v>
      </c>
      <c r="L699" t="str">
        <f t="shared" si="54"/>
        <v>November</v>
      </c>
    </row>
    <row r="700" spans="1:12" x14ac:dyDescent="0.25">
      <c r="A700" t="s">
        <v>189</v>
      </c>
      <c r="C700" t="s">
        <v>264</v>
      </c>
      <c r="D700" t="str">
        <f t="shared" si="50"/>
        <v>Vintage Cars</v>
      </c>
      <c r="E700" t="s">
        <v>294</v>
      </c>
      <c r="F700" s="5">
        <v>8884.7999999999993</v>
      </c>
      <c r="G700" s="5">
        <v>1776.96</v>
      </c>
      <c r="I700" t="str">
        <f t="shared" si="51"/>
        <v>Low Sales</v>
      </c>
      <c r="J700" t="str">
        <f t="shared" si="52"/>
        <v>Average Performance</v>
      </c>
      <c r="K700">
        <f t="shared" si="53"/>
        <v>2005</v>
      </c>
      <c r="L700" t="str">
        <f t="shared" si="54"/>
        <v>January</v>
      </c>
    </row>
    <row r="701" spans="1:12" x14ac:dyDescent="0.25">
      <c r="A701" t="s">
        <v>190</v>
      </c>
      <c r="B701" t="s">
        <v>258</v>
      </c>
      <c r="C701" t="s">
        <v>264</v>
      </c>
      <c r="D701" t="str">
        <f t="shared" si="50"/>
        <v>Vintage Cars</v>
      </c>
      <c r="E701" t="s">
        <v>294</v>
      </c>
      <c r="F701" s="5">
        <v>1331.1</v>
      </c>
      <c r="G701" s="5">
        <v>266.22000000000003</v>
      </c>
      <c r="I701" t="str">
        <f t="shared" si="51"/>
        <v>Low Sales</v>
      </c>
      <c r="J701" t="str">
        <f t="shared" si="52"/>
        <v>Average Performance</v>
      </c>
      <c r="K701">
        <f t="shared" si="53"/>
        <v>2005</v>
      </c>
      <c r="L701" t="str">
        <f t="shared" si="54"/>
        <v>February</v>
      </c>
    </row>
    <row r="702" spans="1:12" x14ac:dyDescent="0.25">
      <c r="A702" t="s">
        <v>191</v>
      </c>
      <c r="C702" t="s">
        <v>264</v>
      </c>
      <c r="D702" t="str">
        <f t="shared" si="50"/>
        <v>Vintage Cars</v>
      </c>
      <c r="E702" t="s">
        <v>294</v>
      </c>
      <c r="F702" s="5">
        <v>3051.3</v>
      </c>
      <c r="G702" s="5">
        <v>610.2600000000001</v>
      </c>
      <c r="I702" t="str">
        <f t="shared" si="51"/>
        <v>Low Sales</v>
      </c>
      <c r="J702" t="str">
        <f t="shared" si="52"/>
        <v>Average Performance</v>
      </c>
      <c r="K702">
        <f t="shared" si="53"/>
        <v>2005</v>
      </c>
      <c r="L702" t="str">
        <f t="shared" si="54"/>
        <v>April</v>
      </c>
    </row>
    <row r="703" spans="1:12" x14ac:dyDescent="0.25">
      <c r="A703" t="s">
        <v>208</v>
      </c>
      <c r="B703" t="s">
        <v>259</v>
      </c>
      <c r="C703" t="s">
        <v>264</v>
      </c>
      <c r="D703" t="str">
        <f t="shared" si="50"/>
        <v>Vintage Cars</v>
      </c>
      <c r="E703" t="s">
        <v>294</v>
      </c>
      <c r="F703" s="5">
        <v>2288.52</v>
      </c>
      <c r="G703" s="5">
        <v>457.70400000000001</v>
      </c>
      <c r="I703" t="str">
        <f t="shared" si="51"/>
        <v>Low Sales</v>
      </c>
      <c r="J703" t="str">
        <f t="shared" si="52"/>
        <v>Average Performance</v>
      </c>
      <c r="K703">
        <f t="shared" si="53"/>
        <v>2005</v>
      </c>
      <c r="L703" t="str">
        <f t="shared" si="54"/>
        <v>May</v>
      </c>
    </row>
    <row r="704" spans="1:12" x14ac:dyDescent="0.25">
      <c r="A704" t="s">
        <v>140</v>
      </c>
      <c r="B704" t="s">
        <v>258</v>
      </c>
      <c r="C704" t="s">
        <v>263</v>
      </c>
      <c r="D704" t="str">
        <f t="shared" si="50"/>
        <v>Trucks And Buses</v>
      </c>
      <c r="E704" t="s">
        <v>295</v>
      </c>
      <c r="F704" s="5">
        <v>3772.61</v>
      </c>
      <c r="G704" s="5">
        <v>754.52200000000005</v>
      </c>
      <c r="I704" t="str">
        <f t="shared" si="51"/>
        <v>Low Sales</v>
      </c>
      <c r="J704" t="str">
        <f t="shared" si="52"/>
        <v>Average Performance</v>
      </c>
      <c r="K704">
        <f t="shared" si="53"/>
        <v>2003</v>
      </c>
      <c r="L704" t="str">
        <f t="shared" si="54"/>
        <v>January</v>
      </c>
    </row>
    <row r="705" spans="1:12" x14ac:dyDescent="0.25">
      <c r="A705" t="s">
        <v>95</v>
      </c>
      <c r="B705" t="s">
        <v>258</v>
      </c>
      <c r="C705" t="s">
        <v>263</v>
      </c>
      <c r="D705" t="str">
        <f t="shared" si="50"/>
        <v>Trucks And Buses</v>
      </c>
      <c r="E705" t="s">
        <v>295</v>
      </c>
      <c r="F705" s="5">
        <v>4164.42</v>
      </c>
      <c r="G705" s="5">
        <v>832.88400000000001</v>
      </c>
      <c r="I705" t="str">
        <f t="shared" si="51"/>
        <v>Low Sales</v>
      </c>
      <c r="J705" t="str">
        <f t="shared" si="52"/>
        <v>Average Performance</v>
      </c>
      <c r="K705">
        <f t="shared" si="53"/>
        <v>2003</v>
      </c>
      <c r="L705" t="str">
        <f t="shared" si="54"/>
        <v>April</v>
      </c>
    </row>
    <row r="706" spans="1:12" x14ac:dyDescent="0.25">
      <c r="A706" t="s">
        <v>124</v>
      </c>
      <c r="C706" t="s">
        <v>263</v>
      </c>
      <c r="D706" t="str">
        <f t="shared" si="50"/>
        <v>Trucks And Buses</v>
      </c>
      <c r="E706" t="s">
        <v>295</v>
      </c>
      <c r="F706" s="5">
        <v>6295.95</v>
      </c>
      <c r="G706" s="5">
        <v>1259.19</v>
      </c>
      <c r="I706" t="str">
        <f t="shared" si="51"/>
        <v>Low Sales</v>
      </c>
      <c r="J706" t="str">
        <f t="shared" si="52"/>
        <v>Average Performance</v>
      </c>
      <c r="K706">
        <f t="shared" si="53"/>
        <v>2003</v>
      </c>
      <c r="L706" t="str">
        <f t="shared" si="54"/>
        <v>June</v>
      </c>
    </row>
    <row r="707" spans="1:12" x14ac:dyDescent="0.25">
      <c r="A707" t="s">
        <v>150</v>
      </c>
      <c r="B707" t="s">
        <v>258</v>
      </c>
      <c r="C707" t="s">
        <v>263</v>
      </c>
      <c r="D707" t="str">
        <f t="shared" ref="D707:D770" si="55">PROPER(TRIM(C707))</f>
        <v>Trucks And Buses</v>
      </c>
      <c r="E707" t="s">
        <v>295</v>
      </c>
      <c r="F707" s="5">
        <v>6287.66</v>
      </c>
      <c r="G707" s="5">
        <v>1257.5319999999999</v>
      </c>
      <c r="I707" t="str">
        <f t="shared" ref="I707:I770" si="56">IF(F707&gt;50000,"High Sales","Low Sales")</f>
        <v>Low Sales</v>
      </c>
      <c r="J707" t="str">
        <f t="shared" ref="J707:J770" si="57">IF(AND(F707&gt;30000,G707&gt;5000),"Good Performance","Average Performance")</f>
        <v>Average Performance</v>
      </c>
      <c r="K707">
        <f t="shared" ref="K707:K770" si="58">YEAR(A707)</f>
        <v>2003</v>
      </c>
      <c r="L707" t="str">
        <f t="shared" ref="L707:L770" si="59">TEXT(A707,"mmmm")</f>
        <v>August</v>
      </c>
    </row>
    <row r="708" spans="1:12" x14ac:dyDescent="0.25">
      <c r="A708" t="s">
        <v>151</v>
      </c>
      <c r="B708" t="s">
        <v>258</v>
      </c>
      <c r="C708" t="s">
        <v>263</v>
      </c>
      <c r="D708" t="str">
        <f t="shared" si="55"/>
        <v>Trucks And Buses</v>
      </c>
      <c r="E708" t="s">
        <v>295</v>
      </c>
      <c r="F708" s="5">
        <v>5412.54</v>
      </c>
      <c r="G708" s="5">
        <v>1082.508</v>
      </c>
      <c r="I708" t="str">
        <f t="shared" si="56"/>
        <v>Low Sales</v>
      </c>
      <c r="J708" t="str">
        <f t="shared" si="57"/>
        <v>Average Performance</v>
      </c>
      <c r="K708">
        <f t="shared" si="58"/>
        <v>2003</v>
      </c>
      <c r="L708" t="str">
        <f t="shared" si="59"/>
        <v>September</v>
      </c>
    </row>
    <row r="709" spans="1:12" x14ac:dyDescent="0.25">
      <c r="A709" t="s">
        <v>127</v>
      </c>
      <c r="B709" t="s">
        <v>260</v>
      </c>
      <c r="C709" t="s">
        <v>263</v>
      </c>
      <c r="D709" t="str">
        <f t="shared" si="55"/>
        <v>Trucks And Buses</v>
      </c>
      <c r="E709" t="s">
        <v>295</v>
      </c>
      <c r="F709" s="5">
        <v>5984.14</v>
      </c>
      <c r="G709" s="5">
        <v>1196.828</v>
      </c>
      <c r="I709" t="str">
        <f t="shared" si="56"/>
        <v>Low Sales</v>
      </c>
      <c r="J709" t="str">
        <f t="shared" si="57"/>
        <v>Average Performance</v>
      </c>
      <c r="K709">
        <f t="shared" si="58"/>
        <v>2003</v>
      </c>
      <c r="L709" t="str">
        <f t="shared" si="59"/>
        <v>October</v>
      </c>
    </row>
    <row r="710" spans="1:12" x14ac:dyDescent="0.25">
      <c r="A710" t="s">
        <v>38</v>
      </c>
      <c r="B710" t="s">
        <v>258</v>
      </c>
      <c r="C710" t="s">
        <v>263</v>
      </c>
      <c r="D710" t="str">
        <f t="shared" si="55"/>
        <v>Trucks And Buses</v>
      </c>
      <c r="E710" t="s">
        <v>295</v>
      </c>
      <c r="F710" s="5">
        <v>5891.04</v>
      </c>
      <c r="G710" s="5">
        <v>1178.2080000000001</v>
      </c>
      <c r="I710" t="str">
        <f t="shared" si="56"/>
        <v>Low Sales</v>
      </c>
      <c r="J710" t="str">
        <f t="shared" si="57"/>
        <v>Average Performance</v>
      </c>
      <c r="K710">
        <f t="shared" si="58"/>
        <v>2003</v>
      </c>
      <c r="L710" t="str">
        <f t="shared" si="59"/>
        <v>November</v>
      </c>
    </row>
    <row r="711" spans="1:12" x14ac:dyDescent="0.25">
      <c r="A711" t="s">
        <v>75</v>
      </c>
      <c r="B711" t="s">
        <v>258</v>
      </c>
      <c r="C711" t="s">
        <v>263</v>
      </c>
      <c r="D711" t="str">
        <f t="shared" si="55"/>
        <v>Trucks And Buses</v>
      </c>
      <c r="E711" t="s">
        <v>295</v>
      </c>
      <c r="F711" s="5">
        <v>5984.14</v>
      </c>
      <c r="G711" s="5">
        <v>1196.828</v>
      </c>
      <c r="I711" t="str">
        <f t="shared" si="56"/>
        <v>Low Sales</v>
      </c>
      <c r="J711" t="str">
        <f t="shared" si="57"/>
        <v>Average Performance</v>
      </c>
      <c r="K711">
        <f t="shared" si="58"/>
        <v>2003</v>
      </c>
      <c r="L711" t="str">
        <f t="shared" si="59"/>
        <v>November</v>
      </c>
    </row>
    <row r="712" spans="1:12" x14ac:dyDescent="0.25">
      <c r="A712" t="s">
        <v>40</v>
      </c>
      <c r="C712" t="s">
        <v>263</v>
      </c>
      <c r="D712" t="str">
        <f t="shared" si="55"/>
        <v>Trucks And Buses</v>
      </c>
      <c r="E712" t="s">
        <v>295</v>
      </c>
      <c r="F712" s="5">
        <v>3608.15</v>
      </c>
      <c r="G712" s="5">
        <v>721.63000000000011</v>
      </c>
      <c r="I712" t="str">
        <f t="shared" si="56"/>
        <v>Low Sales</v>
      </c>
      <c r="J712" t="str">
        <f t="shared" si="57"/>
        <v>Average Performance</v>
      </c>
      <c r="K712">
        <f t="shared" si="58"/>
        <v>2003</v>
      </c>
      <c r="L712" t="str">
        <f t="shared" si="59"/>
        <v>November</v>
      </c>
    </row>
    <row r="713" spans="1:12" x14ac:dyDescent="0.25">
      <c r="A713" t="s">
        <v>97</v>
      </c>
      <c r="C713" t="s">
        <v>263</v>
      </c>
      <c r="D713" t="str">
        <f t="shared" si="55"/>
        <v>Trucks And Buses</v>
      </c>
      <c r="E713" t="s">
        <v>295</v>
      </c>
      <c r="F713" s="5">
        <v>5752.54</v>
      </c>
      <c r="G713" s="5">
        <v>1150.508</v>
      </c>
      <c r="I713" t="str">
        <f t="shared" si="56"/>
        <v>Low Sales</v>
      </c>
      <c r="J713" t="str">
        <f t="shared" si="57"/>
        <v>Average Performance</v>
      </c>
      <c r="K713">
        <f t="shared" si="58"/>
        <v>2003</v>
      </c>
      <c r="L713" t="str">
        <f t="shared" si="59"/>
        <v>December</v>
      </c>
    </row>
    <row r="714" spans="1:12" x14ac:dyDescent="0.25">
      <c r="A714" t="s">
        <v>99</v>
      </c>
      <c r="C714" t="s">
        <v>263</v>
      </c>
      <c r="D714" t="str">
        <f t="shared" si="55"/>
        <v>Trucks And Buses</v>
      </c>
      <c r="E714" t="s">
        <v>295</v>
      </c>
      <c r="F714" s="5">
        <v>3765.32</v>
      </c>
      <c r="G714" s="5">
        <v>753.06400000000008</v>
      </c>
      <c r="I714" t="str">
        <f t="shared" si="56"/>
        <v>Low Sales</v>
      </c>
      <c r="J714" t="str">
        <f t="shared" si="57"/>
        <v>Average Performance</v>
      </c>
      <c r="K714">
        <f t="shared" si="58"/>
        <v>2004</v>
      </c>
      <c r="L714" t="str">
        <f t="shared" si="59"/>
        <v>March</v>
      </c>
    </row>
    <row r="715" spans="1:12" x14ac:dyDescent="0.25">
      <c r="A715" t="s">
        <v>131</v>
      </c>
      <c r="B715" t="s">
        <v>258</v>
      </c>
      <c r="C715" t="s">
        <v>263</v>
      </c>
      <c r="D715" t="str">
        <f t="shared" si="55"/>
        <v>Trucks And Buses</v>
      </c>
      <c r="E715" t="s">
        <v>295</v>
      </c>
      <c r="F715" s="5">
        <v>2159.96</v>
      </c>
      <c r="G715" s="5">
        <v>431.99200000000002</v>
      </c>
      <c r="I715" t="str">
        <f t="shared" si="56"/>
        <v>Low Sales</v>
      </c>
      <c r="J715" t="str">
        <f t="shared" si="57"/>
        <v>Average Performance</v>
      </c>
      <c r="K715">
        <f t="shared" si="58"/>
        <v>2004</v>
      </c>
      <c r="L715" t="str">
        <f t="shared" si="59"/>
        <v>May</v>
      </c>
    </row>
    <row r="716" spans="1:12" x14ac:dyDescent="0.25">
      <c r="A716" t="s">
        <v>45</v>
      </c>
      <c r="B716" t="s">
        <v>259</v>
      </c>
      <c r="C716" t="s">
        <v>263</v>
      </c>
      <c r="D716" t="str">
        <f t="shared" si="55"/>
        <v>Trucks And Buses</v>
      </c>
      <c r="E716" t="s">
        <v>295</v>
      </c>
      <c r="F716" s="5">
        <v>3379.94</v>
      </c>
      <c r="G716" s="5">
        <v>675.98800000000006</v>
      </c>
      <c r="I716" t="str">
        <f t="shared" si="56"/>
        <v>Low Sales</v>
      </c>
      <c r="J716" t="str">
        <f t="shared" si="57"/>
        <v>Average Performance</v>
      </c>
      <c r="K716">
        <f t="shared" si="58"/>
        <v>2004</v>
      </c>
      <c r="L716" t="str">
        <f t="shared" si="59"/>
        <v>June</v>
      </c>
    </row>
    <row r="717" spans="1:12" x14ac:dyDescent="0.25">
      <c r="A717" t="s">
        <v>132</v>
      </c>
      <c r="C717" t="s">
        <v>263</v>
      </c>
      <c r="D717" t="str">
        <f t="shared" si="55"/>
        <v>Trucks And Buses</v>
      </c>
      <c r="E717" t="s">
        <v>295</v>
      </c>
      <c r="F717" s="5">
        <v>5093.5</v>
      </c>
      <c r="G717" s="5">
        <v>1018.7</v>
      </c>
      <c r="I717" t="str">
        <f t="shared" si="56"/>
        <v>Low Sales</v>
      </c>
      <c r="J717" t="str">
        <f t="shared" si="57"/>
        <v>Average Performance</v>
      </c>
      <c r="K717">
        <f t="shared" si="58"/>
        <v>2004</v>
      </c>
      <c r="L717" t="str">
        <f t="shared" si="59"/>
        <v>July</v>
      </c>
    </row>
    <row r="718" spans="1:12" x14ac:dyDescent="0.25">
      <c r="A718" t="s">
        <v>100</v>
      </c>
      <c r="C718" t="s">
        <v>263</v>
      </c>
      <c r="D718" t="str">
        <f t="shared" si="55"/>
        <v>Trucks And Buses</v>
      </c>
      <c r="E718" t="s">
        <v>295</v>
      </c>
      <c r="F718" s="5">
        <v>5773.44</v>
      </c>
      <c r="G718" s="5">
        <v>1154.6880000000001</v>
      </c>
      <c r="I718" t="str">
        <f t="shared" si="56"/>
        <v>Low Sales</v>
      </c>
      <c r="J718" t="str">
        <f t="shared" si="57"/>
        <v>Average Performance</v>
      </c>
      <c r="K718">
        <f t="shared" si="58"/>
        <v>2004</v>
      </c>
      <c r="L718" t="str">
        <f t="shared" si="59"/>
        <v>August</v>
      </c>
    </row>
    <row r="719" spans="1:12" x14ac:dyDescent="0.25">
      <c r="A719" t="s">
        <v>48</v>
      </c>
      <c r="C719" t="s">
        <v>263</v>
      </c>
      <c r="D719" t="str">
        <f t="shared" si="55"/>
        <v>Trucks And Buses</v>
      </c>
      <c r="E719" t="s">
        <v>295</v>
      </c>
      <c r="F719" s="5">
        <v>4528.8599999999997</v>
      </c>
      <c r="G719" s="5">
        <v>905.77199999999993</v>
      </c>
      <c r="I719" t="str">
        <f t="shared" si="56"/>
        <v>Low Sales</v>
      </c>
      <c r="J719" t="str">
        <f t="shared" si="57"/>
        <v>Average Performance</v>
      </c>
      <c r="K719">
        <f t="shared" si="58"/>
        <v>2004</v>
      </c>
      <c r="L719" t="str">
        <f t="shared" si="59"/>
        <v>September</v>
      </c>
    </row>
    <row r="720" spans="1:12" x14ac:dyDescent="0.25">
      <c r="A720" t="s">
        <v>101</v>
      </c>
      <c r="C720" t="s">
        <v>263</v>
      </c>
      <c r="D720" t="str">
        <f t="shared" si="55"/>
        <v>Trucks And Buses</v>
      </c>
      <c r="E720" t="s">
        <v>295</v>
      </c>
      <c r="F720" s="5">
        <v>4816.08</v>
      </c>
      <c r="G720" s="5">
        <v>963.21600000000001</v>
      </c>
      <c r="I720" t="str">
        <f t="shared" si="56"/>
        <v>Low Sales</v>
      </c>
      <c r="J720" t="str">
        <f t="shared" si="57"/>
        <v>Average Performance</v>
      </c>
      <c r="K720">
        <f t="shared" si="58"/>
        <v>2004</v>
      </c>
      <c r="L720" t="str">
        <f t="shared" si="59"/>
        <v>October</v>
      </c>
    </row>
    <row r="721" spans="1:12" x14ac:dyDescent="0.25">
      <c r="A721" t="s">
        <v>102</v>
      </c>
      <c r="C721" t="s">
        <v>263</v>
      </c>
      <c r="D721" t="str">
        <f t="shared" si="55"/>
        <v>Trucks And Buses</v>
      </c>
      <c r="E721" t="s">
        <v>295</v>
      </c>
      <c r="F721" s="5">
        <v>3416.78</v>
      </c>
      <c r="G721" s="5">
        <v>683.35600000000011</v>
      </c>
      <c r="I721" t="str">
        <f t="shared" si="56"/>
        <v>Low Sales</v>
      </c>
      <c r="J721" t="str">
        <f t="shared" si="57"/>
        <v>Average Performance</v>
      </c>
      <c r="K721">
        <f t="shared" si="58"/>
        <v>2004</v>
      </c>
      <c r="L721" t="str">
        <f t="shared" si="59"/>
        <v>October</v>
      </c>
    </row>
    <row r="722" spans="1:12" x14ac:dyDescent="0.25">
      <c r="A722" t="s">
        <v>86</v>
      </c>
      <c r="C722" t="s">
        <v>263</v>
      </c>
      <c r="D722" t="str">
        <f t="shared" si="55"/>
        <v>Trucks And Buses</v>
      </c>
      <c r="E722" t="s">
        <v>295</v>
      </c>
      <c r="F722" s="5">
        <v>1236.8399999999999</v>
      </c>
      <c r="G722" s="5">
        <v>247.36799999999999</v>
      </c>
      <c r="I722" t="str">
        <f t="shared" si="56"/>
        <v>Low Sales</v>
      </c>
      <c r="J722" t="str">
        <f t="shared" si="57"/>
        <v>Average Performance</v>
      </c>
      <c r="K722">
        <f t="shared" si="58"/>
        <v>2004</v>
      </c>
      <c r="L722" t="str">
        <f t="shared" si="59"/>
        <v>November</v>
      </c>
    </row>
    <row r="723" spans="1:12" x14ac:dyDescent="0.25">
      <c r="A723" t="s">
        <v>103</v>
      </c>
      <c r="B723" t="s">
        <v>258</v>
      </c>
      <c r="C723" t="s">
        <v>263</v>
      </c>
      <c r="D723" t="str">
        <f t="shared" si="55"/>
        <v>Trucks And Buses</v>
      </c>
      <c r="E723" t="s">
        <v>295</v>
      </c>
      <c r="F723" s="5">
        <v>5814.86</v>
      </c>
      <c r="G723" s="5">
        <v>1162.972</v>
      </c>
      <c r="I723" t="str">
        <f t="shared" si="56"/>
        <v>Low Sales</v>
      </c>
      <c r="J723" t="str">
        <f t="shared" si="57"/>
        <v>Average Performance</v>
      </c>
      <c r="K723">
        <f t="shared" si="58"/>
        <v>2004</v>
      </c>
      <c r="L723" t="str">
        <f t="shared" si="59"/>
        <v>November</v>
      </c>
    </row>
    <row r="724" spans="1:12" x14ac:dyDescent="0.25">
      <c r="A724" t="s">
        <v>146</v>
      </c>
      <c r="C724" t="s">
        <v>263</v>
      </c>
      <c r="D724" t="str">
        <f t="shared" si="55"/>
        <v>Trucks And Buses</v>
      </c>
      <c r="E724" t="s">
        <v>295</v>
      </c>
      <c r="F724" s="5">
        <v>5223.4799999999996</v>
      </c>
      <c r="G724" s="5">
        <v>1044.6959999999999</v>
      </c>
      <c r="I724" t="str">
        <f t="shared" si="56"/>
        <v>Low Sales</v>
      </c>
      <c r="J724" t="str">
        <f t="shared" si="57"/>
        <v>Average Performance</v>
      </c>
      <c r="K724">
        <f t="shared" si="58"/>
        <v>2004</v>
      </c>
      <c r="L724" t="str">
        <f t="shared" si="59"/>
        <v>December</v>
      </c>
    </row>
    <row r="725" spans="1:12" x14ac:dyDescent="0.25">
      <c r="A725" t="s">
        <v>54</v>
      </c>
      <c r="B725" t="s">
        <v>258</v>
      </c>
      <c r="C725" t="s">
        <v>263</v>
      </c>
      <c r="D725" t="str">
        <f t="shared" si="55"/>
        <v>Trucks And Buses</v>
      </c>
      <c r="E725" t="s">
        <v>295</v>
      </c>
      <c r="F725" s="5">
        <v>728.4</v>
      </c>
      <c r="G725" s="5">
        <v>145.68</v>
      </c>
      <c r="I725" t="str">
        <f t="shared" si="56"/>
        <v>Low Sales</v>
      </c>
      <c r="J725" t="str">
        <f t="shared" si="57"/>
        <v>Average Performance</v>
      </c>
      <c r="K725">
        <f t="shared" si="58"/>
        <v>2004</v>
      </c>
      <c r="L725" t="str">
        <f t="shared" si="59"/>
        <v>December</v>
      </c>
    </row>
    <row r="726" spans="1:12" x14ac:dyDescent="0.25">
      <c r="A726" t="s">
        <v>55</v>
      </c>
      <c r="B726" t="s">
        <v>259</v>
      </c>
      <c r="C726" t="s">
        <v>263</v>
      </c>
      <c r="D726" t="str">
        <f t="shared" si="55"/>
        <v>Trucks And Buses</v>
      </c>
      <c r="E726" t="s">
        <v>295</v>
      </c>
      <c r="F726" s="5">
        <v>3949</v>
      </c>
      <c r="G726" s="5">
        <v>789.80000000000007</v>
      </c>
      <c r="I726" t="str">
        <f t="shared" si="56"/>
        <v>Low Sales</v>
      </c>
      <c r="J726" t="str">
        <f t="shared" si="57"/>
        <v>Average Performance</v>
      </c>
      <c r="K726">
        <f t="shared" si="58"/>
        <v>2005</v>
      </c>
      <c r="L726" t="str">
        <f t="shared" si="59"/>
        <v>January</v>
      </c>
    </row>
    <row r="727" spans="1:12" x14ac:dyDescent="0.25">
      <c r="A727" t="s">
        <v>211</v>
      </c>
      <c r="B727" t="s">
        <v>258</v>
      </c>
      <c r="C727" t="s">
        <v>263</v>
      </c>
      <c r="D727" t="str">
        <f t="shared" si="55"/>
        <v>Trucks And Buses</v>
      </c>
      <c r="E727" t="s">
        <v>295</v>
      </c>
      <c r="F727" s="5">
        <v>3843.99</v>
      </c>
      <c r="G727" s="5">
        <v>768.798</v>
      </c>
      <c r="I727" t="str">
        <f t="shared" si="56"/>
        <v>Low Sales</v>
      </c>
      <c r="J727" t="str">
        <f t="shared" si="57"/>
        <v>Average Performance</v>
      </c>
      <c r="K727">
        <f t="shared" si="58"/>
        <v>2005</v>
      </c>
      <c r="L727" t="str">
        <f t="shared" si="59"/>
        <v>February</v>
      </c>
    </row>
    <row r="728" spans="1:12" x14ac:dyDescent="0.25">
      <c r="A728" t="s">
        <v>153</v>
      </c>
      <c r="B728" t="s">
        <v>258</v>
      </c>
      <c r="C728" t="s">
        <v>263</v>
      </c>
      <c r="D728" t="str">
        <f t="shared" si="55"/>
        <v>Trucks And Buses</v>
      </c>
      <c r="E728" t="s">
        <v>295</v>
      </c>
      <c r="F728" s="5">
        <v>5498.08</v>
      </c>
      <c r="G728" s="5">
        <v>1099.616</v>
      </c>
      <c r="I728" t="str">
        <f t="shared" si="56"/>
        <v>Low Sales</v>
      </c>
      <c r="J728" t="str">
        <f t="shared" si="57"/>
        <v>Average Performance</v>
      </c>
      <c r="K728">
        <f t="shared" si="58"/>
        <v>2005</v>
      </c>
      <c r="L728" t="str">
        <f t="shared" si="59"/>
        <v>May</v>
      </c>
    </row>
    <row r="729" spans="1:12" x14ac:dyDescent="0.25">
      <c r="A729" t="s">
        <v>59</v>
      </c>
      <c r="B729" t="s">
        <v>258</v>
      </c>
      <c r="C729" t="s">
        <v>263</v>
      </c>
      <c r="D729" t="str">
        <f t="shared" si="55"/>
        <v>Trucks And Buses</v>
      </c>
      <c r="E729" t="s">
        <v>295</v>
      </c>
      <c r="F729" s="5">
        <v>3777.58</v>
      </c>
      <c r="G729" s="5">
        <v>755.51600000000008</v>
      </c>
      <c r="I729" t="str">
        <f t="shared" si="56"/>
        <v>Low Sales</v>
      </c>
      <c r="J729" t="str">
        <f t="shared" si="57"/>
        <v>Average Performance</v>
      </c>
      <c r="K729">
        <f t="shared" si="58"/>
        <v>2005</v>
      </c>
      <c r="L729" t="str">
        <f t="shared" si="59"/>
        <v>May</v>
      </c>
    </row>
    <row r="730" spans="1:12" x14ac:dyDescent="0.25">
      <c r="A730" t="s">
        <v>212</v>
      </c>
      <c r="B730" t="s">
        <v>258</v>
      </c>
      <c r="C730" t="s">
        <v>264</v>
      </c>
      <c r="D730" t="str">
        <f t="shared" si="55"/>
        <v>Vintage Cars</v>
      </c>
      <c r="E730" t="s">
        <v>296</v>
      </c>
      <c r="F730" s="5">
        <v>3782</v>
      </c>
      <c r="G730" s="5">
        <v>756.40000000000009</v>
      </c>
      <c r="I730" t="str">
        <f t="shared" si="56"/>
        <v>Low Sales</v>
      </c>
      <c r="J730" t="str">
        <f t="shared" si="57"/>
        <v>Average Performance</v>
      </c>
      <c r="K730">
        <f t="shared" si="58"/>
        <v>2003</v>
      </c>
      <c r="L730" t="str">
        <f t="shared" si="59"/>
        <v>January</v>
      </c>
    </row>
    <row r="731" spans="1:12" x14ac:dyDescent="0.25">
      <c r="A731" t="s">
        <v>184</v>
      </c>
      <c r="B731" t="s">
        <v>258</v>
      </c>
      <c r="C731" t="s">
        <v>264</v>
      </c>
      <c r="D731" t="str">
        <f t="shared" si="55"/>
        <v>Vintage Cars</v>
      </c>
      <c r="E731" t="s">
        <v>296</v>
      </c>
      <c r="F731" s="5">
        <v>3859.68</v>
      </c>
      <c r="G731" s="5">
        <v>771.93600000000004</v>
      </c>
      <c r="I731" t="str">
        <f t="shared" si="56"/>
        <v>Low Sales</v>
      </c>
      <c r="J731" t="str">
        <f t="shared" si="57"/>
        <v>Average Performance</v>
      </c>
      <c r="K731">
        <f t="shared" si="58"/>
        <v>2003</v>
      </c>
      <c r="L731" t="str">
        <f t="shared" si="59"/>
        <v>March</v>
      </c>
    </row>
    <row r="732" spans="1:12" x14ac:dyDescent="0.25">
      <c r="A732" t="s">
        <v>172</v>
      </c>
      <c r="C732" t="s">
        <v>264</v>
      </c>
      <c r="D732" t="str">
        <f t="shared" si="55"/>
        <v>Vintage Cars</v>
      </c>
      <c r="E732" t="s">
        <v>296</v>
      </c>
      <c r="F732" s="5">
        <v>4431.84</v>
      </c>
      <c r="G732" s="5">
        <v>886.36800000000005</v>
      </c>
      <c r="I732" t="str">
        <f t="shared" si="56"/>
        <v>Low Sales</v>
      </c>
      <c r="J732" t="str">
        <f t="shared" si="57"/>
        <v>Average Performance</v>
      </c>
      <c r="K732">
        <f t="shared" si="58"/>
        <v>2003</v>
      </c>
      <c r="L732" t="str">
        <f t="shared" si="59"/>
        <v>May</v>
      </c>
    </row>
    <row r="733" spans="1:12" x14ac:dyDescent="0.25">
      <c r="A733" t="s">
        <v>174</v>
      </c>
      <c r="C733" t="s">
        <v>264</v>
      </c>
      <c r="D733" t="str">
        <f t="shared" si="55"/>
        <v>Vintage Cars</v>
      </c>
      <c r="E733" t="s">
        <v>296</v>
      </c>
      <c r="F733" s="5">
        <v>4950.33</v>
      </c>
      <c r="G733" s="5">
        <v>990.06600000000003</v>
      </c>
      <c r="I733" t="str">
        <f t="shared" si="56"/>
        <v>Low Sales</v>
      </c>
      <c r="J733" t="str">
        <f t="shared" si="57"/>
        <v>Average Performance</v>
      </c>
      <c r="K733">
        <f t="shared" si="58"/>
        <v>2003</v>
      </c>
      <c r="L733" t="str">
        <f t="shared" si="59"/>
        <v>September</v>
      </c>
    </row>
    <row r="734" spans="1:12" x14ac:dyDescent="0.25">
      <c r="A734" t="s">
        <v>175</v>
      </c>
      <c r="C734" t="s">
        <v>264</v>
      </c>
      <c r="D734" t="str">
        <f t="shared" si="55"/>
        <v>Vintage Cars</v>
      </c>
      <c r="E734" t="s">
        <v>296</v>
      </c>
      <c r="F734" s="5">
        <v>4299.7</v>
      </c>
      <c r="G734" s="5">
        <v>859.94</v>
      </c>
      <c r="I734" t="str">
        <f t="shared" si="56"/>
        <v>Low Sales</v>
      </c>
      <c r="J734" t="str">
        <f t="shared" si="57"/>
        <v>Average Performance</v>
      </c>
      <c r="K734">
        <f t="shared" si="58"/>
        <v>2003</v>
      </c>
      <c r="L734" t="str">
        <f t="shared" si="59"/>
        <v>October</v>
      </c>
    </row>
    <row r="735" spans="1:12" x14ac:dyDescent="0.25">
      <c r="A735" t="s">
        <v>161</v>
      </c>
      <c r="B735" t="s">
        <v>258</v>
      </c>
      <c r="C735" t="s">
        <v>264</v>
      </c>
      <c r="D735" t="str">
        <f t="shared" si="55"/>
        <v>Vintage Cars</v>
      </c>
      <c r="E735" t="s">
        <v>296</v>
      </c>
      <c r="F735" s="5">
        <v>4492.83</v>
      </c>
      <c r="G735" s="5">
        <v>898.56600000000003</v>
      </c>
      <c r="I735" t="str">
        <f t="shared" si="56"/>
        <v>Low Sales</v>
      </c>
      <c r="J735" t="str">
        <f t="shared" si="57"/>
        <v>Average Performance</v>
      </c>
      <c r="K735">
        <f t="shared" si="58"/>
        <v>2003</v>
      </c>
      <c r="L735" t="str">
        <f t="shared" si="59"/>
        <v>November</v>
      </c>
    </row>
    <row r="736" spans="1:12" x14ac:dyDescent="0.25">
      <c r="A736" t="s">
        <v>109</v>
      </c>
      <c r="C736" t="s">
        <v>264</v>
      </c>
      <c r="D736" t="str">
        <f t="shared" si="55"/>
        <v>Vintage Cars</v>
      </c>
      <c r="E736" t="s">
        <v>296</v>
      </c>
      <c r="F736" s="5">
        <v>2212</v>
      </c>
      <c r="G736" s="5">
        <v>442.4</v>
      </c>
      <c r="I736" t="str">
        <f t="shared" si="56"/>
        <v>Low Sales</v>
      </c>
      <c r="J736" t="str">
        <f t="shared" si="57"/>
        <v>Average Performance</v>
      </c>
      <c r="K736">
        <f t="shared" si="58"/>
        <v>2003</v>
      </c>
      <c r="L736" t="str">
        <f t="shared" si="59"/>
        <v>November</v>
      </c>
    </row>
    <row r="737" spans="1:12" x14ac:dyDescent="0.25">
      <c r="A737" t="s">
        <v>176</v>
      </c>
      <c r="B737" t="s">
        <v>259</v>
      </c>
      <c r="C737" t="s">
        <v>264</v>
      </c>
      <c r="D737" t="str">
        <f t="shared" si="55"/>
        <v>Vintage Cars</v>
      </c>
      <c r="E737" t="s">
        <v>296</v>
      </c>
      <c r="F737" s="5">
        <v>4642.88</v>
      </c>
      <c r="G737" s="5">
        <v>928.57600000000002</v>
      </c>
      <c r="I737" t="str">
        <f t="shared" si="56"/>
        <v>Low Sales</v>
      </c>
      <c r="J737" t="str">
        <f t="shared" si="57"/>
        <v>Average Performance</v>
      </c>
      <c r="K737">
        <f t="shared" si="58"/>
        <v>2003</v>
      </c>
      <c r="L737" t="str">
        <f t="shared" si="59"/>
        <v>November</v>
      </c>
    </row>
    <row r="738" spans="1:12" x14ac:dyDescent="0.25">
      <c r="A738" t="s">
        <v>111</v>
      </c>
      <c r="C738" t="s">
        <v>264</v>
      </c>
      <c r="D738" t="str">
        <f t="shared" si="55"/>
        <v>Vintage Cars</v>
      </c>
      <c r="E738" t="s">
        <v>296</v>
      </c>
      <c r="F738" s="5">
        <v>3206.32</v>
      </c>
      <c r="G738" s="5">
        <v>641.26400000000012</v>
      </c>
      <c r="I738" t="str">
        <f t="shared" si="56"/>
        <v>Low Sales</v>
      </c>
      <c r="J738" t="str">
        <f t="shared" si="57"/>
        <v>Average Performance</v>
      </c>
      <c r="K738">
        <f t="shared" si="58"/>
        <v>2003</v>
      </c>
      <c r="L738" t="str">
        <f t="shared" si="59"/>
        <v>December</v>
      </c>
    </row>
    <row r="739" spans="1:12" x14ac:dyDescent="0.25">
      <c r="A739" t="s">
        <v>206</v>
      </c>
      <c r="B739" t="s">
        <v>258</v>
      </c>
      <c r="C739" t="s">
        <v>264</v>
      </c>
      <c r="D739" t="str">
        <f t="shared" si="55"/>
        <v>Vintage Cars</v>
      </c>
      <c r="E739" t="s">
        <v>296</v>
      </c>
      <c r="F739" s="5">
        <v>3604.23</v>
      </c>
      <c r="G739" s="5">
        <v>720.846</v>
      </c>
      <c r="I739" t="str">
        <f t="shared" si="56"/>
        <v>Low Sales</v>
      </c>
      <c r="J739" t="str">
        <f t="shared" si="57"/>
        <v>Average Performance</v>
      </c>
      <c r="K739">
        <f t="shared" si="58"/>
        <v>2004</v>
      </c>
      <c r="L739" t="str">
        <f t="shared" si="59"/>
        <v>January</v>
      </c>
    </row>
    <row r="740" spans="1:12" x14ac:dyDescent="0.25">
      <c r="A740" t="s">
        <v>178</v>
      </c>
      <c r="B740" t="s">
        <v>258</v>
      </c>
      <c r="C740" t="s">
        <v>264</v>
      </c>
      <c r="D740" t="str">
        <f t="shared" si="55"/>
        <v>Vintage Cars</v>
      </c>
      <c r="E740" t="s">
        <v>296</v>
      </c>
      <c r="F740" s="5">
        <v>7017.76</v>
      </c>
      <c r="G740" s="5">
        <v>1403.5519999999999</v>
      </c>
      <c r="I740" t="str">
        <f t="shared" si="56"/>
        <v>Low Sales</v>
      </c>
      <c r="J740" t="str">
        <f t="shared" si="57"/>
        <v>Average Performance</v>
      </c>
      <c r="K740">
        <f t="shared" si="58"/>
        <v>2004</v>
      </c>
      <c r="L740" t="str">
        <f t="shared" si="59"/>
        <v>March</v>
      </c>
    </row>
    <row r="741" spans="1:12" x14ac:dyDescent="0.25">
      <c r="A741" t="s">
        <v>213</v>
      </c>
      <c r="C741" t="s">
        <v>264</v>
      </c>
      <c r="D741" t="str">
        <f t="shared" si="55"/>
        <v>Vintage Cars</v>
      </c>
      <c r="E741" t="s">
        <v>296</v>
      </c>
      <c r="F741" s="5">
        <v>6154.18</v>
      </c>
      <c r="G741" s="5">
        <v>1230.836</v>
      </c>
      <c r="I741" t="str">
        <f t="shared" si="56"/>
        <v>Low Sales</v>
      </c>
      <c r="J741" t="str">
        <f t="shared" si="57"/>
        <v>Average Performance</v>
      </c>
      <c r="K741">
        <f t="shared" si="58"/>
        <v>2004</v>
      </c>
      <c r="L741" t="str">
        <f t="shared" si="59"/>
        <v>April</v>
      </c>
    </row>
    <row r="742" spans="1:12" x14ac:dyDescent="0.25">
      <c r="A742" t="s">
        <v>47</v>
      </c>
      <c r="B742" t="s">
        <v>258</v>
      </c>
      <c r="C742" t="s">
        <v>264</v>
      </c>
      <c r="D742" t="str">
        <f t="shared" si="55"/>
        <v>Vintage Cars</v>
      </c>
      <c r="E742" t="s">
        <v>296</v>
      </c>
      <c r="F742" s="5">
        <v>4750.8</v>
      </c>
      <c r="G742" s="5">
        <v>950.16000000000008</v>
      </c>
      <c r="I742" t="str">
        <f t="shared" si="56"/>
        <v>Low Sales</v>
      </c>
      <c r="J742" t="str">
        <f t="shared" si="57"/>
        <v>Average Performance</v>
      </c>
      <c r="K742">
        <f t="shared" si="58"/>
        <v>2004</v>
      </c>
      <c r="L742" t="str">
        <f t="shared" si="59"/>
        <v>August</v>
      </c>
    </row>
    <row r="743" spans="1:12" x14ac:dyDescent="0.25">
      <c r="A743" t="s">
        <v>188</v>
      </c>
      <c r="B743" t="s">
        <v>259</v>
      </c>
      <c r="C743" t="s">
        <v>264</v>
      </c>
      <c r="D743" t="str">
        <f t="shared" si="55"/>
        <v>Vintage Cars</v>
      </c>
      <c r="E743" t="s">
        <v>296</v>
      </c>
      <c r="F743" s="5">
        <v>3822.92</v>
      </c>
      <c r="G743" s="5">
        <v>764.58400000000006</v>
      </c>
      <c r="I743" t="str">
        <f t="shared" si="56"/>
        <v>Low Sales</v>
      </c>
      <c r="J743" t="str">
        <f t="shared" si="57"/>
        <v>Average Performance</v>
      </c>
      <c r="K743">
        <f t="shared" si="58"/>
        <v>2004</v>
      </c>
      <c r="L743" t="str">
        <f t="shared" si="59"/>
        <v>September</v>
      </c>
    </row>
    <row r="744" spans="1:12" x14ac:dyDescent="0.25">
      <c r="A744" t="s">
        <v>49</v>
      </c>
      <c r="B744" t="s">
        <v>258</v>
      </c>
      <c r="C744" t="s">
        <v>264</v>
      </c>
      <c r="D744" t="str">
        <f t="shared" si="55"/>
        <v>Vintage Cars</v>
      </c>
      <c r="E744" t="s">
        <v>296</v>
      </c>
      <c r="F744" s="5">
        <v>2440.8000000000002</v>
      </c>
      <c r="G744" s="5">
        <v>488.16000000000008</v>
      </c>
      <c r="I744" t="str">
        <f t="shared" si="56"/>
        <v>Low Sales</v>
      </c>
      <c r="J744" t="str">
        <f t="shared" si="57"/>
        <v>Average Performance</v>
      </c>
      <c r="K744">
        <f t="shared" si="58"/>
        <v>2004</v>
      </c>
      <c r="L744" t="str">
        <f t="shared" si="59"/>
        <v>October</v>
      </c>
    </row>
    <row r="745" spans="1:12" x14ac:dyDescent="0.25">
      <c r="A745" t="s">
        <v>50</v>
      </c>
      <c r="C745" t="s">
        <v>264</v>
      </c>
      <c r="D745" t="str">
        <f t="shared" si="55"/>
        <v>Vintage Cars</v>
      </c>
      <c r="E745" t="s">
        <v>296</v>
      </c>
      <c r="F745" s="5">
        <v>4729.3599999999997</v>
      </c>
      <c r="G745" s="5">
        <v>945.87199999999996</v>
      </c>
      <c r="I745" t="str">
        <f t="shared" si="56"/>
        <v>Low Sales</v>
      </c>
      <c r="J745" t="str">
        <f t="shared" si="57"/>
        <v>Average Performance</v>
      </c>
      <c r="K745">
        <f t="shared" si="58"/>
        <v>2004</v>
      </c>
      <c r="L745" t="str">
        <f t="shared" si="59"/>
        <v>October</v>
      </c>
    </row>
    <row r="746" spans="1:12" x14ac:dyDescent="0.25">
      <c r="A746" t="s">
        <v>51</v>
      </c>
      <c r="C746" t="s">
        <v>264</v>
      </c>
      <c r="D746" t="str">
        <f t="shared" si="55"/>
        <v>Vintage Cars</v>
      </c>
      <c r="E746" t="s">
        <v>296</v>
      </c>
      <c r="F746" s="5">
        <v>12536.5</v>
      </c>
      <c r="G746" s="5">
        <v>2507.3000000000002</v>
      </c>
      <c r="I746" t="str">
        <f t="shared" si="56"/>
        <v>Low Sales</v>
      </c>
      <c r="J746" t="str">
        <f t="shared" si="57"/>
        <v>Average Performance</v>
      </c>
      <c r="K746">
        <f t="shared" si="58"/>
        <v>2004</v>
      </c>
      <c r="L746" t="str">
        <f t="shared" si="59"/>
        <v>November</v>
      </c>
    </row>
    <row r="747" spans="1:12" x14ac:dyDescent="0.25">
      <c r="A747" t="s">
        <v>165</v>
      </c>
      <c r="B747" t="s">
        <v>258</v>
      </c>
      <c r="C747" t="s">
        <v>264</v>
      </c>
      <c r="D747" t="str">
        <f t="shared" si="55"/>
        <v>Vintage Cars</v>
      </c>
      <c r="E747" t="s">
        <v>296</v>
      </c>
      <c r="F747" s="5">
        <v>2264.15</v>
      </c>
      <c r="G747" s="5">
        <v>452.83</v>
      </c>
      <c r="I747" t="str">
        <f t="shared" si="56"/>
        <v>Low Sales</v>
      </c>
      <c r="J747" t="str">
        <f t="shared" si="57"/>
        <v>Average Performance</v>
      </c>
      <c r="K747">
        <f t="shared" si="58"/>
        <v>2004</v>
      </c>
      <c r="L747" t="str">
        <f t="shared" si="59"/>
        <v>November</v>
      </c>
    </row>
    <row r="748" spans="1:12" x14ac:dyDescent="0.25">
      <c r="A748" t="s">
        <v>207</v>
      </c>
      <c r="B748" t="s">
        <v>258</v>
      </c>
      <c r="C748" t="s">
        <v>264</v>
      </c>
      <c r="D748" t="str">
        <f t="shared" si="55"/>
        <v>Vintage Cars</v>
      </c>
      <c r="E748" t="s">
        <v>296</v>
      </c>
      <c r="F748" s="5">
        <v>3928.2</v>
      </c>
      <c r="G748" s="5">
        <v>785.64</v>
      </c>
      <c r="I748" t="str">
        <f t="shared" si="56"/>
        <v>Low Sales</v>
      </c>
      <c r="J748" t="str">
        <f t="shared" si="57"/>
        <v>Average Performance</v>
      </c>
      <c r="K748">
        <f t="shared" si="58"/>
        <v>2004</v>
      </c>
      <c r="L748" t="str">
        <f t="shared" si="59"/>
        <v>November</v>
      </c>
    </row>
    <row r="749" spans="1:12" x14ac:dyDescent="0.25">
      <c r="A749" t="s">
        <v>166</v>
      </c>
      <c r="B749" t="s">
        <v>258</v>
      </c>
      <c r="C749" t="s">
        <v>264</v>
      </c>
      <c r="D749" t="str">
        <f t="shared" si="55"/>
        <v>Vintage Cars</v>
      </c>
      <c r="E749" t="s">
        <v>296</v>
      </c>
      <c r="F749" s="5">
        <v>3630.22</v>
      </c>
      <c r="G749" s="5">
        <v>726.04399999999998</v>
      </c>
      <c r="I749" t="str">
        <f t="shared" si="56"/>
        <v>Low Sales</v>
      </c>
      <c r="J749" t="str">
        <f t="shared" si="57"/>
        <v>Average Performance</v>
      </c>
      <c r="K749">
        <f t="shared" si="58"/>
        <v>2004</v>
      </c>
      <c r="L749" t="str">
        <f t="shared" si="59"/>
        <v>December</v>
      </c>
    </row>
    <row r="750" spans="1:12" x14ac:dyDescent="0.25">
      <c r="A750" t="s">
        <v>189</v>
      </c>
      <c r="C750" t="s">
        <v>264</v>
      </c>
      <c r="D750" t="str">
        <f t="shared" si="55"/>
        <v>Vintage Cars</v>
      </c>
      <c r="E750" t="s">
        <v>296</v>
      </c>
      <c r="F750" s="5">
        <v>4196.07</v>
      </c>
      <c r="G750" s="5">
        <v>839.21399999999994</v>
      </c>
      <c r="I750" t="str">
        <f t="shared" si="56"/>
        <v>Low Sales</v>
      </c>
      <c r="J750" t="str">
        <f t="shared" si="57"/>
        <v>Average Performance</v>
      </c>
      <c r="K750">
        <f t="shared" si="58"/>
        <v>2005</v>
      </c>
      <c r="L750" t="str">
        <f t="shared" si="59"/>
        <v>January</v>
      </c>
    </row>
    <row r="751" spans="1:12" x14ac:dyDescent="0.25">
      <c r="A751" t="s">
        <v>182</v>
      </c>
      <c r="B751" t="s">
        <v>258</v>
      </c>
      <c r="C751" t="s">
        <v>264</v>
      </c>
      <c r="D751" t="str">
        <f t="shared" si="55"/>
        <v>Vintage Cars</v>
      </c>
      <c r="E751" t="s">
        <v>296</v>
      </c>
      <c r="F751" s="5">
        <v>4931.6000000000004</v>
      </c>
      <c r="G751" s="5">
        <v>986.32000000000016</v>
      </c>
      <c r="I751" t="str">
        <f t="shared" si="56"/>
        <v>Low Sales</v>
      </c>
      <c r="J751" t="str">
        <f t="shared" si="57"/>
        <v>Average Performance</v>
      </c>
      <c r="K751">
        <f t="shared" si="58"/>
        <v>2005</v>
      </c>
      <c r="L751" t="str">
        <f t="shared" si="59"/>
        <v>February</v>
      </c>
    </row>
    <row r="752" spans="1:12" x14ac:dyDescent="0.25">
      <c r="A752" t="s">
        <v>168</v>
      </c>
      <c r="C752" t="s">
        <v>264</v>
      </c>
      <c r="D752" t="str">
        <f t="shared" si="55"/>
        <v>Vintage Cars</v>
      </c>
      <c r="E752" t="s">
        <v>296</v>
      </c>
      <c r="F752" s="5">
        <v>3068.69</v>
      </c>
      <c r="G752" s="5">
        <v>613.73800000000006</v>
      </c>
      <c r="I752" t="str">
        <f t="shared" si="56"/>
        <v>Low Sales</v>
      </c>
      <c r="J752" t="str">
        <f t="shared" si="57"/>
        <v>Average Performance</v>
      </c>
      <c r="K752">
        <f t="shared" si="58"/>
        <v>2005</v>
      </c>
      <c r="L752" t="str">
        <f t="shared" si="59"/>
        <v>March</v>
      </c>
    </row>
    <row r="753" spans="1:12" x14ac:dyDescent="0.25">
      <c r="A753" t="s">
        <v>214</v>
      </c>
      <c r="B753" t="s">
        <v>259</v>
      </c>
      <c r="C753" t="s">
        <v>264</v>
      </c>
      <c r="D753" t="str">
        <f t="shared" si="55"/>
        <v>Vintage Cars</v>
      </c>
      <c r="E753" t="s">
        <v>296</v>
      </c>
      <c r="F753" s="5">
        <v>785.64</v>
      </c>
      <c r="G753" s="5">
        <v>157.12799999999999</v>
      </c>
      <c r="I753" t="str">
        <f t="shared" si="56"/>
        <v>Low Sales</v>
      </c>
      <c r="J753" t="str">
        <f t="shared" si="57"/>
        <v>Average Performance</v>
      </c>
      <c r="K753">
        <f t="shared" si="58"/>
        <v>2005</v>
      </c>
      <c r="L753" t="str">
        <f t="shared" si="59"/>
        <v>April</v>
      </c>
    </row>
    <row r="754" spans="1:12" x14ac:dyDescent="0.25">
      <c r="A754" t="s">
        <v>208</v>
      </c>
      <c r="B754" t="s">
        <v>259</v>
      </c>
      <c r="C754" t="s">
        <v>264</v>
      </c>
      <c r="D754" t="str">
        <f t="shared" si="55"/>
        <v>Vintage Cars</v>
      </c>
      <c r="E754" t="s">
        <v>296</v>
      </c>
      <c r="F754" s="5">
        <v>4977</v>
      </c>
      <c r="G754" s="5">
        <v>995.40000000000009</v>
      </c>
      <c r="I754" t="str">
        <f t="shared" si="56"/>
        <v>Low Sales</v>
      </c>
      <c r="J754" t="str">
        <f t="shared" si="57"/>
        <v>Average Performance</v>
      </c>
      <c r="K754">
        <f t="shared" si="58"/>
        <v>2005</v>
      </c>
      <c r="L754" t="str">
        <f t="shared" si="59"/>
        <v>May</v>
      </c>
    </row>
    <row r="755" spans="1:12" x14ac:dyDescent="0.25">
      <c r="A755" t="s">
        <v>32</v>
      </c>
      <c r="B755" t="s">
        <v>258</v>
      </c>
      <c r="C755" t="s">
        <v>263</v>
      </c>
      <c r="D755" t="str">
        <f t="shared" si="55"/>
        <v>Trucks And Buses</v>
      </c>
      <c r="E755" t="s">
        <v>297</v>
      </c>
      <c r="F755" s="5">
        <v>1189.98</v>
      </c>
      <c r="G755" s="5">
        <v>237.99600000000001</v>
      </c>
      <c r="I755" t="str">
        <f t="shared" si="56"/>
        <v>Low Sales</v>
      </c>
      <c r="J755" t="str">
        <f t="shared" si="57"/>
        <v>Average Performance</v>
      </c>
      <c r="K755">
        <f t="shared" si="58"/>
        <v>2003</v>
      </c>
      <c r="L755" t="str">
        <f t="shared" si="59"/>
        <v>January</v>
      </c>
    </row>
    <row r="756" spans="1:12" x14ac:dyDescent="0.25">
      <c r="A756" t="s">
        <v>95</v>
      </c>
      <c r="B756" t="s">
        <v>258</v>
      </c>
      <c r="C756" t="s">
        <v>263</v>
      </c>
      <c r="D756" t="str">
        <f t="shared" si="55"/>
        <v>Trucks And Buses</v>
      </c>
      <c r="E756" t="s">
        <v>297</v>
      </c>
      <c r="F756" s="5">
        <v>3090.15</v>
      </c>
      <c r="G756" s="5">
        <v>618.03000000000009</v>
      </c>
      <c r="I756" t="str">
        <f t="shared" si="56"/>
        <v>Low Sales</v>
      </c>
      <c r="J756" t="str">
        <f t="shared" si="57"/>
        <v>Average Performance</v>
      </c>
      <c r="K756">
        <f t="shared" si="58"/>
        <v>2003</v>
      </c>
      <c r="L756" t="str">
        <f t="shared" si="59"/>
        <v>April</v>
      </c>
    </row>
    <row r="757" spans="1:12" x14ac:dyDescent="0.25">
      <c r="A757" t="s">
        <v>34</v>
      </c>
      <c r="B757" t="s">
        <v>258</v>
      </c>
      <c r="C757" t="s">
        <v>263</v>
      </c>
      <c r="D757" t="str">
        <f t="shared" si="55"/>
        <v>Trucks And Buses</v>
      </c>
      <c r="E757" t="s">
        <v>297</v>
      </c>
      <c r="F757" s="5">
        <v>2795.86</v>
      </c>
      <c r="G757" s="5">
        <v>559.17200000000003</v>
      </c>
      <c r="I757" t="str">
        <f t="shared" si="56"/>
        <v>Low Sales</v>
      </c>
      <c r="J757" t="str">
        <f t="shared" si="57"/>
        <v>Average Performance</v>
      </c>
      <c r="K757">
        <f t="shared" si="58"/>
        <v>2003</v>
      </c>
      <c r="L757" t="str">
        <f t="shared" si="59"/>
        <v>May</v>
      </c>
    </row>
    <row r="758" spans="1:12" x14ac:dyDescent="0.25">
      <c r="A758" t="s">
        <v>35</v>
      </c>
      <c r="C758" t="s">
        <v>263</v>
      </c>
      <c r="D758" t="str">
        <f t="shared" si="55"/>
        <v>Trucks And Buses</v>
      </c>
      <c r="E758" t="s">
        <v>297</v>
      </c>
      <c r="F758" s="5">
        <v>2851.54</v>
      </c>
      <c r="G758" s="5">
        <v>570.30799999999999</v>
      </c>
      <c r="I758" t="str">
        <f t="shared" si="56"/>
        <v>Low Sales</v>
      </c>
      <c r="J758" t="str">
        <f t="shared" si="57"/>
        <v>Average Performance</v>
      </c>
      <c r="K758">
        <f t="shared" si="58"/>
        <v>2003</v>
      </c>
      <c r="L758" t="str">
        <f t="shared" si="59"/>
        <v>July</v>
      </c>
    </row>
    <row r="759" spans="1:12" x14ac:dyDescent="0.25">
      <c r="A759" t="s">
        <v>151</v>
      </c>
      <c r="B759" t="s">
        <v>258</v>
      </c>
      <c r="C759" t="s">
        <v>263</v>
      </c>
      <c r="D759" t="str">
        <f t="shared" si="55"/>
        <v>Trucks And Buses</v>
      </c>
      <c r="E759" t="s">
        <v>297</v>
      </c>
      <c r="F759" s="5">
        <v>2701.92</v>
      </c>
      <c r="G759" s="5">
        <v>540.38400000000001</v>
      </c>
      <c r="I759" t="str">
        <f t="shared" si="56"/>
        <v>Low Sales</v>
      </c>
      <c r="J759" t="str">
        <f t="shared" si="57"/>
        <v>Average Performance</v>
      </c>
      <c r="K759">
        <f t="shared" si="58"/>
        <v>2003</v>
      </c>
      <c r="L759" t="str">
        <f t="shared" si="59"/>
        <v>September</v>
      </c>
    </row>
    <row r="760" spans="1:12" x14ac:dyDescent="0.25">
      <c r="A760" t="s">
        <v>127</v>
      </c>
      <c r="B760" t="s">
        <v>260</v>
      </c>
      <c r="C760" t="s">
        <v>263</v>
      </c>
      <c r="D760" t="str">
        <f t="shared" si="55"/>
        <v>Trucks And Buses</v>
      </c>
      <c r="E760" t="s">
        <v>297</v>
      </c>
      <c r="F760" s="5">
        <v>2204.1</v>
      </c>
      <c r="G760" s="5">
        <v>440.82</v>
      </c>
      <c r="I760" t="str">
        <f t="shared" si="56"/>
        <v>Low Sales</v>
      </c>
      <c r="J760" t="str">
        <f t="shared" si="57"/>
        <v>Average Performance</v>
      </c>
      <c r="K760">
        <f t="shared" si="58"/>
        <v>2003</v>
      </c>
      <c r="L760" t="str">
        <f t="shared" si="59"/>
        <v>October</v>
      </c>
    </row>
    <row r="761" spans="1:12" x14ac:dyDescent="0.25">
      <c r="A761" t="s">
        <v>38</v>
      </c>
      <c r="B761" t="s">
        <v>258</v>
      </c>
      <c r="C761" t="s">
        <v>263</v>
      </c>
      <c r="D761" t="str">
        <f t="shared" si="55"/>
        <v>Trucks And Buses</v>
      </c>
      <c r="E761" t="s">
        <v>297</v>
      </c>
      <c r="F761" s="5">
        <v>2840.48</v>
      </c>
      <c r="G761" s="5">
        <v>568.096</v>
      </c>
      <c r="I761" t="str">
        <f t="shared" si="56"/>
        <v>Low Sales</v>
      </c>
      <c r="J761" t="str">
        <f t="shared" si="57"/>
        <v>Average Performance</v>
      </c>
      <c r="K761">
        <f t="shared" si="58"/>
        <v>2003</v>
      </c>
      <c r="L761" t="str">
        <f t="shared" si="59"/>
        <v>November</v>
      </c>
    </row>
    <row r="762" spans="1:12" x14ac:dyDescent="0.25">
      <c r="A762" t="s">
        <v>75</v>
      </c>
      <c r="B762" t="s">
        <v>258</v>
      </c>
      <c r="C762" t="s">
        <v>263</v>
      </c>
      <c r="D762" t="str">
        <f t="shared" si="55"/>
        <v>Trucks And Buses</v>
      </c>
      <c r="E762" t="s">
        <v>297</v>
      </c>
      <c r="F762" s="5">
        <v>2647.04</v>
      </c>
      <c r="G762" s="5">
        <v>529.40800000000002</v>
      </c>
      <c r="I762" t="str">
        <f t="shared" si="56"/>
        <v>Low Sales</v>
      </c>
      <c r="J762" t="str">
        <f t="shared" si="57"/>
        <v>Average Performance</v>
      </c>
      <c r="K762">
        <f t="shared" si="58"/>
        <v>2003</v>
      </c>
      <c r="L762" t="str">
        <f t="shared" si="59"/>
        <v>November</v>
      </c>
    </row>
    <row r="763" spans="1:12" x14ac:dyDescent="0.25">
      <c r="A763" t="s">
        <v>40</v>
      </c>
      <c r="B763" t="s">
        <v>258</v>
      </c>
      <c r="C763" t="s">
        <v>263</v>
      </c>
      <c r="D763" t="str">
        <f t="shared" si="55"/>
        <v>Trucks And Buses</v>
      </c>
      <c r="E763" t="s">
        <v>297</v>
      </c>
      <c r="F763" s="5">
        <v>3172.05</v>
      </c>
      <c r="G763" s="5">
        <v>634.41000000000008</v>
      </c>
      <c r="I763" t="str">
        <f t="shared" si="56"/>
        <v>Low Sales</v>
      </c>
      <c r="J763" t="str">
        <f t="shared" si="57"/>
        <v>Average Performance</v>
      </c>
      <c r="K763">
        <f t="shared" si="58"/>
        <v>2003</v>
      </c>
      <c r="L763" t="str">
        <f t="shared" si="59"/>
        <v>November</v>
      </c>
    </row>
    <row r="764" spans="1:12" x14ac:dyDescent="0.25">
      <c r="A764" t="s">
        <v>97</v>
      </c>
      <c r="C764" t="s">
        <v>263</v>
      </c>
      <c r="D764" t="str">
        <f t="shared" si="55"/>
        <v>Trucks And Buses</v>
      </c>
      <c r="E764" t="s">
        <v>297</v>
      </c>
      <c r="F764" s="5">
        <v>2585.9299999999998</v>
      </c>
      <c r="G764" s="5">
        <v>517.18600000000004</v>
      </c>
      <c r="I764" t="str">
        <f t="shared" si="56"/>
        <v>Low Sales</v>
      </c>
      <c r="J764" t="str">
        <f t="shared" si="57"/>
        <v>Average Performance</v>
      </c>
      <c r="K764">
        <f t="shared" si="58"/>
        <v>2003</v>
      </c>
      <c r="L764" t="str">
        <f t="shared" si="59"/>
        <v>December</v>
      </c>
    </row>
    <row r="765" spans="1:12" x14ac:dyDescent="0.25">
      <c r="A765" t="s">
        <v>98</v>
      </c>
      <c r="B765" t="s">
        <v>259</v>
      </c>
      <c r="C765" t="s">
        <v>263</v>
      </c>
      <c r="D765" t="str">
        <f t="shared" si="55"/>
        <v>Trucks And Buses</v>
      </c>
      <c r="E765" t="s">
        <v>297</v>
      </c>
      <c r="F765" s="5">
        <v>2148.3000000000002</v>
      </c>
      <c r="G765" s="5">
        <v>429.66000000000008</v>
      </c>
      <c r="I765" t="str">
        <f t="shared" si="56"/>
        <v>Low Sales</v>
      </c>
      <c r="J765" t="str">
        <f t="shared" si="57"/>
        <v>Average Performance</v>
      </c>
      <c r="K765">
        <f t="shared" si="58"/>
        <v>2004</v>
      </c>
      <c r="L765" t="str">
        <f t="shared" si="59"/>
        <v>February</v>
      </c>
    </row>
    <row r="766" spans="1:12" x14ac:dyDescent="0.25">
      <c r="A766" t="s">
        <v>99</v>
      </c>
      <c r="C766" t="s">
        <v>263</v>
      </c>
      <c r="D766" t="str">
        <f t="shared" si="55"/>
        <v>Trucks And Buses</v>
      </c>
      <c r="E766" t="s">
        <v>297</v>
      </c>
      <c r="F766" s="5">
        <v>1667.4</v>
      </c>
      <c r="G766" s="5">
        <v>333.48</v>
      </c>
      <c r="I766" t="str">
        <f t="shared" si="56"/>
        <v>Low Sales</v>
      </c>
      <c r="J766" t="str">
        <f t="shared" si="57"/>
        <v>Average Performance</v>
      </c>
      <c r="K766">
        <f t="shared" si="58"/>
        <v>2004</v>
      </c>
      <c r="L766" t="str">
        <f t="shared" si="59"/>
        <v>March</v>
      </c>
    </row>
    <row r="767" spans="1:12" x14ac:dyDescent="0.25">
      <c r="A767" t="s">
        <v>131</v>
      </c>
      <c r="B767" t="s">
        <v>258</v>
      </c>
      <c r="C767" t="s">
        <v>263</v>
      </c>
      <c r="D767" t="str">
        <f t="shared" si="55"/>
        <v>Trucks And Buses</v>
      </c>
      <c r="E767" t="s">
        <v>297</v>
      </c>
      <c r="F767" s="5">
        <v>1859.7</v>
      </c>
      <c r="G767" s="5">
        <v>371.94000000000011</v>
      </c>
      <c r="I767" t="str">
        <f t="shared" si="56"/>
        <v>Low Sales</v>
      </c>
      <c r="J767" t="str">
        <f t="shared" si="57"/>
        <v>Average Performance</v>
      </c>
      <c r="K767">
        <f t="shared" si="58"/>
        <v>2004</v>
      </c>
      <c r="L767" t="str">
        <f t="shared" si="59"/>
        <v>May</v>
      </c>
    </row>
    <row r="768" spans="1:12" x14ac:dyDescent="0.25">
      <c r="A768" t="s">
        <v>45</v>
      </c>
      <c r="B768" t="s">
        <v>259</v>
      </c>
      <c r="C768" t="s">
        <v>263</v>
      </c>
      <c r="D768" t="str">
        <f t="shared" si="55"/>
        <v>Trucks And Buses</v>
      </c>
      <c r="E768" t="s">
        <v>297</v>
      </c>
      <c r="F768" s="5">
        <v>1476.6</v>
      </c>
      <c r="G768" s="5">
        <v>295.32</v>
      </c>
      <c r="I768" t="str">
        <f t="shared" si="56"/>
        <v>Low Sales</v>
      </c>
      <c r="J768" t="str">
        <f t="shared" si="57"/>
        <v>Average Performance</v>
      </c>
      <c r="K768">
        <f t="shared" si="58"/>
        <v>2004</v>
      </c>
      <c r="L768" t="str">
        <f t="shared" si="59"/>
        <v>June</v>
      </c>
    </row>
    <row r="769" spans="1:12" x14ac:dyDescent="0.25">
      <c r="A769" t="s">
        <v>132</v>
      </c>
      <c r="C769" t="s">
        <v>263</v>
      </c>
      <c r="D769" t="str">
        <f t="shared" si="55"/>
        <v>Trucks And Buses</v>
      </c>
      <c r="E769" t="s">
        <v>297</v>
      </c>
      <c r="F769" s="5">
        <v>1732</v>
      </c>
      <c r="G769" s="5">
        <v>346.4</v>
      </c>
      <c r="I769" t="str">
        <f t="shared" si="56"/>
        <v>Low Sales</v>
      </c>
      <c r="J769" t="str">
        <f t="shared" si="57"/>
        <v>Average Performance</v>
      </c>
      <c r="K769">
        <f t="shared" si="58"/>
        <v>2004</v>
      </c>
      <c r="L769" t="str">
        <f t="shared" si="59"/>
        <v>July</v>
      </c>
    </row>
    <row r="770" spans="1:12" x14ac:dyDescent="0.25">
      <c r="A770" t="s">
        <v>100</v>
      </c>
      <c r="C770" t="s">
        <v>263</v>
      </c>
      <c r="D770" t="str">
        <f t="shared" si="55"/>
        <v>Trucks And Buses</v>
      </c>
      <c r="E770" t="s">
        <v>297</v>
      </c>
      <c r="F770" s="5">
        <v>1674.17</v>
      </c>
      <c r="G770" s="5">
        <v>334.83400000000012</v>
      </c>
      <c r="I770" t="str">
        <f t="shared" si="56"/>
        <v>Low Sales</v>
      </c>
      <c r="J770" t="str">
        <f t="shared" si="57"/>
        <v>Average Performance</v>
      </c>
      <c r="K770">
        <f t="shared" si="58"/>
        <v>2004</v>
      </c>
      <c r="L770" t="str">
        <f t="shared" si="59"/>
        <v>August</v>
      </c>
    </row>
    <row r="771" spans="1:12" x14ac:dyDescent="0.25">
      <c r="A771" t="s">
        <v>48</v>
      </c>
      <c r="B771" t="s">
        <v>258</v>
      </c>
      <c r="C771" t="s">
        <v>263</v>
      </c>
      <c r="D771" t="str">
        <f t="shared" ref="D771:D834" si="60">PROPER(TRIM(C771))</f>
        <v>Trucks And Buses</v>
      </c>
      <c r="E771" t="s">
        <v>297</v>
      </c>
      <c r="F771" s="5">
        <v>1500.98</v>
      </c>
      <c r="G771" s="5">
        <v>300.19600000000003</v>
      </c>
      <c r="I771" t="str">
        <f t="shared" ref="I771:I834" si="61">IF(F771&gt;50000,"High Sales","Low Sales")</f>
        <v>Low Sales</v>
      </c>
      <c r="J771" t="str">
        <f t="shared" ref="J771:J834" si="62">IF(AND(F771&gt;30000,G771&gt;5000),"Good Performance","Average Performance")</f>
        <v>Average Performance</v>
      </c>
      <c r="K771">
        <f t="shared" ref="K771:K834" si="63">YEAR(A771)</f>
        <v>2004</v>
      </c>
      <c r="L771" t="str">
        <f t="shared" ref="L771:L834" si="64">TEXT(A771,"mmmm")</f>
        <v>September</v>
      </c>
    </row>
    <row r="772" spans="1:12" x14ac:dyDescent="0.25">
      <c r="A772" t="s">
        <v>101</v>
      </c>
      <c r="C772" t="s">
        <v>263</v>
      </c>
      <c r="D772" t="str">
        <f t="shared" si="60"/>
        <v>Trucks And Buses</v>
      </c>
      <c r="E772" t="s">
        <v>297</v>
      </c>
      <c r="F772" s="5">
        <v>2192.6799999999998</v>
      </c>
      <c r="G772" s="5">
        <v>438.536</v>
      </c>
      <c r="I772" t="str">
        <f t="shared" si="61"/>
        <v>Low Sales</v>
      </c>
      <c r="J772" t="str">
        <f t="shared" si="62"/>
        <v>Average Performance</v>
      </c>
      <c r="K772">
        <f t="shared" si="63"/>
        <v>2004</v>
      </c>
      <c r="L772" t="str">
        <f t="shared" si="64"/>
        <v>October</v>
      </c>
    </row>
    <row r="773" spans="1:12" x14ac:dyDescent="0.25">
      <c r="A773" t="s">
        <v>102</v>
      </c>
      <c r="C773" t="s">
        <v>263</v>
      </c>
      <c r="D773" t="str">
        <f t="shared" si="60"/>
        <v>Trucks And Buses</v>
      </c>
      <c r="E773" t="s">
        <v>297</v>
      </c>
      <c r="F773" s="5">
        <v>1797.58</v>
      </c>
      <c r="G773" s="5">
        <v>359.51600000000002</v>
      </c>
      <c r="I773" t="str">
        <f t="shared" si="61"/>
        <v>Low Sales</v>
      </c>
      <c r="J773" t="str">
        <f t="shared" si="62"/>
        <v>Average Performance</v>
      </c>
      <c r="K773">
        <f t="shared" si="63"/>
        <v>2004</v>
      </c>
      <c r="L773" t="str">
        <f t="shared" si="64"/>
        <v>October</v>
      </c>
    </row>
    <row r="774" spans="1:12" x14ac:dyDescent="0.25">
      <c r="A774" t="s">
        <v>51</v>
      </c>
      <c r="C774" t="s">
        <v>263</v>
      </c>
      <c r="D774" t="str">
        <f t="shared" si="60"/>
        <v>Trucks And Buses</v>
      </c>
      <c r="E774" t="s">
        <v>297</v>
      </c>
      <c r="F774" s="5">
        <v>2142.35</v>
      </c>
      <c r="G774" s="5">
        <v>428.47</v>
      </c>
      <c r="I774" t="str">
        <f t="shared" si="61"/>
        <v>Low Sales</v>
      </c>
      <c r="J774" t="str">
        <f t="shared" si="62"/>
        <v>Average Performance</v>
      </c>
      <c r="K774">
        <f t="shared" si="63"/>
        <v>2004</v>
      </c>
      <c r="L774" t="str">
        <f t="shared" si="64"/>
        <v>November</v>
      </c>
    </row>
    <row r="775" spans="1:12" x14ac:dyDescent="0.25">
      <c r="A775" t="s">
        <v>103</v>
      </c>
      <c r="B775" t="s">
        <v>258</v>
      </c>
      <c r="C775" t="s">
        <v>263</v>
      </c>
      <c r="D775" t="str">
        <f t="shared" si="60"/>
        <v>Trucks And Buses</v>
      </c>
      <c r="E775" t="s">
        <v>297</v>
      </c>
      <c r="F775" s="5">
        <v>2086.92</v>
      </c>
      <c r="G775" s="5">
        <v>417.38400000000001</v>
      </c>
      <c r="I775" t="str">
        <f t="shared" si="61"/>
        <v>Low Sales</v>
      </c>
      <c r="J775" t="str">
        <f t="shared" si="62"/>
        <v>Average Performance</v>
      </c>
      <c r="K775">
        <f t="shared" si="63"/>
        <v>2004</v>
      </c>
      <c r="L775" t="str">
        <f t="shared" si="64"/>
        <v>November</v>
      </c>
    </row>
    <row r="776" spans="1:12" x14ac:dyDescent="0.25">
      <c r="A776" t="s">
        <v>53</v>
      </c>
      <c r="B776" t="s">
        <v>259</v>
      </c>
      <c r="C776" t="s">
        <v>263</v>
      </c>
      <c r="D776" t="str">
        <f t="shared" si="60"/>
        <v>Trucks And Buses</v>
      </c>
      <c r="E776" t="s">
        <v>297</v>
      </c>
      <c r="F776" s="5">
        <v>6834.5</v>
      </c>
      <c r="G776" s="5">
        <v>1366.9</v>
      </c>
      <c r="I776" t="str">
        <f t="shared" si="61"/>
        <v>Low Sales</v>
      </c>
      <c r="J776" t="str">
        <f t="shared" si="62"/>
        <v>Average Performance</v>
      </c>
      <c r="K776">
        <f t="shared" si="63"/>
        <v>2004</v>
      </c>
      <c r="L776" t="str">
        <f t="shared" si="64"/>
        <v>November</v>
      </c>
    </row>
    <row r="777" spans="1:12" x14ac:dyDescent="0.25">
      <c r="A777" t="s">
        <v>54</v>
      </c>
      <c r="C777" t="s">
        <v>263</v>
      </c>
      <c r="D777" t="str">
        <f t="shared" si="60"/>
        <v>Trucks And Buses</v>
      </c>
      <c r="E777" t="s">
        <v>297</v>
      </c>
      <c r="F777" s="5">
        <v>2541.59</v>
      </c>
      <c r="G777" s="5">
        <v>508.31799999999998</v>
      </c>
      <c r="I777" t="str">
        <f t="shared" si="61"/>
        <v>Low Sales</v>
      </c>
      <c r="J777" t="str">
        <f t="shared" si="62"/>
        <v>Average Performance</v>
      </c>
      <c r="K777">
        <f t="shared" si="63"/>
        <v>2004</v>
      </c>
      <c r="L777" t="str">
        <f t="shared" si="64"/>
        <v>December</v>
      </c>
    </row>
    <row r="778" spans="1:12" x14ac:dyDescent="0.25">
      <c r="A778" t="s">
        <v>55</v>
      </c>
      <c r="B778" t="s">
        <v>259</v>
      </c>
      <c r="C778" t="s">
        <v>263</v>
      </c>
      <c r="D778" t="str">
        <f t="shared" si="60"/>
        <v>Trucks And Buses</v>
      </c>
      <c r="E778" t="s">
        <v>297</v>
      </c>
      <c r="F778" s="5">
        <v>2130.92</v>
      </c>
      <c r="G778" s="5">
        <v>426.18400000000003</v>
      </c>
      <c r="I778" t="str">
        <f t="shared" si="61"/>
        <v>Low Sales</v>
      </c>
      <c r="J778" t="str">
        <f t="shared" si="62"/>
        <v>Average Performance</v>
      </c>
      <c r="K778">
        <f t="shared" si="63"/>
        <v>2005</v>
      </c>
      <c r="L778" t="str">
        <f t="shared" si="64"/>
        <v>January</v>
      </c>
    </row>
    <row r="779" spans="1:12" x14ac:dyDescent="0.25">
      <c r="A779" t="s">
        <v>56</v>
      </c>
      <c r="C779" t="s">
        <v>263</v>
      </c>
      <c r="D779" t="str">
        <f t="shared" si="60"/>
        <v>Trucks And Buses</v>
      </c>
      <c r="E779" t="s">
        <v>297</v>
      </c>
      <c r="F779" s="5">
        <v>1701.7</v>
      </c>
      <c r="G779" s="5">
        <v>340.34</v>
      </c>
      <c r="I779" t="str">
        <f t="shared" si="61"/>
        <v>Low Sales</v>
      </c>
      <c r="J779" t="str">
        <f t="shared" si="62"/>
        <v>Average Performance</v>
      </c>
      <c r="K779">
        <f t="shared" si="63"/>
        <v>2005</v>
      </c>
      <c r="L779" t="str">
        <f t="shared" si="64"/>
        <v>February</v>
      </c>
    </row>
    <row r="780" spans="1:12" x14ac:dyDescent="0.25">
      <c r="A780" t="s">
        <v>57</v>
      </c>
      <c r="B780" t="s">
        <v>259</v>
      </c>
      <c r="C780" t="s">
        <v>263</v>
      </c>
      <c r="D780" t="str">
        <f t="shared" si="60"/>
        <v>Trucks And Buses</v>
      </c>
      <c r="E780" t="s">
        <v>297</v>
      </c>
      <c r="F780" s="5">
        <v>1694</v>
      </c>
      <c r="G780" s="5">
        <v>338.8</v>
      </c>
      <c r="I780" t="str">
        <f t="shared" si="61"/>
        <v>Low Sales</v>
      </c>
      <c r="J780" t="str">
        <f t="shared" si="62"/>
        <v>Average Performance</v>
      </c>
      <c r="K780">
        <f t="shared" si="63"/>
        <v>2005</v>
      </c>
      <c r="L780" t="str">
        <f t="shared" si="64"/>
        <v>March</v>
      </c>
    </row>
    <row r="781" spans="1:12" x14ac:dyDescent="0.25">
      <c r="A781" t="s">
        <v>153</v>
      </c>
      <c r="B781" t="s">
        <v>258</v>
      </c>
      <c r="C781" t="s">
        <v>263</v>
      </c>
      <c r="D781" t="str">
        <f t="shared" si="60"/>
        <v>Trucks And Buses</v>
      </c>
      <c r="E781" t="s">
        <v>297</v>
      </c>
      <c r="F781" s="5">
        <v>2913.53</v>
      </c>
      <c r="G781" s="5">
        <v>582.70600000000002</v>
      </c>
      <c r="I781" t="str">
        <f t="shared" si="61"/>
        <v>Low Sales</v>
      </c>
      <c r="J781" t="str">
        <f t="shared" si="62"/>
        <v>Average Performance</v>
      </c>
      <c r="K781">
        <f t="shared" si="63"/>
        <v>2005</v>
      </c>
      <c r="L781" t="str">
        <f t="shared" si="64"/>
        <v>May</v>
      </c>
    </row>
    <row r="782" spans="1:12" x14ac:dyDescent="0.25">
      <c r="A782" t="s">
        <v>59</v>
      </c>
      <c r="B782" t="s">
        <v>258</v>
      </c>
      <c r="C782" t="s">
        <v>263</v>
      </c>
      <c r="D782" t="str">
        <f t="shared" si="60"/>
        <v>Trucks And Buses</v>
      </c>
      <c r="E782" t="s">
        <v>297</v>
      </c>
      <c r="F782" s="5">
        <v>935.18</v>
      </c>
      <c r="G782" s="5">
        <v>187.036</v>
      </c>
      <c r="I782" t="str">
        <f t="shared" si="61"/>
        <v>Low Sales</v>
      </c>
      <c r="J782" t="str">
        <f t="shared" si="62"/>
        <v>Average Performance</v>
      </c>
      <c r="K782">
        <f t="shared" si="63"/>
        <v>2005</v>
      </c>
      <c r="L782" t="str">
        <f t="shared" si="64"/>
        <v>May</v>
      </c>
    </row>
    <row r="783" spans="1:12" x14ac:dyDescent="0.25">
      <c r="A783" t="s">
        <v>192</v>
      </c>
      <c r="B783" t="s">
        <v>258</v>
      </c>
      <c r="C783" t="s">
        <v>265</v>
      </c>
      <c r="D783" t="str">
        <f t="shared" si="60"/>
        <v>Planes</v>
      </c>
      <c r="E783" t="s">
        <v>298</v>
      </c>
      <c r="F783" s="5">
        <v>3073.26</v>
      </c>
      <c r="G783" s="5">
        <v>614.65200000000004</v>
      </c>
      <c r="I783" t="str">
        <f t="shared" si="61"/>
        <v>Low Sales</v>
      </c>
      <c r="J783" t="str">
        <f t="shared" si="62"/>
        <v>Average Performance</v>
      </c>
      <c r="K783">
        <f t="shared" si="63"/>
        <v>2003</v>
      </c>
      <c r="L783" t="str">
        <f t="shared" si="64"/>
        <v>February</v>
      </c>
    </row>
    <row r="784" spans="1:12" x14ac:dyDescent="0.25">
      <c r="A784" t="s">
        <v>60</v>
      </c>
      <c r="B784" t="s">
        <v>259</v>
      </c>
      <c r="C784" t="s">
        <v>265</v>
      </c>
      <c r="D784" t="str">
        <f t="shared" si="60"/>
        <v>Planes</v>
      </c>
      <c r="E784" t="s">
        <v>298</v>
      </c>
      <c r="F784" s="5">
        <v>2082.4899999999998</v>
      </c>
      <c r="G784" s="5">
        <v>416.49799999999999</v>
      </c>
      <c r="I784" t="str">
        <f t="shared" si="61"/>
        <v>Low Sales</v>
      </c>
      <c r="J784" t="str">
        <f t="shared" si="62"/>
        <v>Average Performance</v>
      </c>
      <c r="K784">
        <f t="shared" si="63"/>
        <v>2003</v>
      </c>
      <c r="L784" t="str">
        <f t="shared" si="64"/>
        <v>April</v>
      </c>
    </row>
    <row r="785" spans="1:12" x14ac:dyDescent="0.25">
      <c r="A785" t="s">
        <v>215</v>
      </c>
      <c r="B785" t="s">
        <v>258</v>
      </c>
      <c r="C785" t="s">
        <v>265</v>
      </c>
      <c r="D785" t="str">
        <f t="shared" si="60"/>
        <v>Planes</v>
      </c>
      <c r="E785" t="s">
        <v>298</v>
      </c>
      <c r="F785" s="5">
        <v>3394.23</v>
      </c>
      <c r="G785" s="5">
        <v>678.846</v>
      </c>
      <c r="I785" t="str">
        <f t="shared" si="61"/>
        <v>Low Sales</v>
      </c>
      <c r="J785" t="str">
        <f t="shared" si="62"/>
        <v>Average Performance</v>
      </c>
      <c r="K785">
        <f t="shared" si="63"/>
        <v>2003</v>
      </c>
      <c r="L785" t="str">
        <f t="shared" si="64"/>
        <v>June</v>
      </c>
    </row>
    <row r="786" spans="1:12" x14ac:dyDescent="0.25">
      <c r="A786" t="s">
        <v>9</v>
      </c>
      <c r="C786" t="s">
        <v>265</v>
      </c>
      <c r="D786" t="str">
        <f t="shared" si="60"/>
        <v>Planes</v>
      </c>
      <c r="E786" t="s">
        <v>298</v>
      </c>
      <c r="F786" s="5">
        <v>2559.6</v>
      </c>
      <c r="G786" s="5">
        <v>511.92</v>
      </c>
      <c r="I786" t="str">
        <f t="shared" si="61"/>
        <v>Low Sales</v>
      </c>
      <c r="J786" t="str">
        <f t="shared" si="62"/>
        <v>Average Performance</v>
      </c>
      <c r="K786">
        <f t="shared" si="63"/>
        <v>2003</v>
      </c>
      <c r="L786" t="str">
        <f t="shared" si="64"/>
        <v>August</v>
      </c>
    </row>
    <row r="787" spans="1:12" x14ac:dyDescent="0.25">
      <c r="A787" t="s">
        <v>11</v>
      </c>
      <c r="C787" t="s">
        <v>265</v>
      </c>
      <c r="D787" t="str">
        <f t="shared" si="60"/>
        <v>Planes</v>
      </c>
      <c r="E787" t="s">
        <v>298</v>
      </c>
      <c r="F787" s="5">
        <v>1490.16</v>
      </c>
      <c r="G787" s="5">
        <v>298.03199999999998</v>
      </c>
      <c r="I787" t="str">
        <f t="shared" si="61"/>
        <v>Low Sales</v>
      </c>
      <c r="J787" t="str">
        <f t="shared" si="62"/>
        <v>Average Performance</v>
      </c>
      <c r="K787">
        <f t="shared" si="63"/>
        <v>2003</v>
      </c>
      <c r="L787" t="str">
        <f t="shared" si="64"/>
        <v>October</v>
      </c>
    </row>
    <row r="788" spans="1:12" x14ac:dyDescent="0.25">
      <c r="A788" t="s">
        <v>61</v>
      </c>
      <c r="B788" t="s">
        <v>260</v>
      </c>
      <c r="C788" t="s">
        <v>265</v>
      </c>
      <c r="D788" t="str">
        <f t="shared" si="60"/>
        <v>Planes</v>
      </c>
      <c r="E788" t="s">
        <v>298</v>
      </c>
      <c r="F788" s="5">
        <v>3844</v>
      </c>
      <c r="G788" s="5">
        <v>768.80000000000007</v>
      </c>
      <c r="I788" t="str">
        <f t="shared" si="61"/>
        <v>Low Sales</v>
      </c>
      <c r="J788" t="str">
        <f t="shared" si="62"/>
        <v>Average Performance</v>
      </c>
      <c r="K788">
        <f t="shared" si="63"/>
        <v>2004</v>
      </c>
      <c r="L788" t="str">
        <f t="shared" si="64"/>
        <v>January</v>
      </c>
    </row>
    <row r="789" spans="1:12" x14ac:dyDescent="0.25">
      <c r="A789" t="s">
        <v>16</v>
      </c>
      <c r="B789" t="s">
        <v>259</v>
      </c>
      <c r="C789" t="s">
        <v>265</v>
      </c>
      <c r="D789" t="str">
        <f t="shared" si="60"/>
        <v>Planes</v>
      </c>
      <c r="E789" t="s">
        <v>298</v>
      </c>
      <c r="F789" s="5">
        <v>4724.91</v>
      </c>
      <c r="G789" s="5">
        <v>944.98199999999997</v>
      </c>
      <c r="I789" t="str">
        <f t="shared" si="61"/>
        <v>Low Sales</v>
      </c>
      <c r="J789" t="str">
        <f t="shared" si="62"/>
        <v>Average Performance</v>
      </c>
      <c r="K789">
        <f t="shared" si="63"/>
        <v>2004</v>
      </c>
      <c r="L789" t="str">
        <f t="shared" si="64"/>
        <v>February</v>
      </c>
    </row>
    <row r="790" spans="1:12" x14ac:dyDescent="0.25">
      <c r="A790" t="s">
        <v>216</v>
      </c>
      <c r="C790" t="s">
        <v>265</v>
      </c>
      <c r="D790" t="str">
        <f t="shared" si="60"/>
        <v>Planes</v>
      </c>
      <c r="E790" t="s">
        <v>298</v>
      </c>
      <c r="F790" s="5">
        <v>1824.72</v>
      </c>
      <c r="G790" s="5">
        <v>364.94400000000002</v>
      </c>
      <c r="I790" t="str">
        <f t="shared" si="61"/>
        <v>Low Sales</v>
      </c>
      <c r="J790" t="str">
        <f t="shared" si="62"/>
        <v>Average Performance</v>
      </c>
      <c r="K790">
        <f t="shared" si="63"/>
        <v>2004</v>
      </c>
      <c r="L790" t="str">
        <f t="shared" si="64"/>
        <v>April</v>
      </c>
    </row>
    <row r="791" spans="1:12" x14ac:dyDescent="0.25">
      <c r="A791" t="s">
        <v>195</v>
      </c>
      <c r="C791" t="s">
        <v>265</v>
      </c>
      <c r="D791" t="str">
        <f t="shared" si="60"/>
        <v>Planes</v>
      </c>
      <c r="E791" t="s">
        <v>298</v>
      </c>
      <c r="F791" s="5">
        <v>2668.68</v>
      </c>
      <c r="G791" s="5">
        <v>533.73599999999999</v>
      </c>
      <c r="I791" t="str">
        <f t="shared" si="61"/>
        <v>Low Sales</v>
      </c>
      <c r="J791" t="str">
        <f t="shared" si="62"/>
        <v>Average Performance</v>
      </c>
      <c r="K791">
        <f t="shared" si="63"/>
        <v>2004</v>
      </c>
      <c r="L791" t="str">
        <f t="shared" si="64"/>
        <v>May</v>
      </c>
    </row>
    <row r="792" spans="1:12" x14ac:dyDescent="0.25">
      <c r="A792" t="s">
        <v>19</v>
      </c>
      <c r="C792" t="s">
        <v>265</v>
      </c>
      <c r="D792" t="str">
        <f t="shared" si="60"/>
        <v>Planes</v>
      </c>
      <c r="E792" t="s">
        <v>298</v>
      </c>
      <c r="F792" s="5">
        <v>2843.61</v>
      </c>
      <c r="G792" s="5">
        <v>568.72200000000009</v>
      </c>
      <c r="I792" t="str">
        <f t="shared" si="61"/>
        <v>Low Sales</v>
      </c>
      <c r="J792" t="str">
        <f t="shared" si="62"/>
        <v>Average Performance</v>
      </c>
      <c r="K792">
        <f t="shared" si="63"/>
        <v>2004</v>
      </c>
      <c r="L792" t="str">
        <f t="shared" si="64"/>
        <v>June</v>
      </c>
    </row>
    <row r="793" spans="1:12" x14ac:dyDescent="0.25">
      <c r="A793" t="s">
        <v>20</v>
      </c>
      <c r="B793" t="s">
        <v>258</v>
      </c>
      <c r="C793" t="s">
        <v>265</v>
      </c>
      <c r="D793" t="str">
        <f t="shared" si="60"/>
        <v>Planes</v>
      </c>
      <c r="E793" t="s">
        <v>298</v>
      </c>
      <c r="F793" s="5">
        <v>3163.65</v>
      </c>
      <c r="G793" s="5">
        <v>632.73</v>
      </c>
      <c r="I793" t="str">
        <f t="shared" si="61"/>
        <v>Low Sales</v>
      </c>
      <c r="J793" t="str">
        <f t="shared" si="62"/>
        <v>Average Performance</v>
      </c>
      <c r="K793">
        <f t="shared" si="63"/>
        <v>2004</v>
      </c>
      <c r="L793" t="str">
        <f t="shared" si="64"/>
        <v>July</v>
      </c>
    </row>
    <row r="794" spans="1:12" x14ac:dyDescent="0.25">
      <c r="A794" t="s">
        <v>197</v>
      </c>
      <c r="B794" t="s">
        <v>258</v>
      </c>
      <c r="C794" t="s">
        <v>265</v>
      </c>
      <c r="D794" t="str">
        <f t="shared" si="60"/>
        <v>Planes</v>
      </c>
      <c r="E794" t="s">
        <v>298</v>
      </c>
      <c r="F794" s="5">
        <v>2226.11</v>
      </c>
      <c r="G794" s="5">
        <v>445.22199999999998</v>
      </c>
      <c r="I794" t="str">
        <f t="shared" si="61"/>
        <v>Low Sales</v>
      </c>
      <c r="J794" t="str">
        <f t="shared" si="62"/>
        <v>Average Performance</v>
      </c>
      <c r="K794">
        <f t="shared" si="63"/>
        <v>2004</v>
      </c>
      <c r="L794" t="str">
        <f t="shared" si="64"/>
        <v>August</v>
      </c>
    </row>
    <row r="795" spans="1:12" x14ac:dyDescent="0.25">
      <c r="A795" t="s">
        <v>217</v>
      </c>
      <c r="B795" t="s">
        <v>258</v>
      </c>
      <c r="C795" t="s">
        <v>265</v>
      </c>
      <c r="D795" t="str">
        <f t="shared" si="60"/>
        <v>Planes</v>
      </c>
      <c r="E795" t="s">
        <v>298</v>
      </c>
      <c r="F795" s="5">
        <v>2069.75</v>
      </c>
      <c r="G795" s="5">
        <v>413.95</v>
      </c>
      <c r="I795" t="str">
        <f t="shared" si="61"/>
        <v>Low Sales</v>
      </c>
      <c r="J795" t="str">
        <f t="shared" si="62"/>
        <v>Average Performance</v>
      </c>
      <c r="K795">
        <f t="shared" si="63"/>
        <v>2004</v>
      </c>
      <c r="L795" t="str">
        <f t="shared" si="64"/>
        <v>September</v>
      </c>
    </row>
    <row r="796" spans="1:12" x14ac:dyDescent="0.25">
      <c r="A796" t="s">
        <v>23</v>
      </c>
      <c r="C796" t="s">
        <v>265</v>
      </c>
      <c r="D796" t="str">
        <f t="shared" si="60"/>
        <v>Planes</v>
      </c>
      <c r="E796" t="s">
        <v>298</v>
      </c>
      <c r="F796" s="5">
        <v>2235.33</v>
      </c>
      <c r="G796" s="5">
        <v>447.06599999999997</v>
      </c>
      <c r="I796" t="str">
        <f t="shared" si="61"/>
        <v>Low Sales</v>
      </c>
      <c r="J796" t="str">
        <f t="shared" si="62"/>
        <v>Average Performance</v>
      </c>
      <c r="K796">
        <f t="shared" si="63"/>
        <v>2004</v>
      </c>
      <c r="L796" t="str">
        <f t="shared" si="64"/>
        <v>October</v>
      </c>
    </row>
    <row r="797" spans="1:12" x14ac:dyDescent="0.25">
      <c r="A797" t="s">
        <v>24</v>
      </c>
      <c r="C797" t="s">
        <v>265</v>
      </c>
      <c r="D797" t="str">
        <f t="shared" si="60"/>
        <v>Planes</v>
      </c>
      <c r="E797" t="s">
        <v>298</v>
      </c>
      <c r="F797" s="5">
        <v>3116.43</v>
      </c>
      <c r="G797" s="5">
        <v>623.28600000000006</v>
      </c>
      <c r="I797" t="str">
        <f t="shared" si="61"/>
        <v>Low Sales</v>
      </c>
      <c r="J797" t="str">
        <f t="shared" si="62"/>
        <v>Average Performance</v>
      </c>
      <c r="K797">
        <f t="shared" si="63"/>
        <v>2004</v>
      </c>
      <c r="L797" t="str">
        <f t="shared" si="64"/>
        <v>November</v>
      </c>
    </row>
    <row r="798" spans="1:12" x14ac:dyDescent="0.25">
      <c r="A798" t="s">
        <v>199</v>
      </c>
      <c r="B798" t="s">
        <v>258</v>
      </c>
      <c r="C798" t="s">
        <v>265</v>
      </c>
      <c r="D798" t="str">
        <f t="shared" si="60"/>
        <v>Planes</v>
      </c>
      <c r="E798" t="s">
        <v>298</v>
      </c>
      <c r="F798" s="5">
        <v>4781.7</v>
      </c>
      <c r="G798" s="5">
        <v>956.34</v>
      </c>
      <c r="I798" t="str">
        <f t="shared" si="61"/>
        <v>Low Sales</v>
      </c>
      <c r="J798" t="str">
        <f t="shared" si="62"/>
        <v>Average Performance</v>
      </c>
      <c r="K798">
        <f t="shared" si="63"/>
        <v>2004</v>
      </c>
      <c r="L798" t="str">
        <f t="shared" si="64"/>
        <v>November</v>
      </c>
    </row>
    <row r="799" spans="1:12" x14ac:dyDescent="0.25">
      <c r="A799" t="s">
        <v>64</v>
      </c>
      <c r="B799" t="s">
        <v>260</v>
      </c>
      <c r="C799" t="s">
        <v>265</v>
      </c>
      <c r="D799" t="str">
        <f t="shared" si="60"/>
        <v>Planes</v>
      </c>
      <c r="E799" t="s">
        <v>298</v>
      </c>
      <c r="F799" s="5">
        <v>2810.7</v>
      </c>
      <c r="G799" s="5">
        <v>562.14</v>
      </c>
      <c r="I799" t="str">
        <f t="shared" si="61"/>
        <v>Low Sales</v>
      </c>
      <c r="J799" t="str">
        <f t="shared" si="62"/>
        <v>Average Performance</v>
      </c>
      <c r="K799">
        <f t="shared" si="63"/>
        <v>2004</v>
      </c>
      <c r="L799" t="str">
        <f t="shared" si="64"/>
        <v>November</v>
      </c>
    </row>
    <row r="800" spans="1:12" x14ac:dyDescent="0.25">
      <c r="A800" t="s">
        <v>218</v>
      </c>
      <c r="C800" t="s">
        <v>265</v>
      </c>
      <c r="D800" t="str">
        <f t="shared" si="60"/>
        <v>Planes</v>
      </c>
      <c r="E800" t="s">
        <v>298</v>
      </c>
      <c r="F800" s="5">
        <v>3515.67</v>
      </c>
      <c r="G800" s="5">
        <v>703.13400000000001</v>
      </c>
      <c r="I800" t="str">
        <f t="shared" si="61"/>
        <v>Low Sales</v>
      </c>
      <c r="J800" t="str">
        <f t="shared" si="62"/>
        <v>Average Performance</v>
      </c>
      <c r="K800">
        <f t="shared" si="63"/>
        <v>2004</v>
      </c>
      <c r="L800" t="str">
        <f t="shared" si="64"/>
        <v>December</v>
      </c>
    </row>
    <row r="801" spans="1:12" x14ac:dyDescent="0.25">
      <c r="A801" t="s">
        <v>65</v>
      </c>
      <c r="B801" t="s">
        <v>259</v>
      </c>
      <c r="C801" t="s">
        <v>265</v>
      </c>
      <c r="D801" t="str">
        <f t="shared" si="60"/>
        <v>Planes</v>
      </c>
      <c r="E801" t="s">
        <v>298</v>
      </c>
      <c r="F801" s="5">
        <v>2909.34</v>
      </c>
      <c r="G801" s="5">
        <v>581.86800000000005</v>
      </c>
      <c r="I801" t="str">
        <f t="shared" si="61"/>
        <v>Low Sales</v>
      </c>
      <c r="J801" t="str">
        <f t="shared" si="62"/>
        <v>Average Performance</v>
      </c>
      <c r="K801">
        <f t="shared" si="63"/>
        <v>2005</v>
      </c>
      <c r="L801" t="str">
        <f t="shared" si="64"/>
        <v>February</v>
      </c>
    </row>
    <row r="802" spans="1:12" x14ac:dyDescent="0.25">
      <c r="A802" t="s">
        <v>202</v>
      </c>
      <c r="B802" t="s">
        <v>258</v>
      </c>
      <c r="C802" t="s">
        <v>265</v>
      </c>
      <c r="D802" t="str">
        <f t="shared" si="60"/>
        <v>Planes</v>
      </c>
      <c r="E802" t="s">
        <v>298</v>
      </c>
      <c r="F802" s="5">
        <v>1570.17</v>
      </c>
      <c r="G802" s="5">
        <v>314.03399999999999</v>
      </c>
      <c r="I802" t="str">
        <f t="shared" si="61"/>
        <v>Low Sales</v>
      </c>
      <c r="J802" t="str">
        <f t="shared" si="62"/>
        <v>Average Performance</v>
      </c>
      <c r="K802">
        <f t="shared" si="63"/>
        <v>2005</v>
      </c>
      <c r="L802" t="str">
        <f t="shared" si="64"/>
        <v>March</v>
      </c>
    </row>
    <row r="803" spans="1:12" x14ac:dyDescent="0.25">
      <c r="A803" t="s">
        <v>203</v>
      </c>
      <c r="B803" t="s">
        <v>258</v>
      </c>
      <c r="C803" t="s">
        <v>265</v>
      </c>
      <c r="D803" t="str">
        <f t="shared" si="60"/>
        <v>Planes</v>
      </c>
      <c r="E803" t="s">
        <v>298</v>
      </c>
      <c r="F803" s="5">
        <v>2613.92</v>
      </c>
      <c r="G803" s="5">
        <v>522.78399999999999</v>
      </c>
      <c r="I803" t="str">
        <f t="shared" si="61"/>
        <v>Low Sales</v>
      </c>
      <c r="J803" t="str">
        <f t="shared" si="62"/>
        <v>Average Performance</v>
      </c>
      <c r="K803">
        <f t="shared" si="63"/>
        <v>2005</v>
      </c>
      <c r="L803" t="str">
        <f t="shared" si="64"/>
        <v>March</v>
      </c>
    </row>
    <row r="804" spans="1:12" x14ac:dyDescent="0.25">
      <c r="A804" t="s">
        <v>219</v>
      </c>
      <c r="C804" t="s">
        <v>265</v>
      </c>
      <c r="D804" t="str">
        <f t="shared" si="60"/>
        <v>Planes</v>
      </c>
      <c r="E804" t="s">
        <v>298</v>
      </c>
      <c r="F804" s="5">
        <v>3193.26</v>
      </c>
      <c r="G804" s="5">
        <v>638.65200000000004</v>
      </c>
      <c r="I804" t="str">
        <f t="shared" si="61"/>
        <v>Low Sales</v>
      </c>
      <c r="J804" t="str">
        <f t="shared" si="62"/>
        <v>Average Performance</v>
      </c>
      <c r="K804">
        <f t="shared" si="63"/>
        <v>2005</v>
      </c>
      <c r="L804" t="str">
        <f t="shared" si="64"/>
        <v>April</v>
      </c>
    </row>
    <row r="805" spans="1:12" x14ac:dyDescent="0.25">
      <c r="A805" t="s">
        <v>204</v>
      </c>
      <c r="B805" t="s">
        <v>258</v>
      </c>
      <c r="C805" t="s">
        <v>265</v>
      </c>
      <c r="D805" t="str">
        <f t="shared" si="60"/>
        <v>Planes</v>
      </c>
      <c r="E805" t="s">
        <v>298</v>
      </c>
      <c r="F805" s="5">
        <v>1482.6</v>
      </c>
      <c r="G805" s="5">
        <v>296.52</v>
      </c>
      <c r="I805" t="str">
        <f t="shared" si="61"/>
        <v>Low Sales</v>
      </c>
      <c r="J805" t="str">
        <f t="shared" si="62"/>
        <v>Average Performance</v>
      </c>
      <c r="K805">
        <f t="shared" si="63"/>
        <v>2005</v>
      </c>
      <c r="L805" t="str">
        <f t="shared" si="64"/>
        <v>May</v>
      </c>
    </row>
    <row r="806" spans="1:12" x14ac:dyDescent="0.25">
      <c r="A806" t="s">
        <v>6</v>
      </c>
      <c r="C806" t="s">
        <v>261</v>
      </c>
      <c r="D806" t="str">
        <f t="shared" si="60"/>
        <v>Motorcycles</v>
      </c>
      <c r="E806" t="s">
        <v>299</v>
      </c>
      <c r="F806" s="5">
        <v>2055.23</v>
      </c>
      <c r="G806" s="5">
        <v>411.04599999999999</v>
      </c>
      <c r="I806" t="str">
        <f t="shared" si="61"/>
        <v>Low Sales</v>
      </c>
      <c r="J806" t="str">
        <f t="shared" si="62"/>
        <v>Average Performance</v>
      </c>
      <c r="K806">
        <f t="shared" si="63"/>
        <v>2003</v>
      </c>
      <c r="L806" t="str">
        <f t="shared" si="64"/>
        <v>February</v>
      </c>
    </row>
    <row r="807" spans="1:12" x14ac:dyDescent="0.25">
      <c r="A807" t="s">
        <v>60</v>
      </c>
      <c r="B807" t="s">
        <v>259</v>
      </c>
      <c r="C807" t="s">
        <v>261</v>
      </c>
      <c r="D807" t="str">
        <f t="shared" si="60"/>
        <v>Motorcycles</v>
      </c>
      <c r="E807" t="s">
        <v>299</v>
      </c>
      <c r="F807" s="5">
        <v>2674.9</v>
      </c>
      <c r="G807" s="5">
        <v>534.98</v>
      </c>
      <c r="I807" t="str">
        <f t="shared" si="61"/>
        <v>Low Sales</v>
      </c>
      <c r="J807" t="str">
        <f t="shared" si="62"/>
        <v>Average Performance</v>
      </c>
      <c r="K807">
        <f t="shared" si="63"/>
        <v>2003</v>
      </c>
      <c r="L807" t="str">
        <f t="shared" si="64"/>
        <v>April</v>
      </c>
    </row>
    <row r="808" spans="1:12" x14ac:dyDescent="0.25">
      <c r="A808" t="s">
        <v>8</v>
      </c>
      <c r="B808" t="s">
        <v>258</v>
      </c>
      <c r="C808" t="s">
        <v>261</v>
      </c>
      <c r="D808" t="str">
        <f t="shared" si="60"/>
        <v>Motorcycles</v>
      </c>
      <c r="E808" t="s">
        <v>299</v>
      </c>
      <c r="F808" s="5">
        <v>1853.4</v>
      </c>
      <c r="G808" s="5">
        <v>370.68000000000012</v>
      </c>
      <c r="I808" t="str">
        <f t="shared" si="61"/>
        <v>Low Sales</v>
      </c>
      <c r="J808" t="str">
        <f t="shared" si="62"/>
        <v>Average Performance</v>
      </c>
      <c r="K808">
        <f t="shared" si="63"/>
        <v>2003</v>
      </c>
      <c r="L808" t="str">
        <f t="shared" si="64"/>
        <v>July</v>
      </c>
    </row>
    <row r="809" spans="1:12" x14ac:dyDescent="0.25">
      <c r="A809" t="s">
        <v>9</v>
      </c>
      <c r="C809" t="s">
        <v>261</v>
      </c>
      <c r="D809" t="str">
        <f t="shared" si="60"/>
        <v>Motorcycles</v>
      </c>
      <c r="E809" t="s">
        <v>299</v>
      </c>
      <c r="F809" s="5">
        <v>1490.1</v>
      </c>
      <c r="G809" s="5">
        <v>298.02</v>
      </c>
      <c r="I809" t="str">
        <f t="shared" si="61"/>
        <v>Low Sales</v>
      </c>
      <c r="J809" t="str">
        <f t="shared" si="62"/>
        <v>Average Performance</v>
      </c>
      <c r="K809">
        <f t="shared" si="63"/>
        <v>2003</v>
      </c>
      <c r="L809" t="str">
        <f t="shared" si="64"/>
        <v>August</v>
      </c>
    </row>
    <row r="810" spans="1:12" x14ac:dyDescent="0.25">
      <c r="A810" t="s">
        <v>10</v>
      </c>
      <c r="C810" t="s">
        <v>261</v>
      </c>
      <c r="D810" t="str">
        <f t="shared" si="60"/>
        <v>Motorcycles</v>
      </c>
      <c r="E810" t="s">
        <v>299</v>
      </c>
      <c r="F810" s="5">
        <v>2162.16</v>
      </c>
      <c r="G810" s="5">
        <v>432.43200000000002</v>
      </c>
      <c r="I810" t="str">
        <f t="shared" si="61"/>
        <v>Low Sales</v>
      </c>
      <c r="J810" t="str">
        <f t="shared" si="62"/>
        <v>Average Performance</v>
      </c>
      <c r="K810">
        <f t="shared" si="63"/>
        <v>2003</v>
      </c>
      <c r="L810" t="str">
        <f t="shared" si="64"/>
        <v>October</v>
      </c>
    </row>
    <row r="811" spans="1:12" x14ac:dyDescent="0.25">
      <c r="A811" t="s">
        <v>11</v>
      </c>
      <c r="C811" t="s">
        <v>261</v>
      </c>
      <c r="D811" t="str">
        <f t="shared" si="60"/>
        <v>Motorcycles</v>
      </c>
      <c r="E811" t="s">
        <v>299</v>
      </c>
      <c r="F811" s="5">
        <v>2814.28</v>
      </c>
      <c r="G811" s="5">
        <v>562.85600000000011</v>
      </c>
      <c r="I811" t="str">
        <f t="shared" si="61"/>
        <v>Low Sales</v>
      </c>
      <c r="J811" t="str">
        <f t="shared" si="62"/>
        <v>Average Performance</v>
      </c>
      <c r="K811">
        <f t="shared" si="63"/>
        <v>2003</v>
      </c>
      <c r="L811" t="str">
        <f t="shared" si="64"/>
        <v>October</v>
      </c>
    </row>
    <row r="812" spans="1:12" x14ac:dyDescent="0.25">
      <c r="A812" t="s">
        <v>12</v>
      </c>
      <c r="B812" t="s">
        <v>258</v>
      </c>
      <c r="C812" t="s">
        <v>261</v>
      </c>
      <c r="D812" t="str">
        <f t="shared" si="60"/>
        <v>Motorcycles</v>
      </c>
      <c r="E812" t="s">
        <v>299</v>
      </c>
      <c r="F812" s="5">
        <v>1605</v>
      </c>
      <c r="G812" s="5">
        <v>321</v>
      </c>
      <c r="I812" t="str">
        <f t="shared" si="61"/>
        <v>Low Sales</v>
      </c>
      <c r="J812" t="str">
        <f t="shared" si="62"/>
        <v>Average Performance</v>
      </c>
      <c r="K812">
        <f t="shared" si="63"/>
        <v>2003</v>
      </c>
      <c r="L812" t="str">
        <f t="shared" si="64"/>
        <v>November</v>
      </c>
    </row>
    <row r="813" spans="1:12" x14ac:dyDescent="0.25">
      <c r="A813" t="s">
        <v>13</v>
      </c>
      <c r="B813" t="s">
        <v>258</v>
      </c>
      <c r="C813" t="s">
        <v>261</v>
      </c>
      <c r="D813" t="str">
        <f t="shared" si="60"/>
        <v>Motorcycles</v>
      </c>
      <c r="E813" t="s">
        <v>299</v>
      </c>
      <c r="F813" s="5">
        <v>2093.44</v>
      </c>
      <c r="G813" s="5">
        <v>418.68799999999999</v>
      </c>
      <c r="I813" t="str">
        <f t="shared" si="61"/>
        <v>Low Sales</v>
      </c>
      <c r="J813" t="str">
        <f t="shared" si="62"/>
        <v>Average Performance</v>
      </c>
      <c r="K813">
        <f t="shared" si="63"/>
        <v>2003</v>
      </c>
      <c r="L813" t="str">
        <f t="shared" si="64"/>
        <v>November</v>
      </c>
    </row>
    <row r="814" spans="1:12" x14ac:dyDescent="0.25">
      <c r="A814" t="s">
        <v>14</v>
      </c>
      <c r="C814" t="s">
        <v>261</v>
      </c>
      <c r="D814" t="str">
        <f t="shared" si="60"/>
        <v>Motorcycles</v>
      </c>
      <c r="E814" t="s">
        <v>299</v>
      </c>
      <c r="F814" s="5">
        <v>1944.3</v>
      </c>
      <c r="G814" s="5">
        <v>388.86</v>
      </c>
      <c r="I814" t="str">
        <f t="shared" si="61"/>
        <v>Low Sales</v>
      </c>
      <c r="J814" t="str">
        <f t="shared" si="62"/>
        <v>Average Performance</v>
      </c>
      <c r="K814">
        <f t="shared" si="63"/>
        <v>2003</v>
      </c>
      <c r="L814" t="str">
        <f t="shared" si="64"/>
        <v>December</v>
      </c>
    </row>
    <row r="815" spans="1:12" x14ac:dyDescent="0.25">
      <c r="A815" t="s">
        <v>61</v>
      </c>
      <c r="B815" t="s">
        <v>260</v>
      </c>
      <c r="C815" t="s">
        <v>261</v>
      </c>
      <c r="D815" t="str">
        <f t="shared" si="60"/>
        <v>Motorcycles</v>
      </c>
      <c r="E815" t="s">
        <v>299</v>
      </c>
      <c r="F815" s="5">
        <v>1986.8</v>
      </c>
      <c r="G815" s="5">
        <v>397.36</v>
      </c>
      <c r="I815" t="str">
        <f t="shared" si="61"/>
        <v>Low Sales</v>
      </c>
      <c r="J815" t="str">
        <f t="shared" si="62"/>
        <v>Average Performance</v>
      </c>
      <c r="K815">
        <f t="shared" si="63"/>
        <v>2004</v>
      </c>
      <c r="L815" t="str">
        <f t="shared" si="64"/>
        <v>January</v>
      </c>
    </row>
    <row r="816" spans="1:12" x14ac:dyDescent="0.25">
      <c r="A816" t="s">
        <v>16</v>
      </c>
      <c r="B816" t="s">
        <v>259</v>
      </c>
      <c r="C816" t="s">
        <v>261</v>
      </c>
      <c r="D816" t="str">
        <f t="shared" si="60"/>
        <v>Motorcycles</v>
      </c>
      <c r="E816" t="s">
        <v>299</v>
      </c>
      <c r="F816" s="5">
        <v>1695.96</v>
      </c>
      <c r="G816" s="5">
        <v>339.19200000000001</v>
      </c>
      <c r="I816" t="str">
        <f t="shared" si="61"/>
        <v>Low Sales</v>
      </c>
      <c r="J816" t="str">
        <f t="shared" si="62"/>
        <v>Average Performance</v>
      </c>
      <c r="K816">
        <f t="shared" si="63"/>
        <v>2004</v>
      </c>
      <c r="L816" t="str">
        <f t="shared" si="64"/>
        <v>February</v>
      </c>
    </row>
    <row r="817" spans="1:12" x14ac:dyDescent="0.25">
      <c r="A817" t="s">
        <v>62</v>
      </c>
      <c r="C817" t="s">
        <v>261</v>
      </c>
      <c r="D817" t="str">
        <f t="shared" si="60"/>
        <v>Motorcycles</v>
      </c>
      <c r="E817" t="s">
        <v>299</v>
      </c>
      <c r="F817" s="5">
        <v>1281.56</v>
      </c>
      <c r="G817" s="5">
        <v>256.31200000000001</v>
      </c>
      <c r="I817" t="str">
        <f t="shared" si="61"/>
        <v>Low Sales</v>
      </c>
      <c r="J817" t="str">
        <f t="shared" si="62"/>
        <v>Average Performance</v>
      </c>
      <c r="K817">
        <f t="shared" si="63"/>
        <v>2004</v>
      </c>
      <c r="L817" t="str">
        <f t="shared" si="64"/>
        <v>April</v>
      </c>
    </row>
    <row r="818" spans="1:12" x14ac:dyDescent="0.25">
      <c r="A818" t="s">
        <v>18</v>
      </c>
      <c r="C818" t="s">
        <v>261</v>
      </c>
      <c r="D818" t="str">
        <f t="shared" si="60"/>
        <v>Motorcycles</v>
      </c>
      <c r="E818" t="s">
        <v>299</v>
      </c>
      <c r="F818" s="5">
        <v>1774.22</v>
      </c>
      <c r="G818" s="5">
        <v>354.84400000000011</v>
      </c>
      <c r="I818" t="str">
        <f t="shared" si="61"/>
        <v>Low Sales</v>
      </c>
      <c r="J818" t="str">
        <f t="shared" si="62"/>
        <v>Average Performance</v>
      </c>
      <c r="K818">
        <f t="shared" si="63"/>
        <v>2004</v>
      </c>
      <c r="L818" t="str">
        <f t="shared" si="64"/>
        <v>May</v>
      </c>
    </row>
    <row r="819" spans="1:12" x14ac:dyDescent="0.25">
      <c r="A819" t="s">
        <v>19</v>
      </c>
      <c r="C819" t="s">
        <v>261</v>
      </c>
      <c r="D819" t="str">
        <f t="shared" si="60"/>
        <v>Motorcycles</v>
      </c>
      <c r="E819" t="s">
        <v>299</v>
      </c>
      <c r="F819" s="5">
        <v>1997.5</v>
      </c>
      <c r="G819" s="5">
        <v>399.5</v>
      </c>
      <c r="I819" t="str">
        <f t="shared" si="61"/>
        <v>Low Sales</v>
      </c>
      <c r="J819" t="str">
        <f t="shared" si="62"/>
        <v>Average Performance</v>
      </c>
      <c r="K819">
        <f t="shared" si="63"/>
        <v>2004</v>
      </c>
      <c r="L819" t="str">
        <f t="shared" si="64"/>
        <v>June</v>
      </c>
    </row>
    <row r="820" spans="1:12" x14ac:dyDescent="0.25">
      <c r="A820" t="s">
        <v>20</v>
      </c>
      <c r="B820" t="s">
        <v>258</v>
      </c>
      <c r="C820" t="s">
        <v>261</v>
      </c>
      <c r="D820" t="str">
        <f t="shared" si="60"/>
        <v>Motorcycles</v>
      </c>
      <c r="E820" t="s">
        <v>299</v>
      </c>
      <c r="F820" s="5">
        <v>2353.1999999999998</v>
      </c>
      <c r="G820" s="5">
        <v>470.64</v>
      </c>
      <c r="I820" t="str">
        <f t="shared" si="61"/>
        <v>Low Sales</v>
      </c>
      <c r="J820" t="str">
        <f t="shared" si="62"/>
        <v>Average Performance</v>
      </c>
      <c r="K820">
        <f t="shared" si="63"/>
        <v>2004</v>
      </c>
      <c r="L820" t="str">
        <f t="shared" si="64"/>
        <v>July</v>
      </c>
    </row>
    <row r="821" spans="1:12" x14ac:dyDescent="0.25">
      <c r="A821" t="s">
        <v>21</v>
      </c>
      <c r="C821" t="s">
        <v>261</v>
      </c>
      <c r="D821" t="str">
        <f t="shared" si="60"/>
        <v>Motorcycles</v>
      </c>
      <c r="E821" t="s">
        <v>299</v>
      </c>
      <c r="F821" s="5">
        <v>981.2</v>
      </c>
      <c r="G821" s="5">
        <v>196.24</v>
      </c>
      <c r="I821" t="str">
        <f t="shared" si="61"/>
        <v>Low Sales</v>
      </c>
      <c r="J821" t="str">
        <f t="shared" si="62"/>
        <v>Average Performance</v>
      </c>
      <c r="K821">
        <f t="shared" si="63"/>
        <v>2004</v>
      </c>
      <c r="L821" t="str">
        <f t="shared" si="64"/>
        <v>August</v>
      </c>
    </row>
    <row r="822" spans="1:12" x14ac:dyDescent="0.25">
      <c r="A822" t="s">
        <v>63</v>
      </c>
      <c r="B822" t="s">
        <v>258</v>
      </c>
      <c r="C822" t="s">
        <v>261</v>
      </c>
      <c r="D822" t="str">
        <f t="shared" si="60"/>
        <v>Motorcycles</v>
      </c>
      <c r="E822" t="s">
        <v>299</v>
      </c>
      <c r="F822" s="5">
        <v>1550.72</v>
      </c>
      <c r="G822" s="5">
        <v>310.14400000000001</v>
      </c>
      <c r="I822" t="str">
        <f t="shared" si="61"/>
        <v>Low Sales</v>
      </c>
      <c r="J822" t="str">
        <f t="shared" si="62"/>
        <v>Average Performance</v>
      </c>
      <c r="K822">
        <f t="shared" si="63"/>
        <v>2004</v>
      </c>
      <c r="L822" t="str">
        <f t="shared" si="64"/>
        <v>September</v>
      </c>
    </row>
    <row r="823" spans="1:12" x14ac:dyDescent="0.25">
      <c r="A823" t="s">
        <v>23</v>
      </c>
      <c r="C823" t="s">
        <v>261</v>
      </c>
      <c r="D823" t="str">
        <f t="shared" si="60"/>
        <v>Motorcycles</v>
      </c>
      <c r="E823" t="s">
        <v>299</v>
      </c>
      <c r="F823" s="5">
        <v>1771.06</v>
      </c>
      <c r="G823" s="5">
        <v>354.21199999999999</v>
      </c>
      <c r="I823" t="str">
        <f t="shared" si="61"/>
        <v>Low Sales</v>
      </c>
      <c r="J823" t="str">
        <f t="shared" si="62"/>
        <v>Average Performance</v>
      </c>
      <c r="K823">
        <f t="shared" si="63"/>
        <v>2004</v>
      </c>
      <c r="L823" t="str">
        <f t="shared" si="64"/>
        <v>October</v>
      </c>
    </row>
    <row r="824" spans="1:12" x14ac:dyDescent="0.25">
      <c r="A824" t="s">
        <v>24</v>
      </c>
      <c r="C824" t="s">
        <v>261</v>
      </c>
      <c r="D824" t="str">
        <f t="shared" si="60"/>
        <v>Motorcycles</v>
      </c>
      <c r="E824" t="s">
        <v>299</v>
      </c>
      <c r="F824" s="5">
        <v>2213.4</v>
      </c>
      <c r="G824" s="5">
        <v>442.68000000000012</v>
      </c>
      <c r="I824" t="str">
        <f t="shared" si="61"/>
        <v>Low Sales</v>
      </c>
      <c r="J824" t="str">
        <f t="shared" si="62"/>
        <v>Average Performance</v>
      </c>
      <c r="K824">
        <f t="shared" si="63"/>
        <v>2004</v>
      </c>
      <c r="L824" t="str">
        <f t="shared" si="64"/>
        <v>November</v>
      </c>
    </row>
    <row r="825" spans="1:12" x14ac:dyDescent="0.25">
      <c r="A825" t="s">
        <v>25</v>
      </c>
      <c r="C825" t="s">
        <v>261</v>
      </c>
      <c r="D825" t="str">
        <f t="shared" si="60"/>
        <v>Motorcycles</v>
      </c>
      <c r="E825" t="s">
        <v>299</v>
      </c>
      <c r="F825" s="5">
        <v>5266.04</v>
      </c>
      <c r="G825" s="5">
        <v>1053.2080000000001</v>
      </c>
      <c r="I825" t="str">
        <f t="shared" si="61"/>
        <v>Low Sales</v>
      </c>
      <c r="J825" t="str">
        <f t="shared" si="62"/>
        <v>Average Performance</v>
      </c>
      <c r="K825">
        <f t="shared" si="63"/>
        <v>2004</v>
      </c>
      <c r="L825" t="str">
        <f t="shared" si="64"/>
        <v>November</v>
      </c>
    </row>
    <row r="826" spans="1:12" x14ac:dyDescent="0.25">
      <c r="A826" t="s">
        <v>64</v>
      </c>
      <c r="B826" t="s">
        <v>260</v>
      </c>
      <c r="C826" t="s">
        <v>261</v>
      </c>
      <c r="D826" t="str">
        <f t="shared" si="60"/>
        <v>Motorcycles</v>
      </c>
      <c r="E826" t="s">
        <v>299</v>
      </c>
      <c r="F826" s="5">
        <v>1864.8</v>
      </c>
      <c r="G826" s="5">
        <v>372.96</v>
      </c>
      <c r="I826" t="str">
        <f t="shared" si="61"/>
        <v>Low Sales</v>
      </c>
      <c r="J826" t="str">
        <f t="shared" si="62"/>
        <v>Average Performance</v>
      </c>
      <c r="K826">
        <f t="shared" si="63"/>
        <v>2004</v>
      </c>
      <c r="L826" t="str">
        <f t="shared" si="64"/>
        <v>November</v>
      </c>
    </row>
    <row r="827" spans="1:12" x14ac:dyDescent="0.25">
      <c r="A827" t="s">
        <v>67</v>
      </c>
      <c r="C827" t="s">
        <v>261</v>
      </c>
      <c r="D827" t="str">
        <f t="shared" si="60"/>
        <v>Motorcycles</v>
      </c>
      <c r="E827" t="s">
        <v>299</v>
      </c>
      <c r="F827" s="5">
        <v>1142.4100000000001</v>
      </c>
      <c r="G827" s="5">
        <v>228.482</v>
      </c>
      <c r="I827" t="str">
        <f t="shared" si="61"/>
        <v>Low Sales</v>
      </c>
      <c r="J827" t="str">
        <f t="shared" si="62"/>
        <v>Average Performance</v>
      </c>
      <c r="K827">
        <f t="shared" si="63"/>
        <v>2005</v>
      </c>
      <c r="L827" t="str">
        <f t="shared" si="64"/>
        <v>January</v>
      </c>
    </row>
    <row r="828" spans="1:12" x14ac:dyDescent="0.25">
      <c r="A828" t="s">
        <v>65</v>
      </c>
      <c r="B828" t="s">
        <v>259</v>
      </c>
      <c r="C828" t="s">
        <v>261</v>
      </c>
      <c r="D828" t="str">
        <f t="shared" si="60"/>
        <v>Motorcycles</v>
      </c>
      <c r="E828" t="s">
        <v>299</v>
      </c>
      <c r="F828" s="5">
        <v>1172.5999999999999</v>
      </c>
      <c r="G828" s="5">
        <v>234.52</v>
      </c>
      <c r="I828" t="str">
        <f t="shared" si="61"/>
        <v>Low Sales</v>
      </c>
      <c r="J828" t="str">
        <f t="shared" si="62"/>
        <v>Average Performance</v>
      </c>
      <c r="K828">
        <f t="shared" si="63"/>
        <v>2005</v>
      </c>
      <c r="L828" t="str">
        <f t="shared" si="64"/>
        <v>February</v>
      </c>
    </row>
    <row r="829" spans="1:12" x14ac:dyDescent="0.25">
      <c r="A829" t="s">
        <v>29</v>
      </c>
      <c r="B829" t="s">
        <v>258</v>
      </c>
      <c r="C829" t="s">
        <v>261</v>
      </c>
      <c r="D829" t="str">
        <f t="shared" si="60"/>
        <v>Motorcycles</v>
      </c>
      <c r="E829" t="s">
        <v>299</v>
      </c>
      <c r="F829" s="5">
        <v>6981</v>
      </c>
      <c r="G829" s="5">
        <v>1396.2</v>
      </c>
      <c r="I829" t="str">
        <f t="shared" si="61"/>
        <v>Low Sales</v>
      </c>
      <c r="J829" t="str">
        <f t="shared" si="62"/>
        <v>Average Performance</v>
      </c>
      <c r="K829">
        <f t="shared" si="63"/>
        <v>2005</v>
      </c>
      <c r="L829" t="str">
        <f t="shared" si="64"/>
        <v>March</v>
      </c>
    </row>
    <row r="830" spans="1:12" x14ac:dyDescent="0.25">
      <c r="A830" t="s">
        <v>66</v>
      </c>
      <c r="B830" t="s">
        <v>258</v>
      </c>
      <c r="C830" t="s">
        <v>261</v>
      </c>
      <c r="D830" t="str">
        <f t="shared" si="60"/>
        <v>Motorcycles</v>
      </c>
      <c r="E830" t="s">
        <v>299</v>
      </c>
      <c r="F830" s="5">
        <v>3064.6</v>
      </c>
      <c r="G830" s="5">
        <v>612.91999999999996</v>
      </c>
      <c r="I830" t="str">
        <f t="shared" si="61"/>
        <v>Low Sales</v>
      </c>
      <c r="J830" t="str">
        <f t="shared" si="62"/>
        <v>Average Performance</v>
      </c>
      <c r="K830">
        <f t="shared" si="63"/>
        <v>2005</v>
      </c>
      <c r="L830" t="str">
        <f t="shared" si="64"/>
        <v>April</v>
      </c>
    </row>
    <row r="831" spans="1:12" x14ac:dyDescent="0.25">
      <c r="A831" t="s">
        <v>31</v>
      </c>
      <c r="B831" t="s">
        <v>258</v>
      </c>
      <c r="C831" t="s">
        <v>261</v>
      </c>
      <c r="D831" t="str">
        <f t="shared" si="60"/>
        <v>Motorcycles</v>
      </c>
      <c r="E831" t="s">
        <v>299</v>
      </c>
      <c r="F831" s="5">
        <v>2202.48</v>
      </c>
      <c r="G831" s="5">
        <v>440.49599999999998</v>
      </c>
      <c r="I831" t="str">
        <f t="shared" si="61"/>
        <v>Low Sales</v>
      </c>
      <c r="J831" t="str">
        <f t="shared" si="62"/>
        <v>Average Performance</v>
      </c>
      <c r="K831">
        <f t="shared" si="63"/>
        <v>2005</v>
      </c>
      <c r="L831" t="str">
        <f t="shared" si="64"/>
        <v>May</v>
      </c>
    </row>
    <row r="832" spans="1:12" x14ac:dyDescent="0.25">
      <c r="A832" t="s">
        <v>212</v>
      </c>
      <c r="B832" t="s">
        <v>258</v>
      </c>
      <c r="C832" t="s">
        <v>264</v>
      </c>
      <c r="D832" t="str">
        <f t="shared" si="60"/>
        <v>Vintage Cars</v>
      </c>
      <c r="E832" t="s">
        <v>300</v>
      </c>
      <c r="F832" s="5">
        <v>3773.38</v>
      </c>
      <c r="G832" s="5">
        <v>754.67600000000004</v>
      </c>
      <c r="I832" t="str">
        <f t="shared" si="61"/>
        <v>Low Sales</v>
      </c>
      <c r="J832" t="str">
        <f t="shared" si="62"/>
        <v>Average Performance</v>
      </c>
      <c r="K832">
        <f t="shared" si="63"/>
        <v>2003</v>
      </c>
      <c r="L832" t="str">
        <f t="shared" si="64"/>
        <v>January</v>
      </c>
    </row>
    <row r="833" spans="1:12" x14ac:dyDescent="0.25">
      <c r="A833" t="s">
        <v>184</v>
      </c>
      <c r="B833" t="s">
        <v>258</v>
      </c>
      <c r="C833" t="s">
        <v>264</v>
      </c>
      <c r="D833" t="str">
        <f t="shared" si="60"/>
        <v>Vintage Cars</v>
      </c>
      <c r="E833" t="s">
        <v>300</v>
      </c>
      <c r="F833" s="5">
        <v>5074.3900000000003</v>
      </c>
      <c r="G833" s="5">
        <v>1014.878</v>
      </c>
      <c r="I833" t="str">
        <f t="shared" si="61"/>
        <v>Low Sales</v>
      </c>
      <c r="J833" t="str">
        <f t="shared" si="62"/>
        <v>Average Performance</v>
      </c>
      <c r="K833">
        <f t="shared" si="63"/>
        <v>2003</v>
      </c>
      <c r="L833" t="str">
        <f t="shared" si="64"/>
        <v>March</v>
      </c>
    </row>
    <row r="834" spans="1:12" x14ac:dyDescent="0.25">
      <c r="A834" t="s">
        <v>172</v>
      </c>
      <c r="B834" t="s">
        <v>259</v>
      </c>
      <c r="C834" t="s">
        <v>264</v>
      </c>
      <c r="D834" t="str">
        <f t="shared" si="60"/>
        <v>Vintage Cars</v>
      </c>
      <c r="E834" t="s">
        <v>300</v>
      </c>
      <c r="F834" s="5">
        <v>6483.46</v>
      </c>
      <c r="G834" s="5">
        <v>1296.692</v>
      </c>
      <c r="I834" t="str">
        <f t="shared" si="61"/>
        <v>Low Sales</v>
      </c>
      <c r="J834" t="str">
        <f t="shared" si="62"/>
        <v>Average Performance</v>
      </c>
      <c r="K834">
        <f t="shared" si="63"/>
        <v>2003</v>
      </c>
      <c r="L834" t="str">
        <f t="shared" si="64"/>
        <v>May</v>
      </c>
    </row>
    <row r="835" spans="1:12" x14ac:dyDescent="0.25">
      <c r="A835" t="s">
        <v>173</v>
      </c>
      <c r="B835" t="s">
        <v>259</v>
      </c>
      <c r="C835" t="s">
        <v>264</v>
      </c>
      <c r="D835" t="str">
        <f t="shared" ref="D835:D898" si="65">PROPER(TRIM(C835))</f>
        <v>Vintage Cars</v>
      </c>
      <c r="E835" t="s">
        <v>300</v>
      </c>
      <c r="F835" s="5">
        <v>7956.46</v>
      </c>
      <c r="G835" s="5">
        <v>1591.2919999999999</v>
      </c>
      <c r="I835" t="str">
        <f t="shared" ref="I835:I898" si="66">IF(F835&gt;50000,"High Sales","Low Sales")</f>
        <v>Low Sales</v>
      </c>
      <c r="J835" t="str">
        <f t="shared" ref="J835:J898" si="67">IF(AND(F835&gt;30000,G835&gt;5000),"Good Performance","Average Performance")</f>
        <v>Average Performance</v>
      </c>
      <c r="K835">
        <f t="shared" ref="K835:K898" si="68">YEAR(A835)</f>
        <v>2003</v>
      </c>
      <c r="L835" t="str">
        <f t="shared" ref="L835:L898" si="69">TEXT(A835,"mmmm")</f>
        <v>July</v>
      </c>
    </row>
    <row r="836" spans="1:12" x14ac:dyDescent="0.25">
      <c r="A836" t="s">
        <v>174</v>
      </c>
      <c r="C836" t="s">
        <v>264</v>
      </c>
      <c r="D836" t="str">
        <f t="shared" si="65"/>
        <v>Vintage Cars</v>
      </c>
      <c r="E836" t="s">
        <v>300</v>
      </c>
      <c r="F836" s="5">
        <v>4230.62</v>
      </c>
      <c r="G836" s="5">
        <v>846.12400000000002</v>
      </c>
      <c r="I836" t="str">
        <f t="shared" si="66"/>
        <v>Low Sales</v>
      </c>
      <c r="J836" t="str">
        <f t="shared" si="67"/>
        <v>Average Performance</v>
      </c>
      <c r="K836">
        <f t="shared" si="68"/>
        <v>2003</v>
      </c>
      <c r="L836" t="str">
        <f t="shared" si="69"/>
        <v>September</v>
      </c>
    </row>
    <row r="837" spans="1:12" x14ac:dyDescent="0.25">
      <c r="A837" t="s">
        <v>175</v>
      </c>
      <c r="C837" t="s">
        <v>264</v>
      </c>
      <c r="D837" t="str">
        <f t="shared" si="65"/>
        <v>Vintage Cars</v>
      </c>
      <c r="E837" t="s">
        <v>300</v>
      </c>
      <c r="F837" s="5">
        <v>7209.12</v>
      </c>
      <c r="G837" s="5">
        <v>1441.8240000000001</v>
      </c>
      <c r="I837" t="str">
        <f t="shared" si="66"/>
        <v>Low Sales</v>
      </c>
      <c r="J837" t="str">
        <f t="shared" si="67"/>
        <v>Average Performance</v>
      </c>
      <c r="K837">
        <f t="shared" si="68"/>
        <v>2003</v>
      </c>
      <c r="L837" t="str">
        <f t="shared" si="69"/>
        <v>October</v>
      </c>
    </row>
    <row r="838" spans="1:12" x14ac:dyDescent="0.25">
      <c r="A838" t="s">
        <v>161</v>
      </c>
      <c r="B838" t="s">
        <v>258</v>
      </c>
      <c r="C838" t="s">
        <v>264</v>
      </c>
      <c r="D838" t="str">
        <f t="shared" si="65"/>
        <v>Vintage Cars</v>
      </c>
      <c r="E838" t="s">
        <v>300</v>
      </c>
      <c r="F838" s="5">
        <v>3452.68</v>
      </c>
      <c r="G838" s="5">
        <v>690.53600000000006</v>
      </c>
      <c r="I838" t="str">
        <f t="shared" si="66"/>
        <v>Low Sales</v>
      </c>
      <c r="J838" t="str">
        <f t="shared" si="67"/>
        <v>Average Performance</v>
      </c>
      <c r="K838">
        <f t="shared" si="68"/>
        <v>2003</v>
      </c>
      <c r="L838" t="str">
        <f t="shared" si="69"/>
        <v>November</v>
      </c>
    </row>
    <row r="839" spans="1:12" x14ac:dyDescent="0.25">
      <c r="A839" t="s">
        <v>109</v>
      </c>
      <c r="C839" t="s">
        <v>264</v>
      </c>
      <c r="D839" t="str">
        <f t="shared" si="65"/>
        <v>Vintage Cars</v>
      </c>
      <c r="E839" t="s">
        <v>300</v>
      </c>
      <c r="F839" s="5">
        <v>3047.73</v>
      </c>
      <c r="G839" s="5">
        <v>609.54600000000005</v>
      </c>
      <c r="I839" t="str">
        <f t="shared" si="66"/>
        <v>Low Sales</v>
      </c>
      <c r="J839" t="str">
        <f t="shared" si="67"/>
        <v>Average Performance</v>
      </c>
      <c r="K839">
        <f t="shared" si="68"/>
        <v>2003</v>
      </c>
      <c r="L839" t="str">
        <f t="shared" si="69"/>
        <v>November</v>
      </c>
    </row>
    <row r="840" spans="1:12" x14ac:dyDescent="0.25">
      <c r="A840" t="s">
        <v>176</v>
      </c>
      <c r="B840" t="s">
        <v>259</v>
      </c>
      <c r="C840" t="s">
        <v>264</v>
      </c>
      <c r="D840" t="str">
        <f t="shared" si="65"/>
        <v>Vintage Cars</v>
      </c>
      <c r="E840" t="s">
        <v>300</v>
      </c>
      <c r="F840" s="5">
        <v>3675.32</v>
      </c>
      <c r="G840" s="5">
        <v>735.06400000000008</v>
      </c>
      <c r="I840" t="str">
        <f t="shared" si="66"/>
        <v>Low Sales</v>
      </c>
      <c r="J840" t="str">
        <f t="shared" si="67"/>
        <v>Average Performance</v>
      </c>
      <c r="K840">
        <f t="shared" si="68"/>
        <v>2003</v>
      </c>
      <c r="L840" t="str">
        <f t="shared" si="69"/>
        <v>November</v>
      </c>
    </row>
    <row r="841" spans="1:12" x14ac:dyDescent="0.25">
      <c r="A841" t="s">
        <v>177</v>
      </c>
      <c r="B841" t="s">
        <v>258</v>
      </c>
      <c r="C841" t="s">
        <v>264</v>
      </c>
      <c r="D841" t="str">
        <f t="shared" si="65"/>
        <v>Vintage Cars</v>
      </c>
      <c r="E841" t="s">
        <v>300</v>
      </c>
      <c r="F841" s="5">
        <v>7492.4</v>
      </c>
      <c r="G841" s="5">
        <v>1498.48</v>
      </c>
      <c r="I841" t="str">
        <f t="shared" si="66"/>
        <v>Low Sales</v>
      </c>
      <c r="J841" t="str">
        <f t="shared" si="67"/>
        <v>Average Performance</v>
      </c>
      <c r="K841">
        <f t="shared" si="68"/>
        <v>2003</v>
      </c>
      <c r="L841" t="str">
        <f t="shared" si="69"/>
        <v>December</v>
      </c>
    </row>
    <row r="842" spans="1:12" x14ac:dyDescent="0.25">
      <c r="A842" t="s">
        <v>206</v>
      </c>
      <c r="B842" t="s">
        <v>258</v>
      </c>
      <c r="C842" t="s">
        <v>264</v>
      </c>
      <c r="D842" t="str">
        <f t="shared" si="65"/>
        <v>Vintage Cars</v>
      </c>
      <c r="E842" t="s">
        <v>300</v>
      </c>
      <c r="F842" s="5">
        <v>9534.5</v>
      </c>
      <c r="G842" s="5">
        <v>1906.9</v>
      </c>
      <c r="I842" t="str">
        <f t="shared" si="66"/>
        <v>Low Sales</v>
      </c>
      <c r="J842" t="str">
        <f t="shared" si="67"/>
        <v>Average Performance</v>
      </c>
      <c r="K842">
        <f t="shared" si="68"/>
        <v>2004</v>
      </c>
      <c r="L842" t="str">
        <f t="shared" si="69"/>
        <v>January</v>
      </c>
    </row>
    <row r="843" spans="1:12" x14ac:dyDescent="0.25">
      <c r="A843" t="s">
        <v>178</v>
      </c>
      <c r="B843" t="s">
        <v>258</v>
      </c>
      <c r="C843" t="s">
        <v>264</v>
      </c>
      <c r="D843" t="str">
        <f t="shared" si="65"/>
        <v>Vintage Cars</v>
      </c>
      <c r="E843" t="s">
        <v>300</v>
      </c>
      <c r="F843" s="5">
        <v>5579.02</v>
      </c>
      <c r="G843" s="5">
        <v>1115.8040000000001</v>
      </c>
      <c r="I843" t="str">
        <f t="shared" si="66"/>
        <v>Low Sales</v>
      </c>
      <c r="J843" t="str">
        <f t="shared" si="67"/>
        <v>Average Performance</v>
      </c>
      <c r="K843">
        <f t="shared" si="68"/>
        <v>2004</v>
      </c>
      <c r="L843" t="str">
        <f t="shared" si="69"/>
        <v>March</v>
      </c>
    </row>
    <row r="844" spans="1:12" x14ac:dyDescent="0.25">
      <c r="A844" t="s">
        <v>179</v>
      </c>
      <c r="B844" t="s">
        <v>258</v>
      </c>
      <c r="C844" t="s">
        <v>264</v>
      </c>
      <c r="D844" t="str">
        <f t="shared" si="65"/>
        <v>Vintage Cars</v>
      </c>
      <c r="E844" t="s">
        <v>300</v>
      </c>
      <c r="F844" s="5">
        <v>5950.34</v>
      </c>
      <c r="G844" s="5">
        <v>1190.068</v>
      </c>
      <c r="I844" t="str">
        <f t="shared" si="66"/>
        <v>Low Sales</v>
      </c>
      <c r="J844" t="str">
        <f t="shared" si="67"/>
        <v>Average Performance</v>
      </c>
      <c r="K844">
        <f t="shared" si="68"/>
        <v>2004</v>
      </c>
      <c r="L844" t="str">
        <f t="shared" si="69"/>
        <v>April</v>
      </c>
    </row>
    <row r="845" spans="1:12" x14ac:dyDescent="0.25">
      <c r="A845" t="s">
        <v>220</v>
      </c>
      <c r="B845" t="s">
        <v>258</v>
      </c>
      <c r="C845" t="s">
        <v>264</v>
      </c>
      <c r="D845" t="str">
        <f t="shared" si="65"/>
        <v>Vintage Cars</v>
      </c>
      <c r="E845" t="s">
        <v>300</v>
      </c>
      <c r="F845" s="5">
        <v>3726</v>
      </c>
      <c r="G845" s="5">
        <v>745.2</v>
      </c>
      <c r="I845" t="str">
        <f t="shared" si="66"/>
        <v>Low Sales</v>
      </c>
      <c r="J845" t="str">
        <f t="shared" si="67"/>
        <v>Average Performance</v>
      </c>
      <c r="K845">
        <f t="shared" si="68"/>
        <v>2004</v>
      </c>
      <c r="L845" t="str">
        <f t="shared" si="69"/>
        <v>June</v>
      </c>
    </row>
    <row r="846" spans="1:12" x14ac:dyDescent="0.25">
      <c r="A846" t="s">
        <v>47</v>
      </c>
      <c r="B846" t="s">
        <v>258</v>
      </c>
      <c r="C846" t="s">
        <v>264</v>
      </c>
      <c r="D846" t="str">
        <f t="shared" si="65"/>
        <v>Vintage Cars</v>
      </c>
      <c r="E846" t="s">
        <v>300</v>
      </c>
      <c r="F846" s="5">
        <v>4455</v>
      </c>
      <c r="G846" s="5">
        <v>891</v>
      </c>
      <c r="I846" t="str">
        <f t="shared" si="66"/>
        <v>Low Sales</v>
      </c>
      <c r="J846" t="str">
        <f t="shared" si="67"/>
        <v>Average Performance</v>
      </c>
      <c r="K846">
        <f t="shared" si="68"/>
        <v>2004</v>
      </c>
      <c r="L846" t="str">
        <f t="shared" si="69"/>
        <v>August</v>
      </c>
    </row>
    <row r="847" spans="1:12" x14ac:dyDescent="0.25">
      <c r="A847" t="s">
        <v>181</v>
      </c>
      <c r="B847" t="s">
        <v>258</v>
      </c>
      <c r="C847" t="s">
        <v>264</v>
      </c>
      <c r="D847" t="str">
        <f t="shared" si="65"/>
        <v>Vintage Cars</v>
      </c>
      <c r="E847" t="s">
        <v>300</v>
      </c>
      <c r="F847" s="5">
        <v>8272.34</v>
      </c>
      <c r="G847" s="5">
        <v>1654.4680000000001</v>
      </c>
      <c r="I847" t="str">
        <f t="shared" si="66"/>
        <v>Low Sales</v>
      </c>
      <c r="J847" t="str">
        <f t="shared" si="67"/>
        <v>Average Performance</v>
      </c>
      <c r="K847">
        <f t="shared" si="68"/>
        <v>2004</v>
      </c>
      <c r="L847" t="str">
        <f t="shared" si="69"/>
        <v>September</v>
      </c>
    </row>
    <row r="848" spans="1:12" x14ac:dyDescent="0.25">
      <c r="A848" t="s">
        <v>49</v>
      </c>
      <c r="B848" t="s">
        <v>258</v>
      </c>
      <c r="C848" t="s">
        <v>264</v>
      </c>
      <c r="D848" t="str">
        <f t="shared" si="65"/>
        <v>Vintage Cars</v>
      </c>
      <c r="E848" t="s">
        <v>300</v>
      </c>
      <c r="F848" s="5">
        <v>3577.6</v>
      </c>
      <c r="G848" s="5">
        <v>715.52</v>
      </c>
      <c r="I848" t="str">
        <f t="shared" si="66"/>
        <v>Low Sales</v>
      </c>
      <c r="J848" t="str">
        <f t="shared" si="67"/>
        <v>Average Performance</v>
      </c>
      <c r="K848">
        <f t="shared" si="68"/>
        <v>2004</v>
      </c>
      <c r="L848" t="str">
        <f t="shared" si="69"/>
        <v>October</v>
      </c>
    </row>
    <row r="849" spans="1:12" x14ac:dyDescent="0.25">
      <c r="A849" t="s">
        <v>50</v>
      </c>
      <c r="C849" t="s">
        <v>264</v>
      </c>
      <c r="D849" t="str">
        <f t="shared" si="65"/>
        <v>Vintage Cars</v>
      </c>
      <c r="E849" t="s">
        <v>300</v>
      </c>
      <c r="F849" s="5">
        <v>3881.25</v>
      </c>
      <c r="G849" s="5">
        <v>776.25</v>
      </c>
      <c r="I849" t="str">
        <f t="shared" si="66"/>
        <v>Low Sales</v>
      </c>
      <c r="J849" t="str">
        <f t="shared" si="67"/>
        <v>Average Performance</v>
      </c>
      <c r="K849">
        <f t="shared" si="68"/>
        <v>2004</v>
      </c>
      <c r="L849" t="str">
        <f t="shared" si="69"/>
        <v>October</v>
      </c>
    </row>
    <row r="850" spans="1:12" x14ac:dyDescent="0.25">
      <c r="A850" t="s">
        <v>51</v>
      </c>
      <c r="C850" t="s">
        <v>264</v>
      </c>
      <c r="D850" t="str">
        <f t="shared" si="65"/>
        <v>Vintage Cars</v>
      </c>
      <c r="E850" t="s">
        <v>300</v>
      </c>
      <c r="F850" s="5">
        <v>5797.44</v>
      </c>
      <c r="G850" s="5">
        <v>1159.4880000000001</v>
      </c>
      <c r="I850" t="str">
        <f t="shared" si="66"/>
        <v>Low Sales</v>
      </c>
      <c r="J850" t="str">
        <f t="shared" si="67"/>
        <v>Average Performance</v>
      </c>
      <c r="K850">
        <f t="shared" si="68"/>
        <v>2004</v>
      </c>
      <c r="L850" t="str">
        <f t="shared" si="69"/>
        <v>November</v>
      </c>
    </row>
    <row r="851" spans="1:12" x14ac:dyDescent="0.25">
      <c r="A851" t="s">
        <v>165</v>
      </c>
      <c r="B851" t="s">
        <v>258</v>
      </c>
      <c r="C851" t="s">
        <v>264</v>
      </c>
      <c r="D851" t="str">
        <f t="shared" si="65"/>
        <v>Vintage Cars</v>
      </c>
      <c r="E851" t="s">
        <v>300</v>
      </c>
      <c r="F851" s="5">
        <v>1264.08</v>
      </c>
      <c r="G851" s="5">
        <v>252.816</v>
      </c>
      <c r="I851" t="str">
        <f t="shared" si="66"/>
        <v>Low Sales</v>
      </c>
      <c r="J851" t="str">
        <f t="shared" si="67"/>
        <v>Average Performance</v>
      </c>
      <c r="K851">
        <f t="shared" si="68"/>
        <v>2004</v>
      </c>
      <c r="L851" t="str">
        <f t="shared" si="69"/>
        <v>November</v>
      </c>
    </row>
    <row r="852" spans="1:12" x14ac:dyDescent="0.25">
      <c r="A852" t="s">
        <v>53</v>
      </c>
      <c r="B852" t="s">
        <v>259</v>
      </c>
      <c r="C852" t="s">
        <v>264</v>
      </c>
      <c r="D852" t="str">
        <f t="shared" si="65"/>
        <v>Vintage Cars</v>
      </c>
      <c r="E852" t="s">
        <v>300</v>
      </c>
      <c r="F852" s="5">
        <v>4815.3</v>
      </c>
      <c r="G852" s="5">
        <v>963.06000000000006</v>
      </c>
      <c r="I852" t="str">
        <f t="shared" si="66"/>
        <v>Low Sales</v>
      </c>
      <c r="J852" t="str">
        <f t="shared" si="67"/>
        <v>Average Performance</v>
      </c>
      <c r="K852">
        <f t="shared" si="68"/>
        <v>2004</v>
      </c>
      <c r="L852" t="str">
        <f t="shared" si="69"/>
        <v>November</v>
      </c>
    </row>
    <row r="853" spans="1:12" x14ac:dyDescent="0.25">
      <c r="A853" t="s">
        <v>166</v>
      </c>
      <c r="B853" t="s">
        <v>258</v>
      </c>
      <c r="C853" t="s">
        <v>264</v>
      </c>
      <c r="D853" t="str">
        <f t="shared" si="65"/>
        <v>Vintage Cars</v>
      </c>
      <c r="E853" t="s">
        <v>300</v>
      </c>
      <c r="F853" s="5">
        <v>4462.2</v>
      </c>
      <c r="G853" s="5">
        <v>892.44</v>
      </c>
      <c r="I853" t="str">
        <f t="shared" si="66"/>
        <v>Low Sales</v>
      </c>
      <c r="J853" t="str">
        <f t="shared" si="67"/>
        <v>Average Performance</v>
      </c>
      <c r="K853">
        <f t="shared" si="68"/>
        <v>2004</v>
      </c>
      <c r="L853" t="str">
        <f t="shared" si="69"/>
        <v>December</v>
      </c>
    </row>
    <row r="854" spans="1:12" x14ac:dyDescent="0.25">
      <c r="A854" t="s">
        <v>189</v>
      </c>
      <c r="C854" t="s">
        <v>264</v>
      </c>
      <c r="D854" t="str">
        <f t="shared" si="65"/>
        <v>Vintage Cars</v>
      </c>
      <c r="E854" t="s">
        <v>300</v>
      </c>
      <c r="F854" s="5">
        <v>3033.28</v>
      </c>
      <c r="G854" s="5">
        <v>606.65600000000006</v>
      </c>
      <c r="I854" t="str">
        <f t="shared" si="66"/>
        <v>Low Sales</v>
      </c>
      <c r="J854" t="str">
        <f t="shared" si="67"/>
        <v>Average Performance</v>
      </c>
      <c r="K854">
        <f t="shared" si="68"/>
        <v>2005</v>
      </c>
      <c r="L854" t="str">
        <f t="shared" si="69"/>
        <v>January</v>
      </c>
    </row>
    <row r="855" spans="1:12" x14ac:dyDescent="0.25">
      <c r="A855" t="s">
        <v>182</v>
      </c>
      <c r="B855" t="s">
        <v>258</v>
      </c>
      <c r="C855" t="s">
        <v>264</v>
      </c>
      <c r="D855" t="str">
        <f t="shared" si="65"/>
        <v>Vintage Cars</v>
      </c>
      <c r="E855" t="s">
        <v>300</v>
      </c>
      <c r="F855" s="5">
        <v>990.78</v>
      </c>
      <c r="G855" s="5">
        <v>198.15600000000001</v>
      </c>
      <c r="I855" t="str">
        <f t="shared" si="66"/>
        <v>Low Sales</v>
      </c>
      <c r="J855" t="str">
        <f t="shared" si="67"/>
        <v>Average Performance</v>
      </c>
      <c r="K855">
        <f t="shared" si="68"/>
        <v>2005</v>
      </c>
      <c r="L855" t="str">
        <f t="shared" si="69"/>
        <v>February</v>
      </c>
    </row>
    <row r="856" spans="1:12" x14ac:dyDescent="0.25">
      <c r="A856" t="s">
        <v>168</v>
      </c>
      <c r="C856" t="s">
        <v>264</v>
      </c>
      <c r="D856" t="str">
        <f t="shared" si="65"/>
        <v>Vintage Cars</v>
      </c>
      <c r="E856" t="s">
        <v>300</v>
      </c>
      <c r="F856" s="5">
        <v>2030.86</v>
      </c>
      <c r="G856" s="5">
        <v>406.17200000000003</v>
      </c>
      <c r="I856" t="str">
        <f t="shared" si="66"/>
        <v>Low Sales</v>
      </c>
      <c r="J856" t="str">
        <f t="shared" si="67"/>
        <v>Average Performance</v>
      </c>
      <c r="K856">
        <f t="shared" si="68"/>
        <v>2005</v>
      </c>
      <c r="L856" t="str">
        <f t="shared" si="69"/>
        <v>March</v>
      </c>
    </row>
    <row r="857" spans="1:12" x14ac:dyDescent="0.25">
      <c r="A857" t="s">
        <v>208</v>
      </c>
      <c r="C857" t="s">
        <v>264</v>
      </c>
      <c r="D857" t="str">
        <f t="shared" si="65"/>
        <v>Vintage Cars</v>
      </c>
      <c r="E857" t="s">
        <v>300</v>
      </c>
      <c r="F857" s="5">
        <v>5433.75</v>
      </c>
      <c r="G857" s="5">
        <v>1086.75</v>
      </c>
      <c r="I857" t="str">
        <f t="shared" si="66"/>
        <v>Low Sales</v>
      </c>
      <c r="J857" t="str">
        <f t="shared" si="67"/>
        <v>Average Performance</v>
      </c>
      <c r="K857">
        <f t="shared" si="68"/>
        <v>2005</v>
      </c>
      <c r="L857" t="str">
        <f t="shared" si="69"/>
        <v>May</v>
      </c>
    </row>
    <row r="858" spans="1:12" x14ac:dyDescent="0.25">
      <c r="A858" t="s">
        <v>157</v>
      </c>
      <c r="C858" t="s">
        <v>262</v>
      </c>
      <c r="D858" t="str">
        <f t="shared" si="65"/>
        <v>Classic Cars</v>
      </c>
      <c r="E858" t="s">
        <v>301</v>
      </c>
      <c r="F858" s="5">
        <v>3157.44</v>
      </c>
      <c r="G858" s="5">
        <v>631.48800000000006</v>
      </c>
      <c r="I858" t="str">
        <f t="shared" si="66"/>
        <v>Low Sales</v>
      </c>
      <c r="J858" t="str">
        <f t="shared" si="67"/>
        <v>Average Performance</v>
      </c>
      <c r="K858">
        <f t="shared" si="68"/>
        <v>2003</v>
      </c>
      <c r="L858" t="str">
        <f t="shared" si="69"/>
        <v>March</v>
      </c>
    </row>
    <row r="859" spans="1:12" x14ac:dyDescent="0.25">
      <c r="A859" t="s">
        <v>185</v>
      </c>
      <c r="B859" t="s">
        <v>258</v>
      </c>
      <c r="C859" t="s">
        <v>262</v>
      </c>
      <c r="D859" t="str">
        <f t="shared" si="65"/>
        <v>Classic Cars</v>
      </c>
      <c r="E859" t="s">
        <v>301</v>
      </c>
      <c r="F859" s="5">
        <v>5161.2</v>
      </c>
      <c r="G859" s="5">
        <v>1032.24</v>
      </c>
      <c r="I859" t="str">
        <f t="shared" si="66"/>
        <v>Low Sales</v>
      </c>
      <c r="J859" t="str">
        <f t="shared" si="67"/>
        <v>Average Performance</v>
      </c>
      <c r="K859">
        <f t="shared" si="68"/>
        <v>2003</v>
      </c>
      <c r="L859" t="str">
        <f t="shared" si="69"/>
        <v>May</v>
      </c>
    </row>
    <row r="860" spans="1:12" x14ac:dyDescent="0.25">
      <c r="A860" t="s">
        <v>186</v>
      </c>
      <c r="B860" t="s">
        <v>258</v>
      </c>
      <c r="C860" t="s">
        <v>262</v>
      </c>
      <c r="D860" t="str">
        <f t="shared" si="65"/>
        <v>Classic Cars</v>
      </c>
      <c r="E860" t="s">
        <v>301</v>
      </c>
      <c r="F860" s="5">
        <v>4346.76</v>
      </c>
      <c r="G860" s="5">
        <v>869.35200000000009</v>
      </c>
      <c r="I860" t="str">
        <f t="shared" si="66"/>
        <v>Low Sales</v>
      </c>
      <c r="J860" t="str">
        <f t="shared" si="67"/>
        <v>Average Performance</v>
      </c>
      <c r="K860">
        <f t="shared" si="68"/>
        <v>2003</v>
      </c>
      <c r="L860" t="str">
        <f t="shared" si="69"/>
        <v>July</v>
      </c>
    </row>
    <row r="861" spans="1:12" x14ac:dyDescent="0.25">
      <c r="A861" t="s">
        <v>159</v>
      </c>
      <c r="B861" t="s">
        <v>259</v>
      </c>
      <c r="C861" t="s">
        <v>262</v>
      </c>
      <c r="D861" t="str">
        <f t="shared" si="65"/>
        <v>Classic Cars</v>
      </c>
      <c r="E861" t="s">
        <v>301</v>
      </c>
      <c r="F861" s="5">
        <v>3528.36</v>
      </c>
      <c r="G861" s="5">
        <v>705.67200000000003</v>
      </c>
      <c r="I861" t="str">
        <f t="shared" si="66"/>
        <v>Low Sales</v>
      </c>
      <c r="J861" t="str">
        <f t="shared" si="67"/>
        <v>Average Performance</v>
      </c>
      <c r="K861">
        <f t="shared" si="68"/>
        <v>2003</v>
      </c>
      <c r="L861" t="str">
        <f t="shared" si="69"/>
        <v>September</v>
      </c>
    </row>
    <row r="862" spans="1:12" x14ac:dyDescent="0.25">
      <c r="A862" t="s">
        <v>160</v>
      </c>
      <c r="B862" t="s">
        <v>258</v>
      </c>
      <c r="C862" t="s">
        <v>262</v>
      </c>
      <c r="D862" t="str">
        <f t="shared" si="65"/>
        <v>Classic Cars</v>
      </c>
      <c r="E862" t="s">
        <v>301</v>
      </c>
      <c r="F862" s="5">
        <v>3187.8</v>
      </c>
      <c r="G862" s="5">
        <v>637.56000000000006</v>
      </c>
      <c r="I862" t="str">
        <f t="shared" si="66"/>
        <v>Low Sales</v>
      </c>
      <c r="J862" t="str">
        <f t="shared" si="67"/>
        <v>Average Performance</v>
      </c>
      <c r="K862">
        <f t="shared" si="68"/>
        <v>2003</v>
      </c>
      <c r="L862" t="str">
        <f t="shared" si="69"/>
        <v>October</v>
      </c>
    </row>
    <row r="863" spans="1:12" x14ac:dyDescent="0.25">
      <c r="A863" t="s">
        <v>161</v>
      </c>
      <c r="C863" t="s">
        <v>262</v>
      </c>
      <c r="D863" t="str">
        <f t="shared" si="65"/>
        <v>Classic Cars</v>
      </c>
      <c r="E863" t="s">
        <v>301</v>
      </c>
      <c r="F863" s="5">
        <v>6023.16</v>
      </c>
      <c r="G863" s="5">
        <v>1204.6320000000001</v>
      </c>
      <c r="I863" t="str">
        <f t="shared" si="66"/>
        <v>Low Sales</v>
      </c>
      <c r="J863" t="str">
        <f t="shared" si="67"/>
        <v>Average Performance</v>
      </c>
      <c r="K863">
        <f t="shared" si="68"/>
        <v>2003</v>
      </c>
      <c r="L863" t="str">
        <f t="shared" si="69"/>
        <v>November</v>
      </c>
    </row>
    <row r="864" spans="1:12" x14ac:dyDescent="0.25">
      <c r="A864" t="s">
        <v>109</v>
      </c>
      <c r="B864" t="s">
        <v>258</v>
      </c>
      <c r="C864" t="s">
        <v>262</v>
      </c>
      <c r="D864" t="str">
        <f t="shared" si="65"/>
        <v>Classic Cars</v>
      </c>
      <c r="E864" t="s">
        <v>301</v>
      </c>
      <c r="F864" s="5">
        <v>3884.76</v>
      </c>
      <c r="G864" s="5">
        <v>776.95200000000011</v>
      </c>
      <c r="I864" t="str">
        <f t="shared" si="66"/>
        <v>Low Sales</v>
      </c>
      <c r="J864" t="str">
        <f t="shared" si="67"/>
        <v>Average Performance</v>
      </c>
      <c r="K864">
        <f t="shared" si="68"/>
        <v>2003</v>
      </c>
      <c r="L864" t="str">
        <f t="shared" si="69"/>
        <v>November</v>
      </c>
    </row>
    <row r="865" spans="1:12" x14ac:dyDescent="0.25">
      <c r="A865" t="s">
        <v>110</v>
      </c>
      <c r="C865" t="s">
        <v>262</v>
      </c>
      <c r="D865" t="str">
        <f t="shared" si="65"/>
        <v>Classic Cars</v>
      </c>
      <c r="E865" t="s">
        <v>301</v>
      </c>
      <c r="F865" s="5">
        <v>4965.84</v>
      </c>
      <c r="G865" s="5">
        <v>993.16800000000012</v>
      </c>
      <c r="I865" t="str">
        <f t="shared" si="66"/>
        <v>Low Sales</v>
      </c>
      <c r="J865" t="str">
        <f t="shared" si="67"/>
        <v>Average Performance</v>
      </c>
      <c r="K865">
        <f t="shared" si="68"/>
        <v>2003</v>
      </c>
      <c r="L865" t="str">
        <f t="shared" si="69"/>
        <v>November</v>
      </c>
    </row>
    <row r="866" spans="1:12" x14ac:dyDescent="0.25">
      <c r="A866" t="s">
        <v>111</v>
      </c>
      <c r="C866" t="s">
        <v>262</v>
      </c>
      <c r="D866" t="str">
        <f t="shared" si="65"/>
        <v>Classic Cars</v>
      </c>
      <c r="E866" t="s">
        <v>301</v>
      </c>
      <c r="F866" s="5">
        <v>4169.88</v>
      </c>
      <c r="G866" s="5">
        <v>833.97600000000011</v>
      </c>
      <c r="I866" t="str">
        <f t="shared" si="66"/>
        <v>Low Sales</v>
      </c>
      <c r="J866" t="str">
        <f t="shared" si="67"/>
        <v>Average Performance</v>
      </c>
      <c r="K866">
        <f t="shared" si="68"/>
        <v>2003</v>
      </c>
      <c r="L866" t="str">
        <f t="shared" si="69"/>
        <v>December</v>
      </c>
    </row>
    <row r="867" spans="1:12" x14ac:dyDescent="0.25">
      <c r="A867" t="s">
        <v>144</v>
      </c>
      <c r="B867" t="s">
        <v>258</v>
      </c>
      <c r="C867" t="s">
        <v>262</v>
      </c>
      <c r="D867" t="str">
        <f t="shared" si="65"/>
        <v>Classic Cars</v>
      </c>
      <c r="E867" t="s">
        <v>301</v>
      </c>
      <c r="F867" s="5">
        <v>4910.3999999999996</v>
      </c>
      <c r="G867" s="5">
        <v>982.07999999999993</v>
      </c>
      <c r="I867" t="str">
        <f t="shared" si="66"/>
        <v>Low Sales</v>
      </c>
      <c r="J867" t="str">
        <f t="shared" si="67"/>
        <v>Average Performance</v>
      </c>
      <c r="K867">
        <f t="shared" si="68"/>
        <v>2004</v>
      </c>
      <c r="L867" t="str">
        <f t="shared" si="69"/>
        <v>January</v>
      </c>
    </row>
    <row r="868" spans="1:12" x14ac:dyDescent="0.25">
      <c r="A868" t="s">
        <v>187</v>
      </c>
      <c r="C868" t="s">
        <v>262</v>
      </c>
      <c r="D868" t="str">
        <f t="shared" si="65"/>
        <v>Classic Cars</v>
      </c>
      <c r="E868" t="s">
        <v>301</v>
      </c>
      <c r="F868" s="5">
        <v>3231.36</v>
      </c>
      <c r="G868" s="5">
        <v>646.27200000000005</v>
      </c>
      <c r="I868" t="str">
        <f t="shared" si="66"/>
        <v>Low Sales</v>
      </c>
      <c r="J868" t="str">
        <f t="shared" si="67"/>
        <v>Average Performance</v>
      </c>
      <c r="K868">
        <f t="shared" si="68"/>
        <v>2004</v>
      </c>
      <c r="L868" t="str">
        <f t="shared" si="69"/>
        <v>February</v>
      </c>
    </row>
    <row r="869" spans="1:12" x14ac:dyDescent="0.25">
      <c r="A869" t="s">
        <v>162</v>
      </c>
      <c r="B869" t="s">
        <v>258</v>
      </c>
      <c r="C869" t="s">
        <v>262</v>
      </c>
      <c r="D869" t="str">
        <f t="shared" si="65"/>
        <v>Classic Cars</v>
      </c>
      <c r="E869" t="s">
        <v>301</v>
      </c>
      <c r="F869" s="5">
        <v>6853.44</v>
      </c>
      <c r="G869" s="5">
        <v>1370.6880000000001</v>
      </c>
      <c r="I869" t="str">
        <f t="shared" si="66"/>
        <v>Low Sales</v>
      </c>
      <c r="J869" t="str">
        <f t="shared" si="67"/>
        <v>Average Performance</v>
      </c>
      <c r="K869">
        <f t="shared" si="68"/>
        <v>2004</v>
      </c>
      <c r="L869" t="str">
        <f t="shared" si="69"/>
        <v>April</v>
      </c>
    </row>
    <row r="870" spans="1:12" x14ac:dyDescent="0.25">
      <c r="A870" t="s">
        <v>114</v>
      </c>
      <c r="B870" t="s">
        <v>258</v>
      </c>
      <c r="C870" t="s">
        <v>262</v>
      </c>
      <c r="D870" t="str">
        <f t="shared" si="65"/>
        <v>Classic Cars</v>
      </c>
      <c r="E870" t="s">
        <v>301</v>
      </c>
      <c r="F870" s="5">
        <v>5177.04</v>
      </c>
      <c r="G870" s="5">
        <v>1035.4079999999999</v>
      </c>
      <c r="I870" t="str">
        <f t="shared" si="66"/>
        <v>Low Sales</v>
      </c>
      <c r="J870" t="str">
        <f t="shared" si="67"/>
        <v>Average Performance</v>
      </c>
      <c r="K870">
        <f t="shared" si="68"/>
        <v>2004</v>
      </c>
      <c r="L870" t="str">
        <f t="shared" si="69"/>
        <v>June</v>
      </c>
    </row>
    <row r="871" spans="1:12" x14ac:dyDescent="0.25">
      <c r="A871" t="s">
        <v>115</v>
      </c>
      <c r="B871" t="s">
        <v>258</v>
      </c>
      <c r="C871" t="s">
        <v>262</v>
      </c>
      <c r="D871" t="str">
        <f t="shared" si="65"/>
        <v>Classic Cars</v>
      </c>
      <c r="E871" t="s">
        <v>301</v>
      </c>
      <c r="F871" s="5">
        <v>2824.8</v>
      </c>
      <c r="G871" s="5">
        <v>564.96</v>
      </c>
      <c r="I871" t="str">
        <f t="shared" si="66"/>
        <v>Low Sales</v>
      </c>
      <c r="J871" t="str">
        <f t="shared" si="67"/>
        <v>Average Performance</v>
      </c>
      <c r="K871">
        <f t="shared" si="68"/>
        <v>2004</v>
      </c>
      <c r="L871" t="str">
        <f t="shared" si="69"/>
        <v>July</v>
      </c>
    </row>
    <row r="872" spans="1:12" x14ac:dyDescent="0.25">
      <c r="A872" t="s">
        <v>163</v>
      </c>
      <c r="C872" t="s">
        <v>262</v>
      </c>
      <c r="D872" t="str">
        <f t="shared" si="65"/>
        <v>Classic Cars</v>
      </c>
      <c r="E872" t="s">
        <v>301</v>
      </c>
      <c r="F872" s="5">
        <v>4324.32</v>
      </c>
      <c r="G872" s="5">
        <v>864.86400000000003</v>
      </c>
      <c r="I872" t="str">
        <f t="shared" si="66"/>
        <v>Low Sales</v>
      </c>
      <c r="J872" t="str">
        <f t="shared" si="67"/>
        <v>Average Performance</v>
      </c>
      <c r="K872">
        <f t="shared" si="68"/>
        <v>2004</v>
      </c>
      <c r="L872" t="str">
        <f t="shared" si="69"/>
        <v>August</v>
      </c>
    </row>
    <row r="873" spans="1:12" x14ac:dyDescent="0.25">
      <c r="A873" t="s">
        <v>117</v>
      </c>
      <c r="B873" t="s">
        <v>258</v>
      </c>
      <c r="C873" t="s">
        <v>262</v>
      </c>
      <c r="D873" t="str">
        <f t="shared" si="65"/>
        <v>Classic Cars</v>
      </c>
      <c r="E873" t="s">
        <v>301</v>
      </c>
      <c r="F873" s="5">
        <v>5052.96</v>
      </c>
      <c r="G873" s="5">
        <v>1010.592</v>
      </c>
      <c r="I873" t="str">
        <f t="shared" si="66"/>
        <v>Low Sales</v>
      </c>
      <c r="J873" t="str">
        <f t="shared" si="67"/>
        <v>Average Performance</v>
      </c>
      <c r="K873">
        <f t="shared" si="68"/>
        <v>2004</v>
      </c>
      <c r="L873" t="str">
        <f t="shared" si="69"/>
        <v>August</v>
      </c>
    </row>
    <row r="874" spans="1:12" x14ac:dyDescent="0.25">
      <c r="A874" t="s">
        <v>164</v>
      </c>
      <c r="B874" t="s">
        <v>258</v>
      </c>
      <c r="C874" t="s">
        <v>262</v>
      </c>
      <c r="D874" t="str">
        <f t="shared" si="65"/>
        <v>Classic Cars</v>
      </c>
      <c r="E874" t="s">
        <v>301</v>
      </c>
      <c r="F874" s="5">
        <v>3223.44</v>
      </c>
      <c r="G874" s="5">
        <v>644.6880000000001</v>
      </c>
      <c r="I874" t="str">
        <f t="shared" si="66"/>
        <v>Low Sales</v>
      </c>
      <c r="J874" t="str">
        <f t="shared" si="67"/>
        <v>Average Performance</v>
      </c>
      <c r="K874">
        <f t="shared" si="68"/>
        <v>2003</v>
      </c>
      <c r="L874" t="str">
        <f t="shared" si="69"/>
        <v>October</v>
      </c>
    </row>
    <row r="875" spans="1:12" x14ac:dyDescent="0.25">
      <c r="A875" t="s">
        <v>119</v>
      </c>
      <c r="B875" t="s">
        <v>258</v>
      </c>
      <c r="C875" t="s">
        <v>262</v>
      </c>
      <c r="D875" t="str">
        <f t="shared" si="65"/>
        <v>Classic Cars</v>
      </c>
      <c r="E875" t="s">
        <v>301</v>
      </c>
      <c r="F875" s="5">
        <v>5278.68</v>
      </c>
      <c r="G875" s="5">
        <v>1055.7360000000001</v>
      </c>
      <c r="I875" t="str">
        <f t="shared" si="66"/>
        <v>Low Sales</v>
      </c>
      <c r="J875" t="str">
        <f t="shared" si="67"/>
        <v>Average Performance</v>
      </c>
      <c r="K875">
        <f t="shared" si="68"/>
        <v>2004</v>
      </c>
      <c r="L875" t="str">
        <f t="shared" si="69"/>
        <v>October</v>
      </c>
    </row>
    <row r="876" spans="1:12" x14ac:dyDescent="0.25">
      <c r="A876" t="s">
        <v>51</v>
      </c>
      <c r="C876" t="s">
        <v>262</v>
      </c>
      <c r="D876" t="str">
        <f t="shared" si="65"/>
        <v>Classic Cars</v>
      </c>
      <c r="E876" t="s">
        <v>301</v>
      </c>
      <c r="F876" s="5">
        <v>2851.2</v>
      </c>
      <c r="G876" s="5">
        <v>570.24</v>
      </c>
      <c r="I876" t="str">
        <f t="shared" si="66"/>
        <v>Low Sales</v>
      </c>
      <c r="J876" t="str">
        <f t="shared" si="67"/>
        <v>Average Performance</v>
      </c>
      <c r="K876">
        <f t="shared" si="68"/>
        <v>2004</v>
      </c>
      <c r="L876" t="str">
        <f t="shared" si="69"/>
        <v>November</v>
      </c>
    </row>
    <row r="877" spans="1:12" x14ac:dyDescent="0.25">
      <c r="A877" t="s">
        <v>165</v>
      </c>
      <c r="C877" t="s">
        <v>262</v>
      </c>
      <c r="D877" t="str">
        <f t="shared" si="65"/>
        <v>Classic Cars</v>
      </c>
      <c r="E877" t="s">
        <v>301</v>
      </c>
      <c r="F877" s="5">
        <v>1687.4</v>
      </c>
      <c r="G877" s="5">
        <v>337.48</v>
      </c>
      <c r="I877" t="str">
        <f t="shared" si="66"/>
        <v>Low Sales</v>
      </c>
      <c r="J877" t="str">
        <f t="shared" si="67"/>
        <v>Average Performance</v>
      </c>
      <c r="K877">
        <f t="shared" si="68"/>
        <v>2004</v>
      </c>
      <c r="L877" t="str">
        <f t="shared" si="69"/>
        <v>November</v>
      </c>
    </row>
    <row r="878" spans="1:12" x14ac:dyDescent="0.25">
      <c r="A878" t="s">
        <v>26</v>
      </c>
      <c r="B878" t="s">
        <v>258</v>
      </c>
      <c r="C878" t="s">
        <v>262</v>
      </c>
      <c r="D878" t="str">
        <f t="shared" si="65"/>
        <v>Classic Cars</v>
      </c>
      <c r="E878" t="s">
        <v>301</v>
      </c>
      <c r="F878" s="5">
        <v>1308</v>
      </c>
      <c r="G878" s="5">
        <v>261.60000000000002</v>
      </c>
      <c r="I878" t="str">
        <f t="shared" si="66"/>
        <v>Low Sales</v>
      </c>
      <c r="J878" t="str">
        <f t="shared" si="67"/>
        <v>Average Performance</v>
      </c>
      <c r="K878">
        <f t="shared" si="68"/>
        <v>2004</v>
      </c>
      <c r="L878" t="str">
        <f t="shared" si="69"/>
        <v>November</v>
      </c>
    </row>
    <row r="879" spans="1:12" x14ac:dyDescent="0.25">
      <c r="A879" t="s">
        <v>209</v>
      </c>
      <c r="B879" t="s">
        <v>258</v>
      </c>
      <c r="C879" t="s">
        <v>262</v>
      </c>
      <c r="D879" t="str">
        <f t="shared" si="65"/>
        <v>Classic Cars</v>
      </c>
      <c r="E879" t="s">
        <v>301</v>
      </c>
      <c r="F879" s="5">
        <v>6144.6</v>
      </c>
      <c r="G879" s="5">
        <v>1228.92</v>
      </c>
      <c r="I879" t="str">
        <f t="shared" si="66"/>
        <v>Low Sales</v>
      </c>
      <c r="J879" t="str">
        <f t="shared" si="67"/>
        <v>Average Performance</v>
      </c>
      <c r="K879">
        <f t="shared" si="68"/>
        <v>2005</v>
      </c>
      <c r="L879" t="str">
        <f t="shared" si="69"/>
        <v>January</v>
      </c>
    </row>
    <row r="880" spans="1:12" x14ac:dyDescent="0.25">
      <c r="A880" t="s">
        <v>190</v>
      </c>
      <c r="B880" t="s">
        <v>258</v>
      </c>
      <c r="C880" t="s">
        <v>262</v>
      </c>
      <c r="D880" t="str">
        <f t="shared" si="65"/>
        <v>Classic Cars</v>
      </c>
      <c r="E880" t="s">
        <v>301</v>
      </c>
      <c r="F880" s="5">
        <v>5127.2</v>
      </c>
      <c r="G880" s="5">
        <v>1025.44</v>
      </c>
      <c r="I880" t="str">
        <f t="shared" si="66"/>
        <v>Low Sales</v>
      </c>
      <c r="J880" t="str">
        <f t="shared" si="67"/>
        <v>Average Performance</v>
      </c>
      <c r="K880">
        <f t="shared" si="68"/>
        <v>2005</v>
      </c>
      <c r="L880" t="str">
        <f t="shared" si="69"/>
        <v>February</v>
      </c>
    </row>
    <row r="881" spans="1:12" x14ac:dyDescent="0.25">
      <c r="A881" t="s">
        <v>191</v>
      </c>
      <c r="C881" t="s">
        <v>262</v>
      </c>
      <c r="D881" t="str">
        <f t="shared" si="65"/>
        <v>Classic Cars</v>
      </c>
      <c r="E881" t="s">
        <v>301</v>
      </c>
      <c r="F881" s="5">
        <v>6386.16</v>
      </c>
      <c r="G881" s="5">
        <v>1277.232</v>
      </c>
      <c r="I881" t="str">
        <f t="shared" si="66"/>
        <v>Low Sales</v>
      </c>
      <c r="J881" t="str">
        <f t="shared" si="67"/>
        <v>Average Performance</v>
      </c>
      <c r="K881">
        <f t="shared" si="68"/>
        <v>2005</v>
      </c>
      <c r="L881" t="str">
        <f t="shared" si="69"/>
        <v>April</v>
      </c>
    </row>
    <row r="882" spans="1:12" x14ac:dyDescent="0.25">
      <c r="A882" t="s">
        <v>122</v>
      </c>
      <c r="B882" t="s">
        <v>258</v>
      </c>
      <c r="C882" t="s">
        <v>262</v>
      </c>
      <c r="D882" t="str">
        <f t="shared" si="65"/>
        <v>Classic Cars</v>
      </c>
      <c r="E882" t="s">
        <v>301</v>
      </c>
      <c r="F882" s="5">
        <v>7695.6</v>
      </c>
      <c r="G882" s="5">
        <v>1539.12</v>
      </c>
      <c r="I882" t="str">
        <f t="shared" si="66"/>
        <v>Low Sales</v>
      </c>
      <c r="J882" t="str">
        <f t="shared" si="67"/>
        <v>Average Performance</v>
      </c>
      <c r="K882">
        <f t="shared" si="68"/>
        <v>2005</v>
      </c>
      <c r="L882" t="str">
        <f t="shared" si="69"/>
        <v>May</v>
      </c>
    </row>
    <row r="883" spans="1:12" x14ac:dyDescent="0.25">
      <c r="A883" t="s">
        <v>32</v>
      </c>
      <c r="B883" t="s">
        <v>258</v>
      </c>
      <c r="C883" t="s">
        <v>264</v>
      </c>
      <c r="D883" t="str">
        <f t="shared" si="65"/>
        <v>Vintage Cars</v>
      </c>
      <c r="E883" t="s">
        <v>302</v>
      </c>
      <c r="F883" s="5">
        <v>2242.89</v>
      </c>
      <c r="G883" s="5">
        <v>448.57799999999997</v>
      </c>
      <c r="I883" t="str">
        <f t="shared" si="66"/>
        <v>Low Sales</v>
      </c>
      <c r="J883" t="str">
        <f t="shared" si="67"/>
        <v>Average Performance</v>
      </c>
      <c r="K883">
        <f t="shared" si="68"/>
        <v>2003</v>
      </c>
      <c r="L883" t="str">
        <f t="shared" si="69"/>
        <v>January</v>
      </c>
    </row>
    <row r="884" spans="1:12" x14ac:dyDescent="0.25">
      <c r="A884" t="s">
        <v>33</v>
      </c>
      <c r="B884" t="s">
        <v>258</v>
      </c>
      <c r="C884" t="s">
        <v>264</v>
      </c>
      <c r="D884" t="str">
        <f t="shared" si="65"/>
        <v>Vintage Cars</v>
      </c>
      <c r="E884" t="s">
        <v>302</v>
      </c>
      <c r="F884" s="5">
        <v>2539.89</v>
      </c>
      <c r="G884" s="5">
        <v>507.97800000000001</v>
      </c>
      <c r="I884" t="str">
        <f t="shared" si="66"/>
        <v>Low Sales</v>
      </c>
      <c r="J884" t="str">
        <f t="shared" si="67"/>
        <v>Average Performance</v>
      </c>
      <c r="K884">
        <f t="shared" si="68"/>
        <v>2003</v>
      </c>
      <c r="L884" t="str">
        <f t="shared" si="69"/>
        <v>March</v>
      </c>
    </row>
    <row r="885" spans="1:12" x14ac:dyDescent="0.25">
      <c r="A885" t="s">
        <v>34</v>
      </c>
      <c r="B885" t="s">
        <v>258</v>
      </c>
      <c r="C885" t="s">
        <v>264</v>
      </c>
      <c r="D885" t="str">
        <f t="shared" si="65"/>
        <v>Vintage Cars</v>
      </c>
      <c r="E885" t="s">
        <v>302</v>
      </c>
      <c r="F885" s="5">
        <v>2795.27</v>
      </c>
      <c r="G885" s="5">
        <v>559.05399999999997</v>
      </c>
      <c r="I885" t="str">
        <f t="shared" si="66"/>
        <v>Low Sales</v>
      </c>
      <c r="J885" t="str">
        <f t="shared" si="67"/>
        <v>Average Performance</v>
      </c>
      <c r="K885">
        <f t="shared" si="68"/>
        <v>2003</v>
      </c>
      <c r="L885" t="str">
        <f t="shared" si="69"/>
        <v>May</v>
      </c>
    </row>
    <row r="886" spans="1:12" x14ac:dyDescent="0.25">
      <c r="A886" t="s">
        <v>173</v>
      </c>
      <c r="B886" t="s">
        <v>259</v>
      </c>
      <c r="C886" t="s">
        <v>264</v>
      </c>
      <c r="D886" t="str">
        <f t="shared" si="65"/>
        <v>Vintage Cars</v>
      </c>
      <c r="E886" t="s">
        <v>302</v>
      </c>
      <c r="F886" s="5">
        <v>5545.76</v>
      </c>
      <c r="G886" s="5">
        <v>1109.152</v>
      </c>
      <c r="I886" t="str">
        <f t="shared" si="66"/>
        <v>Low Sales</v>
      </c>
      <c r="J886" t="str">
        <f t="shared" si="67"/>
        <v>Average Performance</v>
      </c>
      <c r="K886">
        <f t="shared" si="68"/>
        <v>2003</v>
      </c>
      <c r="L886" t="str">
        <f t="shared" si="69"/>
        <v>July</v>
      </c>
    </row>
    <row r="887" spans="1:12" x14ac:dyDescent="0.25">
      <c r="A887" t="s">
        <v>36</v>
      </c>
      <c r="B887" t="s">
        <v>260</v>
      </c>
      <c r="C887" t="s">
        <v>264</v>
      </c>
      <c r="D887" t="str">
        <f t="shared" si="65"/>
        <v>Vintage Cars</v>
      </c>
      <c r="E887" t="s">
        <v>302</v>
      </c>
      <c r="F887" s="5">
        <v>4285.46</v>
      </c>
      <c r="G887" s="5">
        <v>857.0920000000001</v>
      </c>
      <c r="I887" t="str">
        <f t="shared" si="66"/>
        <v>Low Sales</v>
      </c>
      <c r="J887" t="str">
        <f t="shared" si="67"/>
        <v>Average Performance</v>
      </c>
      <c r="K887">
        <f t="shared" si="68"/>
        <v>2003</v>
      </c>
      <c r="L887" t="str">
        <f t="shared" si="69"/>
        <v>September</v>
      </c>
    </row>
    <row r="888" spans="1:12" x14ac:dyDescent="0.25">
      <c r="A888" t="s">
        <v>37</v>
      </c>
      <c r="C888" t="s">
        <v>264</v>
      </c>
      <c r="D888" t="str">
        <f t="shared" si="65"/>
        <v>Vintage Cars</v>
      </c>
      <c r="E888" t="s">
        <v>302</v>
      </c>
      <c r="F888" s="5">
        <v>3329.09</v>
      </c>
      <c r="G888" s="5">
        <v>665.8180000000001</v>
      </c>
      <c r="I888" t="str">
        <f t="shared" si="66"/>
        <v>Low Sales</v>
      </c>
      <c r="J888" t="str">
        <f t="shared" si="67"/>
        <v>Average Performance</v>
      </c>
      <c r="K888">
        <f t="shared" si="68"/>
        <v>2003</v>
      </c>
      <c r="L888" t="str">
        <f t="shared" si="69"/>
        <v>October</v>
      </c>
    </row>
    <row r="889" spans="1:12" x14ac:dyDescent="0.25">
      <c r="A889" t="s">
        <v>38</v>
      </c>
      <c r="B889" t="s">
        <v>259</v>
      </c>
      <c r="C889" t="s">
        <v>264</v>
      </c>
      <c r="D889" t="str">
        <f t="shared" si="65"/>
        <v>Vintage Cars</v>
      </c>
      <c r="E889" t="s">
        <v>302</v>
      </c>
      <c r="F889" s="5">
        <v>5592.22</v>
      </c>
      <c r="G889" s="5">
        <v>1118.444</v>
      </c>
      <c r="I889" t="str">
        <f t="shared" si="66"/>
        <v>Low Sales</v>
      </c>
      <c r="J889" t="str">
        <f t="shared" si="67"/>
        <v>Average Performance</v>
      </c>
      <c r="K889">
        <f t="shared" si="68"/>
        <v>2003</v>
      </c>
      <c r="L889" t="str">
        <f t="shared" si="69"/>
        <v>November</v>
      </c>
    </row>
    <row r="890" spans="1:12" x14ac:dyDescent="0.25">
      <c r="A890" t="s">
        <v>39</v>
      </c>
      <c r="C890" t="s">
        <v>264</v>
      </c>
      <c r="D890" t="str">
        <f t="shared" si="65"/>
        <v>Vintage Cars</v>
      </c>
      <c r="E890" t="s">
        <v>302</v>
      </c>
      <c r="F890" s="5">
        <v>3298.55</v>
      </c>
      <c r="G890" s="5">
        <v>659.71</v>
      </c>
      <c r="I890" t="str">
        <f t="shared" si="66"/>
        <v>Low Sales</v>
      </c>
      <c r="J890" t="str">
        <f t="shared" si="67"/>
        <v>Average Performance</v>
      </c>
      <c r="K890">
        <f t="shared" si="68"/>
        <v>2003</v>
      </c>
      <c r="L890" t="str">
        <f t="shared" si="69"/>
        <v>November</v>
      </c>
    </row>
    <row r="891" spans="1:12" x14ac:dyDescent="0.25">
      <c r="A891" t="s">
        <v>176</v>
      </c>
      <c r="B891" t="s">
        <v>259</v>
      </c>
      <c r="C891" t="s">
        <v>264</v>
      </c>
      <c r="D891" t="str">
        <f t="shared" si="65"/>
        <v>Vintage Cars</v>
      </c>
      <c r="E891" t="s">
        <v>302</v>
      </c>
      <c r="F891" s="5">
        <v>2609.88</v>
      </c>
      <c r="G891" s="5">
        <v>521.976</v>
      </c>
      <c r="I891" t="str">
        <f t="shared" si="66"/>
        <v>Low Sales</v>
      </c>
      <c r="J891" t="str">
        <f t="shared" si="67"/>
        <v>Average Performance</v>
      </c>
      <c r="K891">
        <f t="shared" si="68"/>
        <v>2003</v>
      </c>
      <c r="L891" t="str">
        <f t="shared" si="69"/>
        <v>November</v>
      </c>
    </row>
    <row r="892" spans="1:12" x14ac:dyDescent="0.25">
      <c r="A892" t="s">
        <v>41</v>
      </c>
      <c r="C892" t="s">
        <v>264</v>
      </c>
      <c r="D892" t="str">
        <f t="shared" si="65"/>
        <v>Vintage Cars</v>
      </c>
      <c r="E892" t="s">
        <v>302</v>
      </c>
      <c r="F892" s="5">
        <v>3336.29</v>
      </c>
      <c r="G892" s="5">
        <v>667.25800000000004</v>
      </c>
      <c r="I892" t="str">
        <f t="shared" si="66"/>
        <v>Low Sales</v>
      </c>
      <c r="J892" t="str">
        <f t="shared" si="67"/>
        <v>Average Performance</v>
      </c>
      <c r="K892">
        <f t="shared" si="68"/>
        <v>2003</v>
      </c>
      <c r="L892" t="str">
        <f t="shared" si="69"/>
        <v>December</v>
      </c>
    </row>
    <row r="893" spans="1:12" x14ac:dyDescent="0.25">
      <c r="A893" t="s">
        <v>42</v>
      </c>
      <c r="C893" t="s">
        <v>264</v>
      </c>
      <c r="D893" t="str">
        <f t="shared" si="65"/>
        <v>Vintage Cars</v>
      </c>
      <c r="E893" t="s">
        <v>302</v>
      </c>
      <c r="F893" s="5">
        <v>5510.05</v>
      </c>
      <c r="G893" s="5">
        <v>1102.01</v>
      </c>
      <c r="I893" t="str">
        <f t="shared" si="66"/>
        <v>Low Sales</v>
      </c>
      <c r="J893" t="str">
        <f t="shared" si="67"/>
        <v>Average Performance</v>
      </c>
      <c r="K893">
        <f t="shared" si="68"/>
        <v>2004</v>
      </c>
      <c r="L893" t="str">
        <f t="shared" si="69"/>
        <v>January</v>
      </c>
    </row>
    <row r="894" spans="1:12" x14ac:dyDescent="0.25">
      <c r="A894" t="s">
        <v>43</v>
      </c>
      <c r="C894" t="s">
        <v>264</v>
      </c>
      <c r="D894" t="str">
        <f t="shared" si="65"/>
        <v>Vintage Cars</v>
      </c>
      <c r="E894" t="s">
        <v>302</v>
      </c>
      <c r="F894" s="5">
        <v>2504.4</v>
      </c>
      <c r="G894" s="5">
        <v>500.88000000000011</v>
      </c>
      <c r="I894" t="str">
        <f t="shared" si="66"/>
        <v>Low Sales</v>
      </c>
      <c r="J894" t="str">
        <f t="shared" si="67"/>
        <v>Average Performance</v>
      </c>
      <c r="K894">
        <f t="shared" si="68"/>
        <v>2004</v>
      </c>
      <c r="L894" t="str">
        <f t="shared" si="69"/>
        <v>March</v>
      </c>
    </row>
    <row r="895" spans="1:12" x14ac:dyDescent="0.25">
      <c r="A895" t="s">
        <v>179</v>
      </c>
      <c r="B895" t="s">
        <v>258</v>
      </c>
      <c r="C895" t="s">
        <v>264</v>
      </c>
      <c r="D895" t="str">
        <f t="shared" si="65"/>
        <v>Vintage Cars</v>
      </c>
      <c r="E895" t="s">
        <v>302</v>
      </c>
      <c r="F895" s="5">
        <v>3525.6</v>
      </c>
      <c r="G895" s="5">
        <v>705.12</v>
      </c>
      <c r="I895" t="str">
        <f t="shared" si="66"/>
        <v>Low Sales</v>
      </c>
      <c r="J895" t="str">
        <f t="shared" si="67"/>
        <v>Average Performance</v>
      </c>
      <c r="K895">
        <f t="shared" si="68"/>
        <v>2004</v>
      </c>
      <c r="L895" t="str">
        <f t="shared" si="69"/>
        <v>April</v>
      </c>
    </row>
    <row r="896" spans="1:12" x14ac:dyDescent="0.25">
      <c r="A896" t="s">
        <v>221</v>
      </c>
      <c r="C896" t="s">
        <v>264</v>
      </c>
      <c r="D896" t="str">
        <f t="shared" si="65"/>
        <v>Vintage Cars</v>
      </c>
      <c r="E896" t="s">
        <v>302</v>
      </c>
      <c r="F896" s="5">
        <v>4407</v>
      </c>
      <c r="G896" s="5">
        <v>881.40000000000009</v>
      </c>
      <c r="I896" t="str">
        <f t="shared" si="66"/>
        <v>Low Sales</v>
      </c>
      <c r="J896" t="str">
        <f t="shared" si="67"/>
        <v>Average Performance</v>
      </c>
      <c r="K896">
        <f t="shared" si="68"/>
        <v>2004</v>
      </c>
      <c r="L896" t="str">
        <f t="shared" si="69"/>
        <v>June</v>
      </c>
    </row>
    <row r="897" spans="1:12" x14ac:dyDescent="0.25">
      <c r="A897" t="s">
        <v>46</v>
      </c>
      <c r="B897" t="s">
        <v>259</v>
      </c>
      <c r="C897" t="s">
        <v>264</v>
      </c>
      <c r="D897" t="str">
        <f t="shared" si="65"/>
        <v>Vintage Cars</v>
      </c>
      <c r="E897" t="s">
        <v>302</v>
      </c>
      <c r="F897" s="5">
        <v>2983.44</v>
      </c>
      <c r="G897" s="5">
        <v>596.68799999999999</v>
      </c>
      <c r="I897" t="str">
        <f t="shared" si="66"/>
        <v>Low Sales</v>
      </c>
      <c r="J897" t="str">
        <f t="shared" si="67"/>
        <v>Average Performance</v>
      </c>
      <c r="K897">
        <f t="shared" si="68"/>
        <v>2004</v>
      </c>
      <c r="L897" t="str">
        <f t="shared" si="69"/>
        <v>July</v>
      </c>
    </row>
    <row r="898" spans="1:12" x14ac:dyDescent="0.25">
      <c r="A898" t="s">
        <v>47</v>
      </c>
      <c r="B898" t="s">
        <v>258</v>
      </c>
      <c r="C898" t="s">
        <v>264</v>
      </c>
      <c r="D898" t="str">
        <f t="shared" si="65"/>
        <v>Vintage Cars</v>
      </c>
      <c r="E898" t="s">
        <v>302</v>
      </c>
      <c r="F898" s="5">
        <v>5126.24</v>
      </c>
      <c r="G898" s="5">
        <v>1025.248</v>
      </c>
      <c r="I898" t="str">
        <f t="shared" si="66"/>
        <v>Low Sales</v>
      </c>
      <c r="J898" t="str">
        <f t="shared" si="67"/>
        <v>Average Performance</v>
      </c>
      <c r="K898">
        <f t="shared" si="68"/>
        <v>2004</v>
      </c>
      <c r="L898" t="str">
        <f t="shared" si="69"/>
        <v>August</v>
      </c>
    </row>
    <row r="899" spans="1:12" x14ac:dyDescent="0.25">
      <c r="A899" t="s">
        <v>48</v>
      </c>
      <c r="B899" t="s">
        <v>258</v>
      </c>
      <c r="C899" t="s">
        <v>264</v>
      </c>
      <c r="D899" t="str">
        <f t="shared" ref="D899:D962" si="70">PROPER(TRIM(C899))</f>
        <v>Vintage Cars</v>
      </c>
      <c r="E899" t="s">
        <v>302</v>
      </c>
      <c r="F899" s="5">
        <v>5713.79</v>
      </c>
      <c r="G899" s="5">
        <v>1142.758</v>
      </c>
      <c r="I899" t="str">
        <f t="shared" ref="I899:I962" si="71">IF(F899&gt;50000,"High Sales","Low Sales")</f>
        <v>Low Sales</v>
      </c>
      <c r="J899" t="str">
        <f t="shared" ref="J899:J962" si="72">IF(AND(F899&gt;30000,G899&gt;5000),"Good Performance","Average Performance")</f>
        <v>Average Performance</v>
      </c>
      <c r="K899">
        <f t="shared" ref="K899:K962" si="73">YEAR(A899)</f>
        <v>2004</v>
      </c>
      <c r="L899" t="str">
        <f t="shared" ref="L899:L962" si="74">TEXT(A899,"mmmm")</f>
        <v>September</v>
      </c>
    </row>
    <row r="900" spans="1:12" x14ac:dyDescent="0.25">
      <c r="A900" t="s">
        <v>49</v>
      </c>
      <c r="B900" t="s">
        <v>258</v>
      </c>
      <c r="C900" t="s">
        <v>264</v>
      </c>
      <c r="D900" t="str">
        <f t="shared" si="70"/>
        <v>Vintage Cars</v>
      </c>
      <c r="E900" t="s">
        <v>302</v>
      </c>
      <c r="F900" s="5">
        <v>4613.8</v>
      </c>
      <c r="G900" s="5">
        <v>922.7600000000001</v>
      </c>
      <c r="I900" t="str">
        <f t="shared" si="71"/>
        <v>Low Sales</v>
      </c>
      <c r="J900" t="str">
        <f t="shared" si="72"/>
        <v>Average Performance</v>
      </c>
      <c r="K900">
        <f t="shared" si="73"/>
        <v>2004</v>
      </c>
      <c r="L900" t="str">
        <f t="shared" si="74"/>
        <v>October</v>
      </c>
    </row>
    <row r="901" spans="1:12" x14ac:dyDescent="0.25">
      <c r="A901" t="s">
        <v>50</v>
      </c>
      <c r="C901" t="s">
        <v>264</v>
      </c>
      <c r="D901" t="str">
        <f t="shared" si="70"/>
        <v>Vintage Cars</v>
      </c>
      <c r="E901" t="s">
        <v>302</v>
      </c>
      <c r="F901" s="5">
        <v>3711.1</v>
      </c>
      <c r="G901" s="5">
        <v>742.22</v>
      </c>
      <c r="I901" t="str">
        <f t="shared" si="71"/>
        <v>Low Sales</v>
      </c>
      <c r="J901" t="str">
        <f t="shared" si="72"/>
        <v>Average Performance</v>
      </c>
      <c r="K901">
        <f t="shared" si="73"/>
        <v>2004</v>
      </c>
      <c r="L901" t="str">
        <f t="shared" si="74"/>
        <v>October</v>
      </c>
    </row>
    <row r="902" spans="1:12" x14ac:dyDescent="0.25">
      <c r="A902" t="s">
        <v>51</v>
      </c>
      <c r="C902" t="s">
        <v>264</v>
      </c>
      <c r="D902" t="str">
        <f t="shared" si="70"/>
        <v>Vintage Cars</v>
      </c>
      <c r="E902" t="s">
        <v>302</v>
      </c>
      <c r="F902" s="5">
        <v>3524.73</v>
      </c>
      <c r="G902" s="5">
        <v>704.94600000000003</v>
      </c>
      <c r="I902" t="str">
        <f t="shared" si="71"/>
        <v>Low Sales</v>
      </c>
      <c r="J902" t="str">
        <f t="shared" si="72"/>
        <v>Average Performance</v>
      </c>
      <c r="K902">
        <f t="shared" si="73"/>
        <v>2004</v>
      </c>
      <c r="L902" t="str">
        <f t="shared" si="74"/>
        <v>November</v>
      </c>
    </row>
    <row r="903" spans="1:12" x14ac:dyDescent="0.25">
      <c r="A903" t="s">
        <v>52</v>
      </c>
      <c r="C903" t="s">
        <v>264</v>
      </c>
      <c r="D903" t="str">
        <f t="shared" si="70"/>
        <v>Vintage Cars</v>
      </c>
      <c r="E903" t="s">
        <v>302</v>
      </c>
      <c r="F903" s="5">
        <v>2795.27</v>
      </c>
      <c r="G903" s="5">
        <v>559.05399999999997</v>
      </c>
      <c r="I903" t="str">
        <f t="shared" si="71"/>
        <v>Low Sales</v>
      </c>
      <c r="J903" t="str">
        <f t="shared" si="72"/>
        <v>Average Performance</v>
      </c>
      <c r="K903">
        <f t="shared" si="73"/>
        <v>2004</v>
      </c>
      <c r="L903" t="str">
        <f t="shared" si="74"/>
        <v>November</v>
      </c>
    </row>
    <row r="904" spans="1:12" x14ac:dyDescent="0.25">
      <c r="A904" t="s">
        <v>53</v>
      </c>
      <c r="B904" t="s">
        <v>259</v>
      </c>
      <c r="C904" t="s">
        <v>264</v>
      </c>
      <c r="D904" t="str">
        <f t="shared" si="70"/>
        <v>Vintage Cars</v>
      </c>
      <c r="E904" t="s">
        <v>302</v>
      </c>
      <c r="F904" s="5">
        <v>4814.3999999999996</v>
      </c>
      <c r="G904" s="5">
        <v>962.88</v>
      </c>
      <c r="I904" t="str">
        <f t="shared" si="71"/>
        <v>Low Sales</v>
      </c>
      <c r="J904" t="str">
        <f t="shared" si="72"/>
        <v>Average Performance</v>
      </c>
      <c r="K904">
        <f t="shared" si="73"/>
        <v>2004</v>
      </c>
      <c r="L904" t="str">
        <f t="shared" si="74"/>
        <v>November</v>
      </c>
    </row>
    <row r="905" spans="1:12" x14ac:dyDescent="0.25">
      <c r="A905" t="s">
        <v>54</v>
      </c>
      <c r="C905" t="s">
        <v>264</v>
      </c>
      <c r="D905" t="str">
        <f t="shared" si="70"/>
        <v>Vintage Cars</v>
      </c>
      <c r="E905" t="s">
        <v>302</v>
      </c>
      <c r="F905" s="5">
        <v>3572.33</v>
      </c>
      <c r="G905" s="5">
        <v>714.46600000000001</v>
      </c>
      <c r="I905" t="str">
        <f t="shared" si="71"/>
        <v>Low Sales</v>
      </c>
      <c r="J905" t="str">
        <f t="shared" si="72"/>
        <v>Average Performance</v>
      </c>
      <c r="K905">
        <f t="shared" si="73"/>
        <v>2004</v>
      </c>
      <c r="L905" t="str">
        <f t="shared" si="74"/>
        <v>December</v>
      </c>
    </row>
    <row r="906" spans="1:12" x14ac:dyDescent="0.25">
      <c r="A906" t="s">
        <v>55</v>
      </c>
      <c r="C906" t="s">
        <v>264</v>
      </c>
      <c r="D906" t="str">
        <f t="shared" si="70"/>
        <v>Vintage Cars</v>
      </c>
      <c r="E906" t="s">
        <v>302</v>
      </c>
      <c r="F906" s="5">
        <v>4581.3599999999997</v>
      </c>
      <c r="G906" s="5">
        <v>916.27199999999993</v>
      </c>
      <c r="I906" t="str">
        <f t="shared" si="71"/>
        <v>Low Sales</v>
      </c>
      <c r="J906" t="str">
        <f t="shared" si="72"/>
        <v>Average Performance</v>
      </c>
      <c r="K906">
        <f t="shared" si="73"/>
        <v>2005</v>
      </c>
      <c r="L906" t="str">
        <f t="shared" si="74"/>
        <v>January</v>
      </c>
    </row>
    <row r="907" spans="1:12" x14ac:dyDescent="0.25">
      <c r="A907" t="s">
        <v>56</v>
      </c>
      <c r="C907" t="s">
        <v>264</v>
      </c>
      <c r="D907" t="str">
        <f t="shared" si="70"/>
        <v>Vintage Cars</v>
      </c>
      <c r="E907" t="s">
        <v>302</v>
      </c>
      <c r="F907" s="5">
        <v>4319.76</v>
      </c>
      <c r="G907" s="5">
        <v>863.95200000000011</v>
      </c>
      <c r="I907" t="str">
        <f t="shared" si="71"/>
        <v>Low Sales</v>
      </c>
      <c r="J907" t="str">
        <f t="shared" si="72"/>
        <v>Average Performance</v>
      </c>
      <c r="K907">
        <f t="shared" si="73"/>
        <v>2005</v>
      </c>
      <c r="L907" t="str">
        <f t="shared" si="74"/>
        <v>February</v>
      </c>
    </row>
    <row r="908" spans="1:12" x14ac:dyDescent="0.25">
      <c r="A908" t="s">
        <v>57</v>
      </c>
      <c r="B908" t="s">
        <v>259</v>
      </c>
      <c r="C908" t="s">
        <v>264</v>
      </c>
      <c r="D908" t="str">
        <f t="shared" si="70"/>
        <v>Vintage Cars</v>
      </c>
      <c r="E908" t="s">
        <v>302</v>
      </c>
      <c r="F908" s="5">
        <v>1448</v>
      </c>
      <c r="G908" s="5">
        <v>289.60000000000002</v>
      </c>
      <c r="I908" t="str">
        <f t="shared" si="71"/>
        <v>Low Sales</v>
      </c>
      <c r="J908" t="str">
        <f t="shared" si="72"/>
        <v>Average Performance</v>
      </c>
      <c r="K908">
        <f t="shared" si="73"/>
        <v>2005</v>
      </c>
      <c r="L908" t="str">
        <f t="shared" si="74"/>
        <v>March</v>
      </c>
    </row>
    <row r="909" spans="1:12" x14ac:dyDescent="0.25">
      <c r="A909" t="s">
        <v>183</v>
      </c>
      <c r="B909" t="s">
        <v>258</v>
      </c>
      <c r="C909" t="s">
        <v>264</v>
      </c>
      <c r="D909" t="str">
        <f t="shared" si="70"/>
        <v>Vintage Cars</v>
      </c>
      <c r="E909" t="s">
        <v>302</v>
      </c>
      <c r="F909" s="5">
        <v>881.4</v>
      </c>
      <c r="G909" s="5">
        <v>176.28</v>
      </c>
      <c r="I909" t="str">
        <f t="shared" si="71"/>
        <v>Low Sales</v>
      </c>
      <c r="J909" t="str">
        <f t="shared" si="72"/>
        <v>Average Performance</v>
      </c>
      <c r="K909">
        <f t="shared" si="73"/>
        <v>2005</v>
      </c>
      <c r="L909" t="str">
        <f t="shared" si="74"/>
        <v>May</v>
      </c>
    </row>
    <row r="910" spans="1:12" x14ac:dyDescent="0.25">
      <c r="A910" t="s">
        <v>32</v>
      </c>
      <c r="B910" t="s">
        <v>258</v>
      </c>
      <c r="C910" t="s">
        <v>264</v>
      </c>
      <c r="D910" t="str">
        <f t="shared" si="70"/>
        <v>Vintage Cars</v>
      </c>
      <c r="E910" t="s">
        <v>303</v>
      </c>
      <c r="F910" s="5">
        <v>2011.1</v>
      </c>
      <c r="G910" s="5">
        <v>402.22</v>
      </c>
      <c r="I910" t="str">
        <f t="shared" si="71"/>
        <v>Low Sales</v>
      </c>
      <c r="J910" t="str">
        <f t="shared" si="72"/>
        <v>Average Performance</v>
      </c>
      <c r="K910">
        <f t="shared" si="73"/>
        <v>2003</v>
      </c>
      <c r="L910" t="str">
        <f t="shared" si="74"/>
        <v>January</v>
      </c>
    </row>
    <row r="911" spans="1:12" x14ac:dyDescent="0.25">
      <c r="A911" t="s">
        <v>171</v>
      </c>
      <c r="C911" t="s">
        <v>264</v>
      </c>
      <c r="D911" t="str">
        <f t="shared" si="70"/>
        <v>Vintage Cars</v>
      </c>
      <c r="E911" t="s">
        <v>303</v>
      </c>
      <c r="F911" s="5">
        <v>1801.24</v>
      </c>
      <c r="G911" s="5">
        <v>360.24799999999999</v>
      </c>
      <c r="I911" t="str">
        <f t="shared" si="71"/>
        <v>Low Sales</v>
      </c>
      <c r="J911" t="str">
        <f t="shared" si="72"/>
        <v>Average Performance</v>
      </c>
      <c r="K911">
        <f t="shared" si="73"/>
        <v>2003</v>
      </c>
      <c r="L911" t="str">
        <f t="shared" si="74"/>
        <v>March</v>
      </c>
    </row>
    <row r="912" spans="1:12" x14ac:dyDescent="0.25">
      <c r="A912" t="s">
        <v>34</v>
      </c>
      <c r="B912" t="s">
        <v>258</v>
      </c>
      <c r="C912" t="s">
        <v>264</v>
      </c>
      <c r="D912" t="str">
        <f t="shared" si="70"/>
        <v>Vintage Cars</v>
      </c>
      <c r="E912" t="s">
        <v>303</v>
      </c>
      <c r="F912" s="5">
        <v>3390.2</v>
      </c>
      <c r="G912" s="5">
        <v>678.04</v>
      </c>
      <c r="I912" t="str">
        <f t="shared" si="71"/>
        <v>Low Sales</v>
      </c>
      <c r="J912" t="str">
        <f t="shared" si="72"/>
        <v>Average Performance</v>
      </c>
      <c r="K912">
        <f t="shared" si="73"/>
        <v>2003</v>
      </c>
      <c r="L912" t="str">
        <f t="shared" si="74"/>
        <v>May</v>
      </c>
    </row>
    <row r="913" spans="1:12" x14ac:dyDescent="0.25">
      <c r="A913" t="s">
        <v>173</v>
      </c>
      <c r="B913" t="s">
        <v>259</v>
      </c>
      <c r="C913" t="s">
        <v>264</v>
      </c>
      <c r="D913" t="str">
        <f t="shared" si="70"/>
        <v>Vintage Cars</v>
      </c>
      <c r="E913" t="s">
        <v>303</v>
      </c>
      <c r="F913" s="5">
        <v>1424</v>
      </c>
      <c r="G913" s="5">
        <v>284.8</v>
      </c>
      <c r="I913" t="str">
        <f t="shared" si="71"/>
        <v>Low Sales</v>
      </c>
      <c r="J913" t="str">
        <f t="shared" si="72"/>
        <v>Average Performance</v>
      </c>
      <c r="K913">
        <f t="shared" si="73"/>
        <v>2003</v>
      </c>
      <c r="L913" t="str">
        <f t="shared" si="74"/>
        <v>July</v>
      </c>
    </row>
    <row r="914" spans="1:12" x14ac:dyDescent="0.25">
      <c r="A914" t="s">
        <v>36</v>
      </c>
      <c r="B914" t="s">
        <v>260</v>
      </c>
      <c r="C914" t="s">
        <v>264</v>
      </c>
      <c r="D914" t="str">
        <f t="shared" si="70"/>
        <v>Vintage Cars</v>
      </c>
      <c r="E914" t="s">
        <v>303</v>
      </c>
      <c r="F914" s="5">
        <v>1499.1</v>
      </c>
      <c r="G914" s="5">
        <v>299.82</v>
      </c>
      <c r="I914" t="str">
        <f t="shared" si="71"/>
        <v>Low Sales</v>
      </c>
      <c r="J914" t="str">
        <f t="shared" si="72"/>
        <v>Average Performance</v>
      </c>
      <c r="K914">
        <f t="shared" si="73"/>
        <v>2003</v>
      </c>
      <c r="L914" t="str">
        <f t="shared" si="74"/>
        <v>September</v>
      </c>
    </row>
    <row r="915" spans="1:12" x14ac:dyDescent="0.25">
      <c r="A915" t="s">
        <v>37</v>
      </c>
      <c r="C915" t="s">
        <v>264</v>
      </c>
      <c r="D915" t="str">
        <f t="shared" si="70"/>
        <v>Vintage Cars</v>
      </c>
      <c r="E915" t="s">
        <v>303</v>
      </c>
      <c r="F915" s="5">
        <v>3358.08</v>
      </c>
      <c r="G915" s="5">
        <v>671.61599999999999</v>
      </c>
      <c r="I915" t="str">
        <f t="shared" si="71"/>
        <v>Low Sales</v>
      </c>
      <c r="J915" t="str">
        <f t="shared" si="72"/>
        <v>Average Performance</v>
      </c>
      <c r="K915">
        <f t="shared" si="73"/>
        <v>2003</v>
      </c>
      <c r="L915" t="str">
        <f t="shared" si="74"/>
        <v>October</v>
      </c>
    </row>
    <row r="916" spans="1:12" x14ac:dyDescent="0.25">
      <c r="A916" t="s">
        <v>161</v>
      </c>
      <c r="B916" t="s">
        <v>258</v>
      </c>
      <c r="C916" t="s">
        <v>264</v>
      </c>
      <c r="D916" t="str">
        <f t="shared" si="70"/>
        <v>Vintage Cars</v>
      </c>
      <c r="E916" t="s">
        <v>303</v>
      </c>
      <c r="F916" s="5">
        <v>1504.16</v>
      </c>
      <c r="G916" s="5">
        <v>300.83200000000011</v>
      </c>
      <c r="I916" t="str">
        <f t="shared" si="71"/>
        <v>Low Sales</v>
      </c>
      <c r="J916" t="str">
        <f t="shared" si="72"/>
        <v>Average Performance</v>
      </c>
      <c r="K916">
        <f t="shared" si="73"/>
        <v>2003</v>
      </c>
      <c r="L916" t="str">
        <f t="shared" si="74"/>
        <v>November</v>
      </c>
    </row>
    <row r="917" spans="1:12" x14ac:dyDescent="0.25">
      <c r="A917" t="s">
        <v>39</v>
      </c>
      <c r="C917" t="s">
        <v>264</v>
      </c>
      <c r="D917" t="str">
        <f t="shared" si="70"/>
        <v>Vintage Cars</v>
      </c>
      <c r="E917" t="s">
        <v>303</v>
      </c>
      <c r="F917" s="5">
        <v>2655.12</v>
      </c>
      <c r="G917" s="5">
        <v>531.024</v>
      </c>
      <c r="I917" t="str">
        <f t="shared" si="71"/>
        <v>Low Sales</v>
      </c>
      <c r="J917" t="str">
        <f t="shared" si="72"/>
        <v>Average Performance</v>
      </c>
      <c r="K917">
        <f t="shared" si="73"/>
        <v>2003</v>
      </c>
      <c r="L917" t="str">
        <f t="shared" si="74"/>
        <v>November</v>
      </c>
    </row>
    <row r="918" spans="1:12" x14ac:dyDescent="0.25">
      <c r="A918" t="s">
        <v>176</v>
      </c>
      <c r="B918" t="s">
        <v>259</v>
      </c>
      <c r="C918" t="s">
        <v>264</v>
      </c>
      <c r="D918" t="str">
        <f t="shared" si="70"/>
        <v>Vintage Cars</v>
      </c>
      <c r="E918" t="s">
        <v>303</v>
      </c>
      <c r="F918" s="5">
        <v>1244.1600000000001</v>
      </c>
      <c r="G918" s="5">
        <v>248.83199999999999</v>
      </c>
      <c r="I918" t="str">
        <f t="shared" si="71"/>
        <v>Low Sales</v>
      </c>
      <c r="J918" t="str">
        <f t="shared" si="72"/>
        <v>Average Performance</v>
      </c>
      <c r="K918">
        <f t="shared" si="73"/>
        <v>2003</v>
      </c>
      <c r="L918" t="str">
        <f t="shared" si="74"/>
        <v>November</v>
      </c>
    </row>
    <row r="919" spans="1:12" x14ac:dyDescent="0.25">
      <c r="A919" t="s">
        <v>41</v>
      </c>
      <c r="C919" t="s">
        <v>264</v>
      </c>
      <c r="D919" t="str">
        <f t="shared" si="70"/>
        <v>Vintage Cars</v>
      </c>
      <c r="E919" t="s">
        <v>303</v>
      </c>
      <c r="F919" s="5">
        <v>1888.88</v>
      </c>
      <c r="G919" s="5">
        <v>377.77600000000012</v>
      </c>
      <c r="I919" t="str">
        <f t="shared" si="71"/>
        <v>Low Sales</v>
      </c>
      <c r="J919" t="str">
        <f t="shared" si="72"/>
        <v>Average Performance</v>
      </c>
      <c r="K919">
        <f t="shared" si="73"/>
        <v>2003</v>
      </c>
      <c r="L919" t="str">
        <f t="shared" si="74"/>
        <v>December</v>
      </c>
    </row>
    <row r="920" spans="1:12" x14ac:dyDescent="0.25">
      <c r="A920" t="s">
        <v>42</v>
      </c>
      <c r="C920" t="s">
        <v>264</v>
      </c>
      <c r="D920" t="str">
        <f t="shared" si="70"/>
        <v>Vintage Cars</v>
      </c>
      <c r="E920" t="s">
        <v>303</v>
      </c>
      <c r="F920" s="5">
        <v>1820.01</v>
      </c>
      <c r="G920" s="5">
        <v>364.00200000000001</v>
      </c>
      <c r="I920" t="str">
        <f t="shared" si="71"/>
        <v>Low Sales</v>
      </c>
      <c r="J920" t="str">
        <f t="shared" si="72"/>
        <v>Average Performance</v>
      </c>
      <c r="K920">
        <f t="shared" si="73"/>
        <v>2004</v>
      </c>
      <c r="L920" t="str">
        <f t="shared" si="74"/>
        <v>January</v>
      </c>
    </row>
    <row r="921" spans="1:12" x14ac:dyDescent="0.25">
      <c r="A921" t="s">
        <v>43</v>
      </c>
      <c r="C921" t="s">
        <v>264</v>
      </c>
      <c r="D921" t="str">
        <f t="shared" si="70"/>
        <v>Vintage Cars</v>
      </c>
      <c r="E921" t="s">
        <v>303</v>
      </c>
      <c r="F921" s="5">
        <v>2866.95</v>
      </c>
      <c r="G921" s="5">
        <v>573.39</v>
      </c>
      <c r="I921" t="str">
        <f t="shared" si="71"/>
        <v>Low Sales</v>
      </c>
      <c r="J921" t="str">
        <f t="shared" si="72"/>
        <v>Average Performance</v>
      </c>
      <c r="K921">
        <f t="shared" si="73"/>
        <v>2004</v>
      </c>
      <c r="L921" t="str">
        <f t="shared" si="74"/>
        <v>March</v>
      </c>
    </row>
    <row r="922" spans="1:12" x14ac:dyDescent="0.25">
      <c r="A922" t="s">
        <v>179</v>
      </c>
      <c r="B922" t="s">
        <v>258</v>
      </c>
      <c r="C922" t="s">
        <v>264</v>
      </c>
      <c r="D922" t="str">
        <f t="shared" si="70"/>
        <v>Vintage Cars</v>
      </c>
      <c r="E922" t="s">
        <v>303</v>
      </c>
      <c r="F922" s="5">
        <v>1394.16</v>
      </c>
      <c r="G922" s="5">
        <v>278.83200000000011</v>
      </c>
      <c r="I922" t="str">
        <f t="shared" si="71"/>
        <v>Low Sales</v>
      </c>
      <c r="J922" t="str">
        <f t="shared" si="72"/>
        <v>Average Performance</v>
      </c>
      <c r="K922">
        <f t="shared" si="73"/>
        <v>2004</v>
      </c>
      <c r="L922" t="str">
        <f t="shared" si="74"/>
        <v>April</v>
      </c>
    </row>
    <row r="923" spans="1:12" x14ac:dyDescent="0.25">
      <c r="A923" t="s">
        <v>221</v>
      </c>
      <c r="C923" t="s">
        <v>264</v>
      </c>
      <c r="D923" t="str">
        <f t="shared" si="70"/>
        <v>Vintage Cars</v>
      </c>
      <c r="E923" t="s">
        <v>303</v>
      </c>
      <c r="F923" s="5">
        <v>2632.28</v>
      </c>
      <c r="G923" s="5">
        <v>526.45600000000002</v>
      </c>
      <c r="I923" t="str">
        <f t="shared" si="71"/>
        <v>Low Sales</v>
      </c>
      <c r="J923" t="str">
        <f t="shared" si="72"/>
        <v>Average Performance</v>
      </c>
      <c r="K923">
        <f t="shared" si="73"/>
        <v>2004</v>
      </c>
      <c r="L923" t="str">
        <f t="shared" si="74"/>
        <v>June</v>
      </c>
    </row>
    <row r="924" spans="1:12" x14ac:dyDescent="0.25">
      <c r="A924" t="s">
        <v>222</v>
      </c>
      <c r="B924" t="s">
        <v>258</v>
      </c>
      <c r="C924" t="s">
        <v>264</v>
      </c>
      <c r="D924" t="str">
        <f t="shared" si="70"/>
        <v>Vintage Cars</v>
      </c>
      <c r="E924" t="s">
        <v>303</v>
      </c>
      <c r="F924" s="5">
        <v>2018.56</v>
      </c>
      <c r="G924" s="5">
        <v>403.71199999999999</v>
      </c>
      <c r="I924" t="str">
        <f t="shared" si="71"/>
        <v>Low Sales</v>
      </c>
      <c r="J924" t="str">
        <f t="shared" si="72"/>
        <v>Average Performance</v>
      </c>
      <c r="K924">
        <f t="shared" si="73"/>
        <v>2004</v>
      </c>
      <c r="L924" t="str">
        <f t="shared" si="74"/>
        <v>July</v>
      </c>
    </row>
    <row r="925" spans="1:12" x14ac:dyDescent="0.25">
      <c r="A925" t="s">
        <v>47</v>
      </c>
      <c r="B925" t="s">
        <v>258</v>
      </c>
      <c r="C925" t="s">
        <v>264</v>
      </c>
      <c r="D925" t="str">
        <f t="shared" si="70"/>
        <v>Vintage Cars</v>
      </c>
      <c r="E925" t="s">
        <v>303</v>
      </c>
      <c r="F925" s="5">
        <v>2954.53</v>
      </c>
      <c r="G925" s="5">
        <v>590.90600000000006</v>
      </c>
      <c r="I925" t="str">
        <f t="shared" si="71"/>
        <v>Low Sales</v>
      </c>
      <c r="J925" t="str">
        <f t="shared" si="72"/>
        <v>Average Performance</v>
      </c>
      <c r="K925">
        <f t="shared" si="73"/>
        <v>2004</v>
      </c>
      <c r="L925" t="str">
        <f t="shared" si="74"/>
        <v>August</v>
      </c>
    </row>
    <row r="926" spans="1:12" x14ac:dyDescent="0.25">
      <c r="A926" t="s">
        <v>48</v>
      </c>
      <c r="B926" t="s">
        <v>258</v>
      </c>
      <c r="C926" t="s">
        <v>264</v>
      </c>
      <c r="D926" t="str">
        <f t="shared" si="70"/>
        <v>Vintage Cars</v>
      </c>
      <c r="E926" t="s">
        <v>303</v>
      </c>
      <c r="F926" s="5">
        <v>1871.83</v>
      </c>
      <c r="G926" s="5">
        <v>374.36599999999999</v>
      </c>
      <c r="I926" t="str">
        <f t="shared" si="71"/>
        <v>Low Sales</v>
      </c>
      <c r="J926" t="str">
        <f t="shared" si="72"/>
        <v>Average Performance</v>
      </c>
      <c r="K926">
        <f t="shared" si="73"/>
        <v>2004</v>
      </c>
      <c r="L926" t="str">
        <f t="shared" si="74"/>
        <v>September</v>
      </c>
    </row>
    <row r="927" spans="1:12" x14ac:dyDescent="0.25">
      <c r="A927" t="s">
        <v>49</v>
      </c>
      <c r="B927" t="s">
        <v>258</v>
      </c>
      <c r="C927" t="s">
        <v>264</v>
      </c>
      <c r="D927" t="str">
        <f t="shared" si="70"/>
        <v>Vintage Cars</v>
      </c>
      <c r="E927" t="s">
        <v>303</v>
      </c>
      <c r="F927" s="5">
        <v>1559.04</v>
      </c>
      <c r="G927" s="5">
        <v>311.80799999999999</v>
      </c>
      <c r="I927" t="str">
        <f t="shared" si="71"/>
        <v>Low Sales</v>
      </c>
      <c r="J927" t="str">
        <f t="shared" si="72"/>
        <v>Average Performance</v>
      </c>
      <c r="K927">
        <f t="shared" si="73"/>
        <v>2004</v>
      </c>
      <c r="L927" t="str">
        <f t="shared" si="74"/>
        <v>October</v>
      </c>
    </row>
    <row r="928" spans="1:12" x14ac:dyDescent="0.25">
      <c r="A928" t="s">
        <v>50</v>
      </c>
      <c r="C928" t="s">
        <v>264</v>
      </c>
      <c r="D928" t="str">
        <f t="shared" si="70"/>
        <v>Vintage Cars</v>
      </c>
      <c r="E928" t="s">
        <v>303</v>
      </c>
      <c r="F928" s="5">
        <v>1880.2</v>
      </c>
      <c r="G928" s="5">
        <v>376.04</v>
      </c>
      <c r="I928" t="str">
        <f t="shared" si="71"/>
        <v>Low Sales</v>
      </c>
      <c r="J928" t="str">
        <f t="shared" si="72"/>
        <v>Average Performance</v>
      </c>
      <c r="K928">
        <f t="shared" si="73"/>
        <v>2004</v>
      </c>
      <c r="L928" t="str">
        <f t="shared" si="74"/>
        <v>October</v>
      </c>
    </row>
    <row r="929" spans="1:12" x14ac:dyDescent="0.25">
      <c r="A929" t="s">
        <v>51</v>
      </c>
      <c r="C929" t="s">
        <v>264</v>
      </c>
      <c r="D929" t="str">
        <f t="shared" si="70"/>
        <v>Vintage Cars</v>
      </c>
      <c r="E929" t="s">
        <v>303</v>
      </c>
      <c r="F929" s="5">
        <v>1224.67</v>
      </c>
      <c r="G929" s="5">
        <v>244.934</v>
      </c>
      <c r="I929" t="str">
        <f t="shared" si="71"/>
        <v>Low Sales</v>
      </c>
      <c r="J929" t="str">
        <f t="shared" si="72"/>
        <v>Average Performance</v>
      </c>
      <c r="K929">
        <f t="shared" si="73"/>
        <v>2004</v>
      </c>
      <c r="L929" t="str">
        <f t="shared" si="74"/>
        <v>November</v>
      </c>
    </row>
    <row r="930" spans="1:12" x14ac:dyDescent="0.25">
      <c r="A930" t="s">
        <v>165</v>
      </c>
      <c r="B930" t="s">
        <v>258</v>
      </c>
      <c r="C930" t="s">
        <v>264</v>
      </c>
      <c r="D930" t="str">
        <f t="shared" si="70"/>
        <v>Vintage Cars</v>
      </c>
      <c r="E930" t="s">
        <v>303</v>
      </c>
      <c r="F930" s="5">
        <v>2979.08</v>
      </c>
      <c r="G930" s="5">
        <v>595.81600000000003</v>
      </c>
      <c r="I930" t="str">
        <f t="shared" si="71"/>
        <v>Low Sales</v>
      </c>
      <c r="J930" t="str">
        <f t="shared" si="72"/>
        <v>Average Performance</v>
      </c>
      <c r="K930">
        <f t="shared" si="73"/>
        <v>2004</v>
      </c>
      <c r="L930" t="str">
        <f t="shared" si="74"/>
        <v>November</v>
      </c>
    </row>
    <row r="931" spans="1:12" x14ac:dyDescent="0.25">
      <c r="A931" t="s">
        <v>53</v>
      </c>
      <c r="B931" t="s">
        <v>259</v>
      </c>
      <c r="C931" t="s">
        <v>264</v>
      </c>
      <c r="D931" t="str">
        <f t="shared" si="70"/>
        <v>Vintage Cars</v>
      </c>
      <c r="E931" t="s">
        <v>303</v>
      </c>
      <c r="F931" s="5">
        <v>2208.64</v>
      </c>
      <c r="G931" s="5">
        <v>441.72800000000001</v>
      </c>
      <c r="I931" t="str">
        <f t="shared" si="71"/>
        <v>Low Sales</v>
      </c>
      <c r="J931" t="str">
        <f t="shared" si="72"/>
        <v>Average Performance</v>
      </c>
      <c r="K931">
        <f t="shared" si="73"/>
        <v>2004</v>
      </c>
      <c r="L931" t="str">
        <f t="shared" si="74"/>
        <v>November</v>
      </c>
    </row>
    <row r="932" spans="1:12" x14ac:dyDescent="0.25">
      <c r="A932" t="s">
        <v>54</v>
      </c>
      <c r="C932" t="s">
        <v>264</v>
      </c>
      <c r="D932" t="str">
        <f t="shared" si="70"/>
        <v>Vintage Cars</v>
      </c>
      <c r="E932" t="s">
        <v>303</v>
      </c>
      <c r="F932" s="5">
        <v>3458.42</v>
      </c>
      <c r="G932" s="5">
        <v>691.68400000000008</v>
      </c>
      <c r="I932" t="str">
        <f t="shared" si="71"/>
        <v>Low Sales</v>
      </c>
      <c r="J932" t="str">
        <f t="shared" si="72"/>
        <v>Average Performance</v>
      </c>
      <c r="K932">
        <f t="shared" si="73"/>
        <v>2004</v>
      </c>
      <c r="L932" t="str">
        <f t="shared" si="74"/>
        <v>December</v>
      </c>
    </row>
    <row r="933" spans="1:12" x14ac:dyDescent="0.25">
      <c r="A933" t="s">
        <v>55</v>
      </c>
      <c r="C933" t="s">
        <v>264</v>
      </c>
      <c r="D933" t="str">
        <f t="shared" si="70"/>
        <v>Vintage Cars</v>
      </c>
      <c r="E933" t="s">
        <v>303</v>
      </c>
      <c r="F933" s="5">
        <v>1237.8800000000001</v>
      </c>
      <c r="G933" s="5">
        <v>247.57599999999999</v>
      </c>
      <c r="I933" t="str">
        <f t="shared" si="71"/>
        <v>Low Sales</v>
      </c>
      <c r="J933" t="str">
        <f t="shared" si="72"/>
        <v>Average Performance</v>
      </c>
      <c r="K933">
        <f t="shared" si="73"/>
        <v>2005</v>
      </c>
      <c r="L933" t="str">
        <f t="shared" si="74"/>
        <v>January</v>
      </c>
    </row>
    <row r="934" spans="1:12" x14ac:dyDescent="0.25">
      <c r="A934" t="s">
        <v>56</v>
      </c>
      <c r="C934" t="s">
        <v>264</v>
      </c>
      <c r="D934" t="str">
        <f t="shared" si="70"/>
        <v>Vintage Cars</v>
      </c>
      <c r="E934" t="s">
        <v>303</v>
      </c>
      <c r="F934" s="5">
        <v>2723.2</v>
      </c>
      <c r="G934" s="5">
        <v>544.64</v>
      </c>
      <c r="I934" t="str">
        <f t="shared" si="71"/>
        <v>Low Sales</v>
      </c>
      <c r="J934" t="str">
        <f t="shared" si="72"/>
        <v>Average Performance</v>
      </c>
      <c r="K934">
        <f t="shared" si="73"/>
        <v>2005</v>
      </c>
      <c r="L934" t="str">
        <f t="shared" si="74"/>
        <v>February</v>
      </c>
    </row>
    <row r="935" spans="1:12" x14ac:dyDescent="0.25">
      <c r="A935" t="s">
        <v>223</v>
      </c>
      <c r="B935" t="s">
        <v>258</v>
      </c>
      <c r="C935" t="s">
        <v>264</v>
      </c>
      <c r="D935" t="str">
        <f t="shared" si="70"/>
        <v>Vintage Cars</v>
      </c>
      <c r="E935" t="s">
        <v>303</v>
      </c>
      <c r="F935" s="5">
        <v>2218.52</v>
      </c>
      <c r="G935" s="5">
        <v>443.70400000000001</v>
      </c>
      <c r="I935" t="str">
        <f t="shared" si="71"/>
        <v>Low Sales</v>
      </c>
      <c r="J935" t="str">
        <f t="shared" si="72"/>
        <v>Average Performance</v>
      </c>
      <c r="K935">
        <f t="shared" si="73"/>
        <v>2005</v>
      </c>
      <c r="L935" t="str">
        <f t="shared" si="74"/>
        <v>March</v>
      </c>
    </row>
    <row r="936" spans="1:12" x14ac:dyDescent="0.25">
      <c r="A936" t="s">
        <v>183</v>
      </c>
      <c r="B936" t="s">
        <v>258</v>
      </c>
      <c r="C936" t="s">
        <v>264</v>
      </c>
      <c r="D936" t="str">
        <f t="shared" si="70"/>
        <v>Vintage Cars</v>
      </c>
      <c r="E936" t="s">
        <v>303</v>
      </c>
      <c r="F936" s="5">
        <v>1665.32</v>
      </c>
      <c r="G936" s="5">
        <v>333.06400000000002</v>
      </c>
      <c r="I936" t="str">
        <f t="shared" si="71"/>
        <v>Low Sales</v>
      </c>
      <c r="J936" t="str">
        <f t="shared" si="72"/>
        <v>Average Performance</v>
      </c>
      <c r="K936">
        <f t="shared" si="73"/>
        <v>2005</v>
      </c>
      <c r="L936" t="str">
        <f t="shared" si="74"/>
        <v>May</v>
      </c>
    </row>
    <row r="937" spans="1:12" x14ac:dyDescent="0.25">
      <c r="A937" t="s">
        <v>192</v>
      </c>
      <c r="B937" t="s">
        <v>258</v>
      </c>
      <c r="C937" t="s">
        <v>266</v>
      </c>
      <c r="D937" t="str">
        <f t="shared" si="70"/>
        <v>Ships</v>
      </c>
      <c r="E937" t="s">
        <v>304</v>
      </c>
      <c r="F937" s="5">
        <v>3421.04</v>
      </c>
      <c r="G937" s="5">
        <v>684.20800000000008</v>
      </c>
      <c r="I937" t="str">
        <f t="shared" si="71"/>
        <v>Low Sales</v>
      </c>
      <c r="J937" t="str">
        <f t="shared" si="72"/>
        <v>Average Performance</v>
      </c>
      <c r="K937">
        <f t="shared" si="73"/>
        <v>2003</v>
      </c>
      <c r="L937" t="str">
        <f t="shared" si="74"/>
        <v>February</v>
      </c>
    </row>
    <row r="938" spans="1:12" x14ac:dyDescent="0.25">
      <c r="A938" t="s">
        <v>69</v>
      </c>
      <c r="B938" t="s">
        <v>258</v>
      </c>
      <c r="C938" t="s">
        <v>266</v>
      </c>
      <c r="D938" t="str">
        <f t="shared" si="70"/>
        <v>Ships</v>
      </c>
      <c r="E938" t="s">
        <v>304</v>
      </c>
      <c r="F938" s="5">
        <v>1878.66</v>
      </c>
      <c r="G938" s="5">
        <v>375.73200000000003</v>
      </c>
      <c r="I938" t="str">
        <f t="shared" si="71"/>
        <v>Low Sales</v>
      </c>
      <c r="J938" t="str">
        <f t="shared" si="72"/>
        <v>Average Performance</v>
      </c>
      <c r="K938">
        <f t="shared" si="73"/>
        <v>2003</v>
      </c>
      <c r="L938" t="str">
        <f t="shared" si="74"/>
        <v>April</v>
      </c>
    </row>
    <row r="939" spans="1:12" x14ac:dyDescent="0.25">
      <c r="A939" t="s">
        <v>193</v>
      </c>
      <c r="C939" t="s">
        <v>266</v>
      </c>
      <c r="D939" t="str">
        <f t="shared" si="70"/>
        <v>Ships</v>
      </c>
      <c r="E939" t="s">
        <v>304</v>
      </c>
      <c r="F939" s="5">
        <v>3853.6</v>
      </c>
      <c r="G939" s="5">
        <v>770.72</v>
      </c>
      <c r="I939" t="str">
        <f t="shared" si="71"/>
        <v>Low Sales</v>
      </c>
      <c r="J939" t="str">
        <f t="shared" si="72"/>
        <v>Average Performance</v>
      </c>
      <c r="K939">
        <f t="shared" si="73"/>
        <v>2003</v>
      </c>
      <c r="L939" t="str">
        <f t="shared" si="74"/>
        <v>June</v>
      </c>
    </row>
    <row r="940" spans="1:12" x14ac:dyDescent="0.25">
      <c r="A940" t="s">
        <v>71</v>
      </c>
      <c r="C940" t="s">
        <v>266</v>
      </c>
      <c r="D940" t="str">
        <f t="shared" si="70"/>
        <v>Ships</v>
      </c>
      <c r="E940" t="s">
        <v>304</v>
      </c>
      <c r="F940" s="5">
        <v>3442.64</v>
      </c>
      <c r="G940" s="5">
        <v>688.52800000000002</v>
      </c>
      <c r="I940" t="str">
        <f t="shared" si="71"/>
        <v>Low Sales</v>
      </c>
      <c r="J940" t="str">
        <f t="shared" si="72"/>
        <v>Average Performance</v>
      </c>
      <c r="K940">
        <f t="shared" si="73"/>
        <v>2003</v>
      </c>
      <c r="L940" t="str">
        <f t="shared" si="74"/>
        <v>August</v>
      </c>
    </row>
    <row r="941" spans="1:12" x14ac:dyDescent="0.25">
      <c r="A941" t="s">
        <v>72</v>
      </c>
      <c r="B941" t="s">
        <v>258</v>
      </c>
      <c r="C941" t="s">
        <v>266</v>
      </c>
      <c r="D941" t="str">
        <f t="shared" si="70"/>
        <v>Ships</v>
      </c>
      <c r="E941" t="s">
        <v>304</v>
      </c>
      <c r="F941" s="5">
        <v>3482.16</v>
      </c>
      <c r="G941" s="5">
        <v>696.43200000000002</v>
      </c>
      <c r="I941" t="str">
        <f t="shared" si="71"/>
        <v>Low Sales</v>
      </c>
      <c r="J941" t="str">
        <f t="shared" si="72"/>
        <v>Average Performance</v>
      </c>
      <c r="K941">
        <f t="shared" si="73"/>
        <v>2003</v>
      </c>
      <c r="L941" t="str">
        <f t="shared" si="74"/>
        <v>October</v>
      </c>
    </row>
    <row r="942" spans="1:12" x14ac:dyDescent="0.25">
      <c r="A942" t="s">
        <v>73</v>
      </c>
      <c r="B942" t="s">
        <v>258</v>
      </c>
      <c r="C942" t="s">
        <v>266</v>
      </c>
      <c r="D942" t="str">
        <f t="shared" si="70"/>
        <v>Ships</v>
      </c>
      <c r="E942" t="s">
        <v>304</v>
      </c>
      <c r="F942" s="5">
        <v>3363.52</v>
      </c>
      <c r="G942" s="5">
        <v>672.70400000000006</v>
      </c>
      <c r="I942" t="str">
        <f t="shared" si="71"/>
        <v>Low Sales</v>
      </c>
      <c r="J942" t="str">
        <f t="shared" si="72"/>
        <v>Average Performance</v>
      </c>
      <c r="K942">
        <f t="shared" si="73"/>
        <v>2003</v>
      </c>
      <c r="L942" t="str">
        <f t="shared" si="74"/>
        <v>October</v>
      </c>
    </row>
    <row r="943" spans="1:12" x14ac:dyDescent="0.25">
      <c r="A943" t="s">
        <v>74</v>
      </c>
      <c r="B943" t="s">
        <v>258</v>
      </c>
      <c r="C943" t="s">
        <v>266</v>
      </c>
      <c r="D943" t="str">
        <f t="shared" si="70"/>
        <v>Ships</v>
      </c>
      <c r="E943" t="s">
        <v>304</v>
      </c>
      <c r="F943" s="5">
        <v>3350.52</v>
      </c>
      <c r="G943" s="5">
        <v>670.10400000000004</v>
      </c>
      <c r="I943" t="str">
        <f t="shared" si="71"/>
        <v>Low Sales</v>
      </c>
      <c r="J943" t="str">
        <f t="shared" si="72"/>
        <v>Average Performance</v>
      </c>
      <c r="K943">
        <f t="shared" si="73"/>
        <v>2003</v>
      </c>
      <c r="L943" t="str">
        <f t="shared" si="74"/>
        <v>November</v>
      </c>
    </row>
    <row r="944" spans="1:12" x14ac:dyDescent="0.25">
      <c r="A944" t="s">
        <v>75</v>
      </c>
      <c r="B944" t="s">
        <v>258</v>
      </c>
      <c r="C944" t="s">
        <v>266</v>
      </c>
      <c r="D944" t="str">
        <f t="shared" si="70"/>
        <v>Ships</v>
      </c>
      <c r="E944" t="s">
        <v>304</v>
      </c>
      <c r="F944" s="5">
        <v>2862.72</v>
      </c>
      <c r="G944" s="5">
        <v>572.54399999999998</v>
      </c>
      <c r="I944" t="str">
        <f t="shared" si="71"/>
        <v>Low Sales</v>
      </c>
      <c r="J944" t="str">
        <f t="shared" si="72"/>
        <v>Average Performance</v>
      </c>
      <c r="K944">
        <f t="shared" si="73"/>
        <v>2003</v>
      </c>
      <c r="L944" t="str">
        <f t="shared" si="74"/>
        <v>November</v>
      </c>
    </row>
    <row r="945" spans="1:12" x14ac:dyDescent="0.25">
      <c r="A945" t="s">
        <v>76</v>
      </c>
      <c r="B945" t="s">
        <v>258</v>
      </c>
      <c r="C945" t="s">
        <v>266</v>
      </c>
      <c r="D945" t="str">
        <f t="shared" si="70"/>
        <v>Ships</v>
      </c>
      <c r="E945" t="s">
        <v>304</v>
      </c>
      <c r="F945" s="5">
        <v>4036.04</v>
      </c>
      <c r="G945" s="5">
        <v>807.20800000000008</v>
      </c>
      <c r="I945" t="str">
        <f t="shared" si="71"/>
        <v>Low Sales</v>
      </c>
      <c r="J945" t="str">
        <f t="shared" si="72"/>
        <v>Average Performance</v>
      </c>
      <c r="K945">
        <f t="shared" si="73"/>
        <v>2003</v>
      </c>
      <c r="L945" t="str">
        <f t="shared" si="74"/>
        <v>November</v>
      </c>
    </row>
    <row r="946" spans="1:12" x14ac:dyDescent="0.25">
      <c r="A946" t="s">
        <v>77</v>
      </c>
      <c r="C946" t="s">
        <v>266</v>
      </c>
      <c r="D946" t="str">
        <f t="shared" si="70"/>
        <v>Ships</v>
      </c>
      <c r="E946" t="s">
        <v>304</v>
      </c>
      <c r="F946" s="5">
        <v>2817.92</v>
      </c>
      <c r="G946" s="5">
        <v>563.58400000000006</v>
      </c>
      <c r="I946" t="str">
        <f t="shared" si="71"/>
        <v>Low Sales</v>
      </c>
      <c r="J946" t="str">
        <f t="shared" si="72"/>
        <v>Average Performance</v>
      </c>
      <c r="K946">
        <f t="shared" si="73"/>
        <v>2004</v>
      </c>
      <c r="L946" t="str">
        <f t="shared" si="74"/>
        <v>January</v>
      </c>
    </row>
    <row r="947" spans="1:12" x14ac:dyDescent="0.25">
      <c r="A947" t="s">
        <v>78</v>
      </c>
      <c r="C947" t="s">
        <v>266</v>
      </c>
      <c r="D947" t="str">
        <f t="shared" si="70"/>
        <v>Ships</v>
      </c>
      <c r="E947" t="s">
        <v>304</v>
      </c>
      <c r="F947" s="5">
        <v>4636.38</v>
      </c>
      <c r="G947" s="5">
        <v>927.27600000000007</v>
      </c>
      <c r="I947" t="str">
        <f t="shared" si="71"/>
        <v>Low Sales</v>
      </c>
      <c r="J947" t="str">
        <f t="shared" si="72"/>
        <v>Average Performance</v>
      </c>
      <c r="K947">
        <f t="shared" si="73"/>
        <v>2004</v>
      </c>
      <c r="L947" t="str">
        <f t="shared" si="74"/>
        <v>February</v>
      </c>
    </row>
    <row r="948" spans="1:12" x14ac:dyDescent="0.25">
      <c r="A948" t="s">
        <v>79</v>
      </c>
      <c r="C948" t="s">
        <v>266</v>
      </c>
      <c r="D948" t="str">
        <f t="shared" si="70"/>
        <v>Ships</v>
      </c>
      <c r="E948" t="s">
        <v>304</v>
      </c>
      <c r="F948" s="5">
        <v>1553.58</v>
      </c>
      <c r="G948" s="5">
        <v>310.71600000000001</v>
      </c>
      <c r="I948" t="str">
        <f t="shared" si="71"/>
        <v>Low Sales</v>
      </c>
      <c r="J948" t="str">
        <f t="shared" si="72"/>
        <v>Average Performance</v>
      </c>
      <c r="K948">
        <f t="shared" si="73"/>
        <v>2004</v>
      </c>
      <c r="L948" t="str">
        <f t="shared" si="74"/>
        <v>May</v>
      </c>
    </row>
    <row r="949" spans="1:12" x14ac:dyDescent="0.25">
      <c r="A949" t="s">
        <v>196</v>
      </c>
      <c r="B949" t="s">
        <v>258</v>
      </c>
      <c r="C949" t="s">
        <v>266</v>
      </c>
      <c r="D949" t="str">
        <f t="shared" si="70"/>
        <v>Ships</v>
      </c>
      <c r="E949" t="s">
        <v>304</v>
      </c>
      <c r="F949" s="5">
        <v>2697.6</v>
      </c>
      <c r="G949" s="5">
        <v>539.52</v>
      </c>
      <c r="I949" t="str">
        <f t="shared" si="71"/>
        <v>Low Sales</v>
      </c>
      <c r="J949" t="str">
        <f t="shared" si="72"/>
        <v>Average Performance</v>
      </c>
      <c r="K949">
        <f t="shared" si="73"/>
        <v>2004</v>
      </c>
      <c r="L949" t="str">
        <f t="shared" si="74"/>
        <v>June</v>
      </c>
    </row>
    <row r="950" spans="1:12" x14ac:dyDescent="0.25">
      <c r="A950" t="s">
        <v>81</v>
      </c>
      <c r="B950" t="s">
        <v>258</v>
      </c>
      <c r="C950" t="s">
        <v>266</v>
      </c>
      <c r="D950" t="str">
        <f t="shared" si="70"/>
        <v>Ships</v>
      </c>
      <c r="E950" t="s">
        <v>304</v>
      </c>
      <c r="F950" s="5">
        <v>3334.04</v>
      </c>
      <c r="G950" s="5">
        <v>666.80799999999999</v>
      </c>
      <c r="I950" t="str">
        <f t="shared" si="71"/>
        <v>Low Sales</v>
      </c>
      <c r="J950" t="str">
        <f t="shared" si="72"/>
        <v>Average Performance</v>
      </c>
      <c r="K950">
        <f t="shared" si="73"/>
        <v>2004</v>
      </c>
      <c r="L950" t="str">
        <f t="shared" si="74"/>
        <v>July</v>
      </c>
    </row>
    <row r="951" spans="1:12" x14ac:dyDescent="0.25">
      <c r="A951" t="s">
        <v>82</v>
      </c>
      <c r="C951" t="s">
        <v>266</v>
      </c>
      <c r="D951" t="str">
        <f t="shared" si="70"/>
        <v>Ships</v>
      </c>
      <c r="E951" t="s">
        <v>304</v>
      </c>
      <c r="F951" s="5">
        <v>2059.2600000000002</v>
      </c>
      <c r="G951" s="5">
        <v>411.85200000000009</v>
      </c>
      <c r="I951" t="str">
        <f t="shared" si="71"/>
        <v>Low Sales</v>
      </c>
      <c r="J951" t="str">
        <f t="shared" si="72"/>
        <v>Average Performance</v>
      </c>
      <c r="K951">
        <f t="shared" si="73"/>
        <v>2004</v>
      </c>
      <c r="L951" t="str">
        <f t="shared" si="74"/>
        <v>August</v>
      </c>
    </row>
    <row r="952" spans="1:12" x14ac:dyDescent="0.25">
      <c r="A952" t="s">
        <v>198</v>
      </c>
      <c r="B952" t="s">
        <v>258</v>
      </c>
      <c r="C952" t="s">
        <v>266</v>
      </c>
      <c r="D952" t="str">
        <f t="shared" si="70"/>
        <v>Ships</v>
      </c>
      <c r="E952" t="s">
        <v>304</v>
      </c>
      <c r="F952" s="5">
        <v>2023.14</v>
      </c>
      <c r="G952" s="5">
        <v>404.62799999999999</v>
      </c>
      <c r="I952" t="str">
        <f t="shared" si="71"/>
        <v>Low Sales</v>
      </c>
      <c r="J952" t="str">
        <f t="shared" si="72"/>
        <v>Average Performance</v>
      </c>
      <c r="K952">
        <f t="shared" si="73"/>
        <v>2004</v>
      </c>
      <c r="L952" t="str">
        <f t="shared" si="74"/>
        <v>September</v>
      </c>
    </row>
    <row r="953" spans="1:12" x14ac:dyDescent="0.25">
      <c r="A953" t="s">
        <v>84</v>
      </c>
      <c r="C953" t="s">
        <v>266</v>
      </c>
      <c r="D953" t="str">
        <f t="shared" si="70"/>
        <v>Ships</v>
      </c>
      <c r="E953" t="s">
        <v>304</v>
      </c>
      <c r="F953" s="5">
        <v>2586.64</v>
      </c>
      <c r="G953" s="5">
        <v>517.32799999999997</v>
      </c>
      <c r="I953" t="str">
        <f t="shared" si="71"/>
        <v>Low Sales</v>
      </c>
      <c r="J953" t="str">
        <f t="shared" si="72"/>
        <v>Average Performance</v>
      </c>
      <c r="K953">
        <f t="shared" si="73"/>
        <v>2004</v>
      </c>
      <c r="L953" t="str">
        <f t="shared" si="74"/>
        <v>October</v>
      </c>
    </row>
    <row r="954" spans="1:12" x14ac:dyDescent="0.25">
      <c r="A954" t="s">
        <v>85</v>
      </c>
      <c r="B954" t="s">
        <v>258</v>
      </c>
      <c r="C954" t="s">
        <v>266</v>
      </c>
      <c r="D954" t="str">
        <f t="shared" si="70"/>
        <v>Ships</v>
      </c>
      <c r="E954" t="s">
        <v>304</v>
      </c>
      <c r="F954" s="5">
        <v>1987.02</v>
      </c>
      <c r="G954" s="5">
        <v>397.404</v>
      </c>
      <c r="I954" t="str">
        <f t="shared" si="71"/>
        <v>Low Sales</v>
      </c>
      <c r="J954" t="str">
        <f t="shared" si="72"/>
        <v>Average Performance</v>
      </c>
      <c r="K954">
        <f t="shared" si="73"/>
        <v>2004</v>
      </c>
      <c r="L954" t="str">
        <f t="shared" si="74"/>
        <v>November</v>
      </c>
    </row>
    <row r="955" spans="1:12" x14ac:dyDescent="0.25">
      <c r="A955" t="s">
        <v>199</v>
      </c>
      <c r="B955" t="s">
        <v>258</v>
      </c>
      <c r="C955" t="s">
        <v>266</v>
      </c>
      <c r="D955" t="str">
        <f t="shared" si="70"/>
        <v>Ships</v>
      </c>
      <c r="E955" t="s">
        <v>304</v>
      </c>
      <c r="F955" s="5">
        <v>1146.5</v>
      </c>
      <c r="G955" s="5">
        <v>229.3</v>
      </c>
      <c r="I955" t="str">
        <f t="shared" si="71"/>
        <v>Low Sales</v>
      </c>
      <c r="J955" t="str">
        <f t="shared" si="72"/>
        <v>Average Performance</v>
      </c>
      <c r="K955">
        <f t="shared" si="73"/>
        <v>2004</v>
      </c>
      <c r="L955" t="str">
        <f t="shared" si="74"/>
        <v>November</v>
      </c>
    </row>
    <row r="956" spans="1:12" x14ac:dyDescent="0.25">
      <c r="A956" t="s">
        <v>200</v>
      </c>
      <c r="B956" t="s">
        <v>258</v>
      </c>
      <c r="C956" t="s">
        <v>266</v>
      </c>
      <c r="D956" t="str">
        <f t="shared" si="70"/>
        <v>Ships</v>
      </c>
      <c r="E956" t="s">
        <v>304</v>
      </c>
      <c r="F956" s="5">
        <v>2312.2399999999998</v>
      </c>
      <c r="G956" s="5">
        <v>462.44799999999998</v>
      </c>
      <c r="I956" t="str">
        <f t="shared" si="71"/>
        <v>Low Sales</v>
      </c>
      <c r="J956" t="str">
        <f t="shared" si="72"/>
        <v>Average Performance</v>
      </c>
      <c r="K956">
        <f t="shared" si="73"/>
        <v>2004</v>
      </c>
      <c r="L956" t="str">
        <f t="shared" si="74"/>
        <v>November</v>
      </c>
    </row>
    <row r="957" spans="1:12" x14ac:dyDescent="0.25">
      <c r="A957" t="s">
        <v>88</v>
      </c>
      <c r="B957" t="s">
        <v>258</v>
      </c>
      <c r="C957" t="s">
        <v>266</v>
      </c>
      <c r="D957" t="str">
        <f t="shared" si="70"/>
        <v>Ships</v>
      </c>
      <c r="E957" t="s">
        <v>304</v>
      </c>
      <c r="F957" s="5">
        <v>2793.71</v>
      </c>
      <c r="G957" s="5">
        <v>558.74200000000008</v>
      </c>
      <c r="I957" t="str">
        <f t="shared" si="71"/>
        <v>Low Sales</v>
      </c>
      <c r="J957" t="str">
        <f t="shared" si="72"/>
        <v>Average Performance</v>
      </c>
      <c r="K957">
        <f t="shared" si="73"/>
        <v>2004</v>
      </c>
      <c r="L957" t="str">
        <f t="shared" si="74"/>
        <v>December</v>
      </c>
    </row>
    <row r="958" spans="1:12" x14ac:dyDescent="0.25">
      <c r="A958" t="s">
        <v>90</v>
      </c>
      <c r="B958" t="s">
        <v>258</v>
      </c>
      <c r="C958" t="s">
        <v>266</v>
      </c>
      <c r="D958" t="str">
        <f t="shared" si="70"/>
        <v>Ships</v>
      </c>
      <c r="E958" t="s">
        <v>304</v>
      </c>
      <c r="F958" s="5">
        <v>1908.28</v>
      </c>
      <c r="G958" s="5">
        <v>381.65600000000001</v>
      </c>
      <c r="I958" t="str">
        <f t="shared" si="71"/>
        <v>Low Sales</v>
      </c>
      <c r="J958" t="str">
        <f t="shared" si="72"/>
        <v>Average Performance</v>
      </c>
      <c r="K958">
        <f t="shared" si="73"/>
        <v>2005</v>
      </c>
      <c r="L958" t="str">
        <f t="shared" si="74"/>
        <v>January</v>
      </c>
    </row>
    <row r="959" spans="1:12" x14ac:dyDescent="0.25">
      <c r="A959" t="s">
        <v>202</v>
      </c>
      <c r="B959" t="s">
        <v>258</v>
      </c>
      <c r="C959" t="s">
        <v>266</v>
      </c>
      <c r="D959" t="str">
        <f t="shared" si="70"/>
        <v>Ships</v>
      </c>
      <c r="E959" t="s">
        <v>304</v>
      </c>
      <c r="F959" s="5">
        <v>3441.37</v>
      </c>
      <c r="G959" s="5">
        <v>688.274</v>
      </c>
      <c r="I959" t="str">
        <f t="shared" si="71"/>
        <v>Low Sales</v>
      </c>
      <c r="J959" t="str">
        <f t="shared" si="72"/>
        <v>Average Performance</v>
      </c>
      <c r="K959">
        <f t="shared" si="73"/>
        <v>2005</v>
      </c>
      <c r="L959" t="str">
        <f t="shared" si="74"/>
        <v>March</v>
      </c>
    </row>
    <row r="960" spans="1:12" x14ac:dyDescent="0.25">
      <c r="A960" t="s">
        <v>203</v>
      </c>
      <c r="B960" t="s">
        <v>258</v>
      </c>
      <c r="C960" t="s">
        <v>266</v>
      </c>
      <c r="D960" t="str">
        <f t="shared" si="70"/>
        <v>Ships</v>
      </c>
      <c r="E960" t="s">
        <v>304</v>
      </c>
      <c r="F960" s="5">
        <v>2023.28</v>
      </c>
      <c r="G960" s="5">
        <v>404.65600000000001</v>
      </c>
      <c r="I960" t="str">
        <f t="shared" si="71"/>
        <v>Low Sales</v>
      </c>
      <c r="J960" t="str">
        <f t="shared" si="72"/>
        <v>Average Performance</v>
      </c>
      <c r="K960">
        <f t="shared" si="73"/>
        <v>2005</v>
      </c>
      <c r="L960" t="str">
        <f t="shared" si="74"/>
        <v>March</v>
      </c>
    </row>
    <row r="961" spans="1:12" x14ac:dyDescent="0.25">
      <c r="A961" t="s">
        <v>93</v>
      </c>
      <c r="C961" t="s">
        <v>266</v>
      </c>
      <c r="D961" t="str">
        <f t="shared" si="70"/>
        <v>Ships</v>
      </c>
      <c r="E961" t="s">
        <v>304</v>
      </c>
      <c r="F961" s="5">
        <v>2245.1999999999998</v>
      </c>
      <c r="G961" s="5">
        <v>449.04</v>
      </c>
      <c r="I961" t="str">
        <f t="shared" si="71"/>
        <v>Low Sales</v>
      </c>
      <c r="J961" t="str">
        <f t="shared" si="72"/>
        <v>Average Performance</v>
      </c>
      <c r="K961">
        <f t="shared" si="73"/>
        <v>2005</v>
      </c>
      <c r="L961" t="str">
        <f t="shared" si="74"/>
        <v>April</v>
      </c>
    </row>
    <row r="962" spans="1:12" x14ac:dyDescent="0.25">
      <c r="A962" t="s">
        <v>94</v>
      </c>
      <c r="C962" t="s">
        <v>266</v>
      </c>
      <c r="D962" t="str">
        <f t="shared" si="70"/>
        <v>Ships</v>
      </c>
      <c r="E962" t="s">
        <v>304</v>
      </c>
      <c r="F962" s="5">
        <v>3255.12</v>
      </c>
      <c r="G962" s="5">
        <v>651.024</v>
      </c>
      <c r="I962" t="str">
        <f t="shared" si="71"/>
        <v>Low Sales</v>
      </c>
      <c r="J962" t="str">
        <f t="shared" si="72"/>
        <v>Average Performance</v>
      </c>
      <c r="K962">
        <f t="shared" si="73"/>
        <v>2005</v>
      </c>
      <c r="L962" t="str">
        <f t="shared" si="74"/>
        <v>May</v>
      </c>
    </row>
    <row r="963" spans="1:12" x14ac:dyDescent="0.25">
      <c r="A963" t="s">
        <v>32</v>
      </c>
      <c r="B963" t="s">
        <v>258</v>
      </c>
      <c r="C963" t="s">
        <v>264</v>
      </c>
      <c r="D963" t="str">
        <f t="shared" ref="D963:D1026" si="75">PROPER(TRIM(C963))</f>
        <v>Vintage Cars</v>
      </c>
      <c r="E963" t="s">
        <v>305</v>
      </c>
      <c r="F963" s="5">
        <v>2539.5</v>
      </c>
      <c r="G963" s="5">
        <v>507.9</v>
      </c>
      <c r="I963" t="str">
        <f t="shared" ref="I963:I1026" si="76">IF(F963&gt;50000,"High Sales","Low Sales")</f>
        <v>Low Sales</v>
      </c>
      <c r="J963" t="str">
        <f t="shared" ref="J963:J1026" si="77">IF(AND(F963&gt;30000,G963&gt;5000),"Good Performance","Average Performance")</f>
        <v>Average Performance</v>
      </c>
      <c r="K963">
        <f t="shared" ref="K963:K1026" si="78">YEAR(A963)</f>
        <v>2003</v>
      </c>
      <c r="L963" t="str">
        <f t="shared" ref="L963:L1026" si="79">TEXT(A963,"mmmm")</f>
        <v>January</v>
      </c>
    </row>
    <row r="964" spans="1:12" x14ac:dyDescent="0.25">
      <c r="A964" t="s">
        <v>171</v>
      </c>
      <c r="C964" t="s">
        <v>264</v>
      </c>
      <c r="D964" t="str">
        <f t="shared" si="75"/>
        <v>Vintage Cars</v>
      </c>
      <c r="E964" t="s">
        <v>305</v>
      </c>
      <c r="F964" s="5">
        <v>4818.1499999999996</v>
      </c>
      <c r="G964" s="5">
        <v>963.63</v>
      </c>
      <c r="I964" t="str">
        <f t="shared" si="76"/>
        <v>Low Sales</v>
      </c>
      <c r="J964" t="str">
        <f t="shared" si="77"/>
        <v>Average Performance</v>
      </c>
      <c r="K964">
        <f t="shared" si="78"/>
        <v>2003</v>
      </c>
      <c r="L964" t="str">
        <f t="shared" si="79"/>
        <v>March</v>
      </c>
    </row>
    <row r="965" spans="1:12" x14ac:dyDescent="0.25">
      <c r="A965" t="s">
        <v>34</v>
      </c>
      <c r="B965" t="s">
        <v>258</v>
      </c>
      <c r="C965" t="s">
        <v>264</v>
      </c>
      <c r="D965" t="str">
        <f t="shared" si="75"/>
        <v>Vintage Cars</v>
      </c>
      <c r="E965" t="s">
        <v>305</v>
      </c>
      <c r="F965" s="5">
        <v>2921.7</v>
      </c>
      <c r="G965" s="5">
        <v>584.34</v>
      </c>
      <c r="I965" t="str">
        <f t="shared" si="76"/>
        <v>Low Sales</v>
      </c>
      <c r="J965" t="str">
        <f t="shared" si="77"/>
        <v>Average Performance</v>
      </c>
      <c r="K965">
        <f t="shared" si="78"/>
        <v>2003</v>
      </c>
      <c r="L965" t="str">
        <f t="shared" si="79"/>
        <v>May</v>
      </c>
    </row>
    <row r="966" spans="1:12" x14ac:dyDescent="0.25">
      <c r="A966" t="s">
        <v>173</v>
      </c>
      <c r="B966" t="s">
        <v>259</v>
      </c>
      <c r="C966" t="s">
        <v>264</v>
      </c>
      <c r="D966" t="str">
        <f t="shared" si="75"/>
        <v>Vintage Cars</v>
      </c>
      <c r="E966" t="s">
        <v>305</v>
      </c>
      <c r="F966" s="5">
        <v>1801.2</v>
      </c>
      <c r="G966" s="5">
        <v>360.24</v>
      </c>
      <c r="I966" t="str">
        <f t="shared" si="76"/>
        <v>Low Sales</v>
      </c>
      <c r="J966" t="str">
        <f t="shared" si="77"/>
        <v>Average Performance</v>
      </c>
      <c r="K966">
        <f t="shared" si="78"/>
        <v>2003</v>
      </c>
      <c r="L966" t="str">
        <f t="shared" si="79"/>
        <v>July</v>
      </c>
    </row>
    <row r="967" spans="1:12" x14ac:dyDescent="0.25">
      <c r="A967" t="s">
        <v>36</v>
      </c>
      <c r="B967" t="s">
        <v>260</v>
      </c>
      <c r="C967" t="s">
        <v>264</v>
      </c>
      <c r="D967" t="str">
        <f t="shared" si="75"/>
        <v>Vintage Cars</v>
      </c>
      <c r="E967" t="s">
        <v>305</v>
      </c>
      <c r="F967" s="5">
        <v>2804.36</v>
      </c>
      <c r="G967" s="5">
        <v>560.87200000000007</v>
      </c>
      <c r="I967" t="str">
        <f t="shared" si="76"/>
        <v>Low Sales</v>
      </c>
      <c r="J967" t="str">
        <f t="shared" si="77"/>
        <v>Average Performance</v>
      </c>
      <c r="K967">
        <f t="shared" si="78"/>
        <v>2003</v>
      </c>
      <c r="L967" t="str">
        <f t="shared" si="79"/>
        <v>September</v>
      </c>
    </row>
    <row r="968" spans="1:12" x14ac:dyDescent="0.25">
      <c r="A968" t="s">
        <v>37</v>
      </c>
      <c r="C968" t="s">
        <v>264</v>
      </c>
      <c r="D968" t="str">
        <f t="shared" si="75"/>
        <v>Vintage Cars</v>
      </c>
      <c r="E968" t="s">
        <v>305</v>
      </c>
      <c r="F968" s="5">
        <v>4900.8</v>
      </c>
      <c r="G968" s="5">
        <v>980.16000000000008</v>
      </c>
      <c r="I968" t="str">
        <f t="shared" si="76"/>
        <v>Low Sales</v>
      </c>
      <c r="J968" t="str">
        <f t="shared" si="77"/>
        <v>Average Performance</v>
      </c>
      <c r="K968">
        <f t="shared" si="78"/>
        <v>2003</v>
      </c>
      <c r="L968" t="str">
        <f t="shared" si="79"/>
        <v>October</v>
      </c>
    </row>
    <row r="969" spans="1:12" x14ac:dyDescent="0.25">
      <c r="A969" t="s">
        <v>161</v>
      </c>
      <c r="B969" t="s">
        <v>258</v>
      </c>
      <c r="C969" t="s">
        <v>264</v>
      </c>
      <c r="D969" t="str">
        <f t="shared" si="75"/>
        <v>Vintage Cars</v>
      </c>
      <c r="E969" t="s">
        <v>305</v>
      </c>
      <c r="F969" s="5">
        <v>2759.31</v>
      </c>
      <c r="G969" s="5">
        <v>551.86199999999997</v>
      </c>
      <c r="I969" t="str">
        <f t="shared" si="76"/>
        <v>Low Sales</v>
      </c>
      <c r="J969" t="str">
        <f t="shared" si="77"/>
        <v>Average Performance</v>
      </c>
      <c r="K969">
        <f t="shared" si="78"/>
        <v>2003</v>
      </c>
      <c r="L969" t="str">
        <f t="shared" si="79"/>
        <v>November</v>
      </c>
    </row>
    <row r="970" spans="1:12" x14ac:dyDescent="0.25">
      <c r="A970" t="s">
        <v>39</v>
      </c>
      <c r="C970" t="s">
        <v>264</v>
      </c>
      <c r="D970" t="str">
        <f t="shared" si="75"/>
        <v>Vintage Cars</v>
      </c>
      <c r="E970" t="s">
        <v>305</v>
      </c>
      <c r="F970" s="5">
        <v>2488.1999999999998</v>
      </c>
      <c r="G970" s="5">
        <v>497.64</v>
      </c>
      <c r="I970" t="str">
        <f t="shared" si="76"/>
        <v>Low Sales</v>
      </c>
      <c r="J970" t="str">
        <f t="shared" si="77"/>
        <v>Average Performance</v>
      </c>
      <c r="K970">
        <f t="shared" si="78"/>
        <v>2003</v>
      </c>
      <c r="L970" t="str">
        <f t="shared" si="79"/>
        <v>November</v>
      </c>
    </row>
    <row r="971" spans="1:12" x14ac:dyDescent="0.25">
      <c r="A971" t="s">
        <v>176</v>
      </c>
      <c r="B971" t="s">
        <v>259</v>
      </c>
      <c r="C971" t="s">
        <v>264</v>
      </c>
      <c r="D971" t="str">
        <f t="shared" si="75"/>
        <v>Vintage Cars</v>
      </c>
      <c r="E971" t="s">
        <v>305</v>
      </c>
      <c r="F971" s="5">
        <v>2769.89</v>
      </c>
      <c r="G971" s="5">
        <v>553.97799999999995</v>
      </c>
      <c r="I971" t="str">
        <f t="shared" si="76"/>
        <v>Low Sales</v>
      </c>
      <c r="J971" t="str">
        <f t="shared" si="77"/>
        <v>Average Performance</v>
      </c>
      <c r="K971">
        <f t="shared" si="78"/>
        <v>2003</v>
      </c>
      <c r="L971" t="str">
        <f t="shared" si="79"/>
        <v>November</v>
      </c>
    </row>
    <row r="972" spans="1:12" x14ac:dyDescent="0.25">
      <c r="A972" t="s">
        <v>41</v>
      </c>
      <c r="C972" t="s">
        <v>264</v>
      </c>
      <c r="D972" t="str">
        <f t="shared" si="75"/>
        <v>Vintage Cars</v>
      </c>
      <c r="E972" t="s">
        <v>305</v>
      </c>
      <c r="F972" s="5">
        <v>3581.4</v>
      </c>
      <c r="G972" s="5">
        <v>716.28000000000009</v>
      </c>
      <c r="I972" t="str">
        <f t="shared" si="76"/>
        <v>Low Sales</v>
      </c>
      <c r="J972" t="str">
        <f t="shared" si="77"/>
        <v>Average Performance</v>
      </c>
      <c r="K972">
        <f t="shared" si="78"/>
        <v>2003</v>
      </c>
      <c r="L972" t="str">
        <f t="shared" si="79"/>
        <v>December</v>
      </c>
    </row>
    <row r="973" spans="1:12" x14ac:dyDescent="0.25">
      <c r="A973" t="s">
        <v>42</v>
      </c>
      <c r="C973" t="s">
        <v>264</v>
      </c>
      <c r="D973" t="str">
        <f t="shared" si="75"/>
        <v>Vintage Cars</v>
      </c>
      <c r="E973" t="s">
        <v>305</v>
      </c>
      <c r="F973" s="5">
        <v>5285.14</v>
      </c>
      <c r="G973" s="5">
        <v>1057.028</v>
      </c>
      <c r="I973" t="str">
        <f t="shared" si="76"/>
        <v>Low Sales</v>
      </c>
      <c r="J973" t="str">
        <f t="shared" si="77"/>
        <v>Average Performance</v>
      </c>
      <c r="K973">
        <f t="shared" si="78"/>
        <v>2004</v>
      </c>
      <c r="L973" t="str">
        <f t="shared" si="79"/>
        <v>January</v>
      </c>
    </row>
    <row r="974" spans="1:12" x14ac:dyDescent="0.25">
      <c r="A974" t="s">
        <v>43</v>
      </c>
      <c r="C974" t="s">
        <v>264</v>
      </c>
      <c r="D974" t="str">
        <f t="shared" si="75"/>
        <v>Vintage Cars</v>
      </c>
      <c r="E974" t="s">
        <v>305</v>
      </c>
      <c r="F974" s="5">
        <v>3181.53</v>
      </c>
      <c r="G974" s="5">
        <v>636.30600000000004</v>
      </c>
      <c r="I974" t="str">
        <f t="shared" si="76"/>
        <v>Low Sales</v>
      </c>
      <c r="J974" t="str">
        <f t="shared" si="77"/>
        <v>Average Performance</v>
      </c>
      <c r="K974">
        <f t="shared" si="78"/>
        <v>2004</v>
      </c>
      <c r="L974" t="str">
        <f t="shared" si="79"/>
        <v>March</v>
      </c>
    </row>
    <row r="975" spans="1:12" x14ac:dyDescent="0.25">
      <c r="A975" t="s">
        <v>179</v>
      </c>
      <c r="B975" t="s">
        <v>258</v>
      </c>
      <c r="C975" t="s">
        <v>264</v>
      </c>
      <c r="D975" t="str">
        <f t="shared" si="75"/>
        <v>Vintage Cars</v>
      </c>
      <c r="E975" t="s">
        <v>305</v>
      </c>
      <c r="F975" s="5">
        <v>3340.51</v>
      </c>
      <c r="G975" s="5">
        <v>668.10200000000009</v>
      </c>
      <c r="I975" t="str">
        <f t="shared" si="76"/>
        <v>Low Sales</v>
      </c>
      <c r="J975" t="str">
        <f t="shared" si="77"/>
        <v>Average Performance</v>
      </c>
      <c r="K975">
        <f t="shared" si="78"/>
        <v>2004</v>
      </c>
      <c r="L975" t="str">
        <f t="shared" si="79"/>
        <v>April</v>
      </c>
    </row>
    <row r="976" spans="1:12" x14ac:dyDescent="0.25">
      <c r="A976" t="s">
        <v>221</v>
      </c>
      <c r="C976" t="s">
        <v>264</v>
      </c>
      <c r="D976" t="str">
        <f t="shared" si="75"/>
        <v>Vintage Cars</v>
      </c>
      <c r="E976" t="s">
        <v>305</v>
      </c>
      <c r="F976" s="5">
        <v>3138.34</v>
      </c>
      <c r="G976" s="5">
        <v>627.66800000000012</v>
      </c>
      <c r="I976" t="str">
        <f t="shared" si="76"/>
        <v>Low Sales</v>
      </c>
      <c r="J976" t="str">
        <f t="shared" si="77"/>
        <v>Average Performance</v>
      </c>
      <c r="K976">
        <f t="shared" si="78"/>
        <v>2004</v>
      </c>
      <c r="L976" t="str">
        <f t="shared" si="79"/>
        <v>June</v>
      </c>
    </row>
    <row r="977" spans="1:12" x14ac:dyDescent="0.25">
      <c r="A977" t="s">
        <v>46</v>
      </c>
      <c r="B977" t="s">
        <v>259</v>
      </c>
      <c r="C977" t="s">
        <v>264</v>
      </c>
      <c r="D977" t="str">
        <f t="shared" si="75"/>
        <v>Vintage Cars</v>
      </c>
      <c r="E977" t="s">
        <v>305</v>
      </c>
      <c r="F977" s="5">
        <v>4775.08</v>
      </c>
      <c r="G977" s="5">
        <v>955.01600000000008</v>
      </c>
      <c r="I977" t="str">
        <f t="shared" si="76"/>
        <v>Low Sales</v>
      </c>
      <c r="J977" t="str">
        <f t="shared" si="77"/>
        <v>Average Performance</v>
      </c>
      <c r="K977">
        <f t="shared" si="78"/>
        <v>2004</v>
      </c>
      <c r="L977" t="str">
        <f t="shared" si="79"/>
        <v>July</v>
      </c>
    </row>
    <row r="978" spans="1:12" x14ac:dyDescent="0.25">
      <c r="A978" t="s">
        <v>47</v>
      </c>
      <c r="B978" t="s">
        <v>258</v>
      </c>
      <c r="C978" t="s">
        <v>264</v>
      </c>
      <c r="D978" t="str">
        <f t="shared" si="75"/>
        <v>Vintage Cars</v>
      </c>
      <c r="E978" t="s">
        <v>305</v>
      </c>
      <c r="F978" s="5">
        <v>3006.43</v>
      </c>
      <c r="G978" s="5">
        <v>601.28599999999994</v>
      </c>
      <c r="I978" t="str">
        <f t="shared" si="76"/>
        <v>Low Sales</v>
      </c>
      <c r="J978" t="str">
        <f t="shared" si="77"/>
        <v>Average Performance</v>
      </c>
      <c r="K978">
        <f t="shared" si="78"/>
        <v>2004</v>
      </c>
      <c r="L978" t="str">
        <f t="shared" si="79"/>
        <v>August</v>
      </c>
    </row>
    <row r="979" spans="1:12" x14ac:dyDescent="0.25">
      <c r="A979" t="s">
        <v>48</v>
      </c>
      <c r="B979" t="s">
        <v>258</v>
      </c>
      <c r="C979" t="s">
        <v>264</v>
      </c>
      <c r="D979" t="str">
        <f t="shared" si="75"/>
        <v>Vintage Cars</v>
      </c>
      <c r="E979" t="s">
        <v>305</v>
      </c>
      <c r="F979" s="5">
        <v>2866.26</v>
      </c>
      <c r="G979" s="5">
        <v>573.25200000000007</v>
      </c>
      <c r="I979" t="str">
        <f t="shared" si="76"/>
        <v>Low Sales</v>
      </c>
      <c r="J979" t="str">
        <f t="shared" si="77"/>
        <v>Average Performance</v>
      </c>
      <c r="K979">
        <f t="shared" si="78"/>
        <v>2004</v>
      </c>
      <c r="L979" t="str">
        <f t="shared" si="79"/>
        <v>September</v>
      </c>
    </row>
    <row r="980" spans="1:12" x14ac:dyDescent="0.25">
      <c r="A980" t="s">
        <v>49</v>
      </c>
      <c r="B980" t="s">
        <v>258</v>
      </c>
      <c r="C980" t="s">
        <v>264</v>
      </c>
      <c r="D980" t="str">
        <f t="shared" si="75"/>
        <v>Vintage Cars</v>
      </c>
      <c r="E980" t="s">
        <v>305</v>
      </c>
      <c r="F980" s="5">
        <v>2232.62</v>
      </c>
      <c r="G980" s="5">
        <v>446.524</v>
      </c>
      <c r="I980" t="str">
        <f t="shared" si="76"/>
        <v>Low Sales</v>
      </c>
      <c r="J980" t="str">
        <f t="shared" si="77"/>
        <v>Average Performance</v>
      </c>
      <c r="K980">
        <f t="shared" si="78"/>
        <v>2004</v>
      </c>
      <c r="L980" t="str">
        <f t="shared" si="79"/>
        <v>October</v>
      </c>
    </row>
    <row r="981" spans="1:12" x14ac:dyDescent="0.25">
      <c r="A981" t="s">
        <v>50</v>
      </c>
      <c r="C981" t="s">
        <v>264</v>
      </c>
      <c r="D981" t="str">
        <f t="shared" si="75"/>
        <v>Vintage Cars</v>
      </c>
      <c r="E981" t="s">
        <v>305</v>
      </c>
      <c r="F981" s="5">
        <v>4457.0200000000004</v>
      </c>
      <c r="G981" s="5">
        <v>891.40400000000011</v>
      </c>
      <c r="I981" t="str">
        <f t="shared" si="76"/>
        <v>Low Sales</v>
      </c>
      <c r="J981" t="str">
        <f t="shared" si="77"/>
        <v>Average Performance</v>
      </c>
      <c r="K981">
        <f t="shared" si="78"/>
        <v>2004</v>
      </c>
      <c r="L981" t="str">
        <f t="shared" si="79"/>
        <v>October</v>
      </c>
    </row>
    <row r="982" spans="1:12" x14ac:dyDescent="0.25">
      <c r="A982" t="s">
        <v>51</v>
      </c>
      <c r="C982" t="s">
        <v>264</v>
      </c>
      <c r="D982" t="str">
        <f t="shared" si="75"/>
        <v>Vintage Cars</v>
      </c>
      <c r="E982" t="s">
        <v>305</v>
      </c>
      <c r="F982" s="5">
        <v>2257.92</v>
      </c>
      <c r="G982" s="5">
        <v>451.58400000000012</v>
      </c>
      <c r="I982" t="str">
        <f t="shared" si="76"/>
        <v>Low Sales</v>
      </c>
      <c r="J982" t="str">
        <f t="shared" si="77"/>
        <v>Average Performance</v>
      </c>
      <c r="K982">
        <f t="shared" si="78"/>
        <v>2004</v>
      </c>
      <c r="L982" t="str">
        <f t="shared" si="79"/>
        <v>November</v>
      </c>
    </row>
    <row r="983" spans="1:12" x14ac:dyDescent="0.25">
      <c r="A983" t="s">
        <v>165</v>
      </c>
      <c r="B983" t="s">
        <v>258</v>
      </c>
      <c r="C983" t="s">
        <v>264</v>
      </c>
      <c r="D983" t="str">
        <f t="shared" si="75"/>
        <v>Vintage Cars</v>
      </c>
      <c r="E983" t="s">
        <v>305</v>
      </c>
      <c r="F983" s="5">
        <v>1592</v>
      </c>
      <c r="G983" s="5">
        <v>318.39999999999998</v>
      </c>
      <c r="I983" t="str">
        <f t="shared" si="76"/>
        <v>Low Sales</v>
      </c>
      <c r="J983" t="str">
        <f t="shared" si="77"/>
        <v>Average Performance</v>
      </c>
      <c r="K983">
        <f t="shared" si="78"/>
        <v>2004</v>
      </c>
      <c r="L983" t="str">
        <f t="shared" si="79"/>
        <v>November</v>
      </c>
    </row>
    <row r="984" spans="1:12" x14ac:dyDescent="0.25">
      <c r="A984" t="s">
        <v>53</v>
      </c>
      <c r="B984" t="s">
        <v>259</v>
      </c>
      <c r="C984" t="s">
        <v>264</v>
      </c>
      <c r="D984" t="str">
        <f t="shared" si="75"/>
        <v>Vintage Cars</v>
      </c>
      <c r="E984" t="s">
        <v>305</v>
      </c>
      <c r="F984" s="5">
        <v>4948.2</v>
      </c>
      <c r="G984" s="5">
        <v>989.64</v>
      </c>
      <c r="I984" t="str">
        <f t="shared" si="76"/>
        <v>Low Sales</v>
      </c>
      <c r="J984" t="str">
        <f t="shared" si="77"/>
        <v>Average Performance</v>
      </c>
      <c r="K984">
        <f t="shared" si="78"/>
        <v>2004</v>
      </c>
      <c r="L984" t="str">
        <f t="shared" si="79"/>
        <v>November</v>
      </c>
    </row>
    <row r="985" spans="1:12" x14ac:dyDescent="0.25">
      <c r="A985" t="s">
        <v>54</v>
      </c>
      <c r="C985" t="s">
        <v>264</v>
      </c>
      <c r="D985" t="str">
        <f t="shared" si="75"/>
        <v>Vintage Cars</v>
      </c>
      <c r="E985" t="s">
        <v>305</v>
      </c>
      <c r="F985" s="5">
        <v>5160.76</v>
      </c>
      <c r="G985" s="5">
        <v>1032.152</v>
      </c>
      <c r="I985" t="str">
        <f t="shared" si="76"/>
        <v>Low Sales</v>
      </c>
      <c r="J985" t="str">
        <f t="shared" si="77"/>
        <v>Average Performance</v>
      </c>
      <c r="K985">
        <f t="shared" si="78"/>
        <v>2004</v>
      </c>
      <c r="L985" t="str">
        <f t="shared" si="79"/>
        <v>December</v>
      </c>
    </row>
    <row r="986" spans="1:12" x14ac:dyDescent="0.25">
      <c r="A986" t="s">
        <v>55</v>
      </c>
      <c r="C986" t="s">
        <v>264</v>
      </c>
      <c r="D986" t="str">
        <f t="shared" si="75"/>
        <v>Vintage Cars</v>
      </c>
      <c r="E986" t="s">
        <v>305</v>
      </c>
      <c r="F986" s="5">
        <v>1978.62</v>
      </c>
      <c r="G986" s="5">
        <v>395.72399999999999</v>
      </c>
      <c r="I986" t="str">
        <f t="shared" si="76"/>
        <v>Low Sales</v>
      </c>
      <c r="J986" t="str">
        <f t="shared" si="77"/>
        <v>Average Performance</v>
      </c>
      <c r="K986">
        <f t="shared" si="78"/>
        <v>2005</v>
      </c>
      <c r="L986" t="str">
        <f t="shared" si="79"/>
        <v>January</v>
      </c>
    </row>
    <row r="987" spans="1:12" x14ac:dyDescent="0.25">
      <c r="A987" t="s">
        <v>56</v>
      </c>
      <c r="C987" t="s">
        <v>264</v>
      </c>
      <c r="D987" t="str">
        <f t="shared" si="75"/>
        <v>Vintage Cars</v>
      </c>
      <c r="E987" t="s">
        <v>305</v>
      </c>
      <c r="F987" s="5">
        <v>4288.2</v>
      </c>
      <c r="G987" s="5">
        <v>857.64</v>
      </c>
      <c r="I987" t="str">
        <f t="shared" si="76"/>
        <v>Low Sales</v>
      </c>
      <c r="J987" t="str">
        <f t="shared" si="77"/>
        <v>Average Performance</v>
      </c>
      <c r="K987">
        <f t="shared" si="78"/>
        <v>2005</v>
      </c>
      <c r="L987" t="str">
        <f t="shared" si="79"/>
        <v>February</v>
      </c>
    </row>
    <row r="988" spans="1:12" x14ac:dyDescent="0.25">
      <c r="A988" t="s">
        <v>223</v>
      </c>
      <c r="B988" t="s">
        <v>258</v>
      </c>
      <c r="C988" t="s">
        <v>264</v>
      </c>
      <c r="D988" t="str">
        <f t="shared" si="75"/>
        <v>Vintage Cars</v>
      </c>
      <c r="E988" t="s">
        <v>305</v>
      </c>
      <c r="F988" s="5">
        <v>2520.6799999999998</v>
      </c>
      <c r="G988" s="5">
        <v>504.13600000000002</v>
      </c>
      <c r="I988" t="str">
        <f t="shared" si="76"/>
        <v>Low Sales</v>
      </c>
      <c r="J988" t="str">
        <f t="shared" si="77"/>
        <v>Average Performance</v>
      </c>
      <c r="K988">
        <f t="shared" si="78"/>
        <v>2005</v>
      </c>
      <c r="L988" t="str">
        <f t="shared" si="79"/>
        <v>March</v>
      </c>
    </row>
    <row r="989" spans="1:12" x14ac:dyDescent="0.25">
      <c r="A989" t="s">
        <v>183</v>
      </c>
      <c r="B989" t="s">
        <v>258</v>
      </c>
      <c r="C989" t="s">
        <v>264</v>
      </c>
      <c r="D989" t="str">
        <f t="shared" si="75"/>
        <v>Vintage Cars</v>
      </c>
      <c r="E989" t="s">
        <v>305</v>
      </c>
      <c r="F989" s="5">
        <v>1781.22</v>
      </c>
      <c r="G989" s="5">
        <v>356.24400000000003</v>
      </c>
      <c r="I989" t="str">
        <f t="shared" si="76"/>
        <v>Low Sales</v>
      </c>
      <c r="J989" t="str">
        <f t="shared" si="77"/>
        <v>Average Performance</v>
      </c>
      <c r="K989">
        <f t="shared" si="78"/>
        <v>2005</v>
      </c>
      <c r="L989" t="str">
        <f t="shared" si="79"/>
        <v>May</v>
      </c>
    </row>
    <row r="990" spans="1:12" x14ac:dyDescent="0.25">
      <c r="A990" t="s">
        <v>68</v>
      </c>
      <c r="B990" t="s">
        <v>258</v>
      </c>
      <c r="C990" t="s">
        <v>264</v>
      </c>
      <c r="D990" t="str">
        <f t="shared" si="75"/>
        <v>Vintage Cars</v>
      </c>
      <c r="E990" t="s">
        <v>306</v>
      </c>
      <c r="F990" s="5">
        <v>3065.04</v>
      </c>
      <c r="G990" s="5">
        <v>613.00800000000004</v>
      </c>
      <c r="I990" t="str">
        <f t="shared" si="76"/>
        <v>Low Sales</v>
      </c>
      <c r="J990" t="str">
        <f t="shared" si="77"/>
        <v>Average Performance</v>
      </c>
      <c r="K990">
        <f t="shared" si="78"/>
        <v>2003</v>
      </c>
      <c r="L990" t="str">
        <f t="shared" si="79"/>
        <v>February</v>
      </c>
    </row>
    <row r="991" spans="1:12" x14ac:dyDescent="0.25">
      <c r="A991" t="s">
        <v>123</v>
      </c>
      <c r="B991" t="s">
        <v>260</v>
      </c>
      <c r="C991" t="s">
        <v>264</v>
      </c>
      <c r="D991" t="str">
        <f t="shared" si="75"/>
        <v>Vintage Cars</v>
      </c>
      <c r="E991" t="s">
        <v>306</v>
      </c>
      <c r="F991" s="5">
        <v>3551.34</v>
      </c>
      <c r="G991" s="5">
        <v>710.26800000000003</v>
      </c>
      <c r="I991" t="str">
        <f t="shared" si="76"/>
        <v>Low Sales</v>
      </c>
      <c r="J991" t="str">
        <f t="shared" si="77"/>
        <v>Average Performance</v>
      </c>
      <c r="K991">
        <f t="shared" si="78"/>
        <v>2003</v>
      </c>
      <c r="L991" t="str">
        <f t="shared" si="79"/>
        <v>April</v>
      </c>
    </row>
    <row r="992" spans="1:12" x14ac:dyDescent="0.25">
      <c r="A992" t="s">
        <v>224</v>
      </c>
      <c r="B992" t="s">
        <v>258</v>
      </c>
      <c r="C992" t="s">
        <v>264</v>
      </c>
      <c r="D992" t="str">
        <f t="shared" si="75"/>
        <v>Vintage Cars</v>
      </c>
      <c r="E992" t="s">
        <v>306</v>
      </c>
      <c r="F992" s="5">
        <v>5544.02</v>
      </c>
      <c r="G992" s="5">
        <v>1108.8040000000001</v>
      </c>
      <c r="I992" t="str">
        <f t="shared" si="76"/>
        <v>Low Sales</v>
      </c>
      <c r="J992" t="str">
        <f t="shared" si="77"/>
        <v>Average Performance</v>
      </c>
      <c r="K992">
        <f t="shared" si="78"/>
        <v>2003</v>
      </c>
      <c r="L992" t="str">
        <f t="shared" si="79"/>
        <v>June</v>
      </c>
    </row>
    <row r="993" spans="1:12" x14ac:dyDescent="0.25">
      <c r="A993" t="s">
        <v>125</v>
      </c>
      <c r="C993" t="s">
        <v>264</v>
      </c>
      <c r="D993" t="str">
        <f t="shared" si="75"/>
        <v>Vintage Cars</v>
      </c>
      <c r="E993" t="s">
        <v>306</v>
      </c>
      <c r="F993" s="5">
        <v>6034.33</v>
      </c>
      <c r="G993" s="5">
        <v>1206.866</v>
      </c>
      <c r="I993" t="str">
        <f t="shared" si="76"/>
        <v>Low Sales</v>
      </c>
      <c r="J993" t="str">
        <f t="shared" si="77"/>
        <v>Average Performance</v>
      </c>
      <c r="K993">
        <f t="shared" si="78"/>
        <v>2003</v>
      </c>
      <c r="L993" t="str">
        <f t="shared" si="79"/>
        <v>August</v>
      </c>
    </row>
    <row r="994" spans="1:12" x14ac:dyDescent="0.25">
      <c r="A994" t="s">
        <v>126</v>
      </c>
      <c r="B994" t="s">
        <v>258</v>
      </c>
      <c r="C994" t="s">
        <v>264</v>
      </c>
      <c r="D994" t="str">
        <f t="shared" si="75"/>
        <v>Vintage Cars</v>
      </c>
      <c r="E994" t="s">
        <v>306</v>
      </c>
      <c r="F994" s="5">
        <v>3641.57</v>
      </c>
      <c r="G994" s="5">
        <v>728.31400000000008</v>
      </c>
      <c r="I994" t="str">
        <f t="shared" si="76"/>
        <v>Low Sales</v>
      </c>
      <c r="J994" t="str">
        <f t="shared" si="77"/>
        <v>Average Performance</v>
      </c>
      <c r="K994">
        <f t="shared" si="78"/>
        <v>2003</v>
      </c>
      <c r="L994" t="str">
        <f t="shared" si="79"/>
        <v>September</v>
      </c>
    </row>
    <row r="995" spans="1:12" x14ac:dyDescent="0.25">
      <c r="A995" t="s">
        <v>96</v>
      </c>
      <c r="C995" t="s">
        <v>264</v>
      </c>
      <c r="D995" t="str">
        <f t="shared" si="75"/>
        <v>Vintage Cars</v>
      </c>
      <c r="E995" t="s">
        <v>306</v>
      </c>
      <c r="F995" s="5">
        <v>6930.74</v>
      </c>
      <c r="G995" s="5">
        <v>1386.1479999999999</v>
      </c>
      <c r="I995" t="str">
        <f t="shared" si="76"/>
        <v>Low Sales</v>
      </c>
      <c r="J995" t="str">
        <f t="shared" si="77"/>
        <v>Average Performance</v>
      </c>
      <c r="K995">
        <f t="shared" si="78"/>
        <v>2003</v>
      </c>
      <c r="L995" t="str">
        <f t="shared" si="79"/>
        <v>October</v>
      </c>
    </row>
    <row r="996" spans="1:12" x14ac:dyDescent="0.25">
      <c r="A996" t="s">
        <v>225</v>
      </c>
      <c r="B996" t="s">
        <v>258</v>
      </c>
      <c r="C996" t="s">
        <v>264</v>
      </c>
      <c r="D996" t="str">
        <f t="shared" si="75"/>
        <v>Vintage Cars</v>
      </c>
      <c r="E996" t="s">
        <v>306</v>
      </c>
      <c r="F996" s="5">
        <v>3675.63</v>
      </c>
      <c r="G996" s="5">
        <v>735.12600000000009</v>
      </c>
      <c r="I996" t="str">
        <f t="shared" si="76"/>
        <v>Low Sales</v>
      </c>
      <c r="J996" t="str">
        <f t="shared" si="77"/>
        <v>Average Performance</v>
      </c>
      <c r="K996">
        <f t="shared" si="78"/>
        <v>2003</v>
      </c>
      <c r="L996" t="str">
        <f t="shared" si="79"/>
        <v>November</v>
      </c>
    </row>
    <row r="997" spans="1:12" x14ac:dyDescent="0.25">
      <c r="A997" t="s">
        <v>75</v>
      </c>
      <c r="C997" t="s">
        <v>264</v>
      </c>
      <c r="D997" t="str">
        <f t="shared" si="75"/>
        <v>Vintage Cars</v>
      </c>
      <c r="E997" t="s">
        <v>306</v>
      </c>
      <c r="F997" s="5">
        <v>3442.04</v>
      </c>
      <c r="G997" s="5">
        <v>688.40800000000002</v>
      </c>
      <c r="I997" t="str">
        <f t="shared" si="76"/>
        <v>Low Sales</v>
      </c>
      <c r="J997" t="str">
        <f t="shared" si="77"/>
        <v>Average Performance</v>
      </c>
      <c r="K997">
        <f t="shared" si="78"/>
        <v>2003</v>
      </c>
      <c r="L997" t="str">
        <f t="shared" si="79"/>
        <v>November</v>
      </c>
    </row>
    <row r="998" spans="1:12" x14ac:dyDescent="0.25">
      <c r="A998" t="s">
        <v>76</v>
      </c>
      <c r="C998" t="s">
        <v>264</v>
      </c>
      <c r="D998" t="str">
        <f t="shared" si="75"/>
        <v>Vintage Cars</v>
      </c>
      <c r="E998" t="s">
        <v>306</v>
      </c>
      <c r="F998" s="5">
        <v>6893.81</v>
      </c>
      <c r="G998" s="5">
        <v>1378.7619999999999</v>
      </c>
      <c r="I998" t="str">
        <f t="shared" si="76"/>
        <v>Low Sales</v>
      </c>
      <c r="J998" t="str">
        <f t="shared" si="77"/>
        <v>Average Performance</v>
      </c>
      <c r="K998">
        <f t="shared" si="78"/>
        <v>2003</v>
      </c>
      <c r="L998" t="str">
        <f t="shared" si="79"/>
        <v>November</v>
      </c>
    </row>
    <row r="999" spans="1:12" x14ac:dyDescent="0.25">
      <c r="A999" t="s">
        <v>128</v>
      </c>
      <c r="B999" t="s">
        <v>258</v>
      </c>
      <c r="C999" t="s">
        <v>264</v>
      </c>
      <c r="D999" t="str">
        <f t="shared" si="75"/>
        <v>Vintage Cars</v>
      </c>
      <c r="E999" t="s">
        <v>306</v>
      </c>
      <c r="F999" s="5">
        <v>2622.48</v>
      </c>
      <c r="G999" s="5">
        <v>524.49599999999998</v>
      </c>
      <c r="I999" t="str">
        <f t="shared" si="76"/>
        <v>Low Sales</v>
      </c>
      <c r="J999" t="str">
        <f t="shared" si="77"/>
        <v>Average Performance</v>
      </c>
      <c r="K999">
        <f t="shared" si="78"/>
        <v>2004</v>
      </c>
      <c r="L999" t="str">
        <f t="shared" si="79"/>
        <v>January</v>
      </c>
    </row>
    <row r="1000" spans="1:12" x14ac:dyDescent="0.25">
      <c r="A1000" t="s">
        <v>226</v>
      </c>
      <c r="B1000" t="s">
        <v>258</v>
      </c>
      <c r="C1000" t="s">
        <v>264</v>
      </c>
      <c r="D1000" t="str">
        <f t="shared" si="75"/>
        <v>Vintage Cars</v>
      </c>
      <c r="E1000" t="s">
        <v>306</v>
      </c>
      <c r="F1000" s="5">
        <v>4417.38</v>
      </c>
      <c r="G1000" s="5">
        <v>883.47600000000011</v>
      </c>
      <c r="I1000" t="str">
        <f t="shared" si="76"/>
        <v>Low Sales</v>
      </c>
      <c r="J1000" t="str">
        <f t="shared" si="77"/>
        <v>Average Performance</v>
      </c>
      <c r="K1000">
        <f t="shared" si="78"/>
        <v>2004</v>
      </c>
      <c r="L1000" t="str">
        <f t="shared" si="79"/>
        <v>February</v>
      </c>
    </row>
    <row r="1001" spans="1:12" x14ac:dyDescent="0.25">
      <c r="A1001" t="s">
        <v>227</v>
      </c>
      <c r="B1001" t="s">
        <v>258</v>
      </c>
      <c r="C1001" t="s">
        <v>264</v>
      </c>
      <c r="D1001" t="str">
        <f t="shared" si="75"/>
        <v>Vintage Cars</v>
      </c>
      <c r="E1001" t="s">
        <v>306</v>
      </c>
      <c r="F1001" s="5">
        <v>3606.02</v>
      </c>
      <c r="G1001" s="5">
        <v>721.20400000000006</v>
      </c>
      <c r="I1001" t="str">
        <f t="shared" si="76"/>
        <v>Low Sales</v>
      </c>
      <c r="J1001" t="str">
        <f t="shared" si="77"/>
        <v>Average Performance</v>
      </c>
      <c r="K1001">
        <f t="shared" si="78"/>
        <v>2004</v>
      </c>
      <c r="L1001" t="str">
        <f t="shared" si="79"/>
        <v>March</v>
      </c>
    </row>
    <row r="1002" spans="1:12" x14ac:dyDescent="0.25">
      <c r="A1002" t="s">
        <v>79</v>
      </c>
      <c r="C1002" t="s">
        <v>264</v>
      </c>
      <c r="D1002" t="str">
        <f t="shared" si="75"/>
        <v>Vintage Cars</v>
      </c>
      <c r="E1002" t="s">
        <v>306</v>
      </c>
      <c r="F1002" s="5">
        <v>3802.56</v>
      </c>
      <c r="G1002" s="5">
        <v>760.51200000000006</v>
      </c>
      <c r="I1002" t="str">
        <f t="shared" si="76"/>
        <v>Low Sales</v>
      </c>
      <c r="J1002" t="str">
        <f t="shared" si="77"/>
        <v>Average Performance</v>
      </c>
      <c r="K1002">
        <f t="shared" si="78"/>
        <v>2004</v>
      </c>
      <c r="L1002" t="str">
        <f t="shared" si="79"/>
        <v>May</v>
      </c>
    </row>
    <row r="1003" spans="1:12" x14ac:dyDescent="0.25">
      <c r="A1003" t="s">
        <v>81</v>
      </c>
      <c r="B1003" t="s">
        <v>258</v>
      </c>
      <c r="C1003" t="s">
        <v>264</v>
      </c>
      <c r="D1003" t="str">
        <f t="shared" si="75"/>
        <v>Vintage Cars</v>
      </c>
      <c r="E1003" t="s">
        <v>306</v>
      </c>
      <c r="F1003" s="5">
        <v>5026.3999999999996</v>
      </c>
      <c r="G1003" s="5">
        <v>1005.28</v>
      </c>
      <c r="I1003" t="str">
        <f t="shared" si="76"/>
        <v>Low Sales</v>
      </c>
      <c r="J1003" t="str">
        <f t="shared" si="77"/>
        <v>Average Performance</v>
      </c>
      <c r="K1003">
        <f t="shared" si="78"/>
        <v>2004</v>
      </c>
      <c r="L1003" t="str">
        <f t="shared" si="79"/>
        <v>July</v>
      </c>
    </row>
    <row r="1004" spans="1:12" x14ac:dyDescent="0.25">
      <c r="A1004" t="s">
        <v>82</v>
      </c>
      <c r="C1004" t="s">
        <v>264</v>
      </c>
      <c r="D1004" t="str">
        <f t="shared" si="75"/>
        <v>Vintage Cars</v>
      </c>
      <c r="E1004" t="s">
        <v>306</v>
      </c>
      <c r="F1004" s="5">
        <v>6695.53</v>
      </c>
      <c r="G1004" s="5">
        <v>1339.106</v>
      </c>
      <c r="I1004" t="str">
        <f t="shared" si="76"/>
        <v>Low Sales</v>
      </c>
      <c r="J1004" t="str">
        <f t="shared" si="77"/>
        <v>Average Performance</v>
      </c>
      <c r="K1004">
        <f t="shared" si="78"/>
        <v>2004</v>
      </c>
      <c r="L1004" t="str">
        <f t="shared" si="79"/>
        <v>August</v>
      </c>
    </row>
    <row r="1005" spans="1:12" x14ac:dyDescent="0.25">
      <c r="A1005" t="s">
        <v>133</v>
      </c>
      <c r="B1005" t="s">
        <v>258</v>
      </c>
      <c r="C1005" t="s">
        <v>264</v>
      </c>
      <c r="D1005" t="str">
        <f t="shared" si="75"/>
        <v>Vintage Cars</v>
      </c>
      <c r="E1005" t="s">
        <v>306</v>
      </c>
      <c r="F1005" s="5">
        <v>2819.28</v>
      </c>
      <c r="G1005" s="5">
        <v>563.85600000000011</v>
      </c>
      <c r="I1005" t="str">
        <f t="shared" si="76"/>
        <v>Low Sales</v>
      </c>
      <c r="J1005" t="str">
        <f t="shared" si="77"/>
        <v>Average Performance</v>
      </c>
      <c r="K1005">
        <f t="shared" si="78"/>
        <v>2004</v>
      </c>
      <c r="L1005" t="str">
        <f t="shared" si="79"/>
        <v>September</v>
      </c>
    </row>
    <row r="1006" spans="1:12" x14ac:dyDescent="0.25">
      <c r="A1006" t="s">
        <v>84</v>
      </c>
      <c r="B1006" t="s">
        <v>258</v>
      </c>
      <c r="C1006" t="s">
        <v>264</v>
      </c>
      <c r="D1006" t="str">
        <f t="shared" si="75"/>
        <v>Vintage Cars</v>
      </c>
      <c r="E1006" t="s">
        <v>306</v>
      </c>
      <c r="F1006" s="5">
        <v>3759.04</v>
      </c>
      <c r="G1006" s="5">
        <v>751.80799999999999</v>
      </c>
      <c r="I1006" t="str">
        <f t="shared" si="76"/>
        <v>Low Sales</v>
      </c>
      <c r="J1006" t="str">
        <f t="shared" si="77"/>
        <v>Average Performance</v>
      </c>
      <c r="K1006">
        <f t="shared" si="78"/>
        <v>2004</v>
      </c>
      <c r="L1006" t="str">
        <f t="shared" si="79"/>
        <v>October</v>
      </c>
    </row>
    <row r="1007" spans="1:12" x14ac:dyDescent="0.25">
      <c r="A1007" t="s">
        <v>102</v>
      </c>
      <c r="B1007" t="s">
        <v>258</v>
      </c>
      <c r="C1007" t="s">
        <v>264</v>
      </c>
      <c r="D1007" t="str">
        <f t="shared" si="75"/>
        <v>Vintage Cars</v>
      </c>
      <c r="E1007" t="s">
        <v>306</v>
      </c>
      <c r="F1007" s="5">
        <v>2731.8</v>
      </c>
      <c r="G1007" s="5">
        <v>546.36</v>
      </c>
      <c r="I1007" t="str">
        <f t="shared" si="76"/>
        <v>Low Sales</v>
      </c>
      <c r="J1007" t="str">
        <f t="shared" si="77"/>
        <v>Average Performance</v>
      </c>
      <c r="K1007">
        <f t="shared" si="78"/>
        <v>2004</v>
      </c>
      <c r="L1007" t="str">
        <f t="shared" si="79"/>
        <v>October</v>
      </c>
    </row>
    <row r="1008" spans="1:12" x14ac:dyDescent="0.25">
      <c r="A1008" t="s">
        <v>86</v>
      </c>
      <c r="B1008" t="s">
        <v>258</v>
      </c>
      <c r="C1008" t="s">
        <v>264</v>
      </c>
      <c r="D1008" t="str">
        <f t="shared" si="75"/>
        <v>Vintage Cars</v>
      </c>
      <c r="E1008" t="s">
        <v>306</v>
      </c>
      <c r="F1008" s="5">
        <v>1658.88</v>
      </c>
      <c r="G1008" s="5">
        <v>331.77600000000012</v>
      </c>
      <c r="I1008" t="str">
        <f t="shared" si="76"/>
        <v>Low Sales</v>
      </c>
      <c r="J1008" t="str">
        <f t="shared" si="77"/>
        <v>Average Performance</v>
      </c>
      <c r="K1008">
        <f t="shared" si="78"/>
        <v>2004</v>
      </c>
      <c r="L1008" t="str">
        <f t="shared" si="79"/>
        <v>November</v>
      </c>
    </row>
    <row r="1009" spans="1:12" x14ac:dyDescent="0.25">
      <c r="A1009" t="s">
        <v>134</v>
      </c>
      <c r="B1009" t="s">
        <v>258</v>
      </c>
      <c r="C1009" t="s">
        <v>264</v>
      </c>
      <c r="D1009" t="str">
        <f t="shared" si="75"/>
        <v>Vintage Cars</v>
      </c>
      <c r="E1009" t="s">
        <v>306</v>
      </c>
      <c r="F1009" s="5">
        <v>5778.24</v>
      </c>
      <c r="G1009" s="5">
        <v>1155.6479999999999</v>
      </c>
      <c r="I1009" t="str">
        <f t="shared" si="76"/>
        <v>Low Sales</v>
      </c>
      <c r="J1009" t="str">
        <f t="shared" si="77"/>
        <v>Average Performance</v>
      </c>
      <c r="K1009">
        <f t="shared" si="78"/>
        <v>2004</v>
      </c>
      <c r="L1009" t="str">
        <f t="shared" si="79"/>
        <v>November</v>
      </c>
    </row>
    <row r="1010" spans="1:12" x14ac:dyDescent="0.25">
      <c r="A1010" t="s">
        <v>88</v>
      </c>
      <c r="B1010" t="s">
        <v>258</v>
      </c>
      <c r="C1010" t="s">
        <v>264</v>
      </c>
      <c r="D1010" t="str">
        <f t="shared" si="75"/>
        <v>Vintage Cars</v>
      </c>
      <c r="E1010" t="s">
        <v>306</v>
      </c>
      <c r="F1010" s="5">
        <v>5191.12</v>
      </c>
      <c r="G1010" s="5">
        <v>1038.2239999999999</v>
      </c>
      <c r="I1010" t="str">
        <f t="shared" si="76"/>
        <v>Low Sales</v>
      </c>
      <c r="J1010" t="str">
        <f t="shared" si="77"/>
        <v>Average Performance</v>
      </c>
      <c r="K1010">
        <f t="shared" si="78"/>
        <v>2004</v>
      </c>
      <c r="L1010" t="str">
        <f t="shared" si="79"/>
        <v>December</v>
      </c>
    </row>
    <row r="1011" spans="1:12" x14ac:dyDescent="0.25">
      <c r="A1011" t="s">
        <v>142</v>
      </c>
      <c r="B1011" t="s">
        <v>260</v>
      </c>
      <c r="C1011" t="s">
        <v>264</v>
      </c>
      <c r="D1011" t="str">
        <f t="shared" si="75"/>
        <v>Vintage Cars</v>
      </c>
      <c r="E1011" t="s">
        <v>306</v>
      </c>
      <c r="F1011" s="5">
        <v>3862.88</v>
      </c>
      <c r="G1011" s="5">
        <v>772.57600000000002</v>
      </c>
      <c r="I1011" t="str">
        <f t="shared" si="76"/>
        <v>Low Sales</v>
      </c>
      <c r="J1011" t="str">
        <f t="shared" si="77"/>
        <v>Average Performance</v>
      </c>
      <c r="K1011">
        <f t="shared" si="78"/>
        <v>2005</v>
      </c>
      <c r="L1011" t="str">
        <f t="shared" si="79"/>
        <v>January</v>
      </c>
    </row>
    <row r="1012" spans="1:12" x14ac:dyDescent="0.25">
      <c r="A1012" t="s">
        <v>211</v>
      </c>
      <c r="B1012" t="s">
        <v>258</v>
      </c>
      <c r="C1012" t="s">
        <v>264</v>
      </c>
      <c r="D1012" t="str">
        <f t="shared" si="75"/>
        <v>Vintage Cars</v>
      </c>
      <c r="E1012" t="s">
        <v>306</v>
      </c>
      <c r="F1012" s="5">
        <v>1476.48</v>
      </c>
      <c r="G1012" s="5">
        <v>295.29599999999999</v>
      </c>
      <c r="I1012" t="str">
        <f t="shared" si="76"/>
        <v>Low Sales</v>
      </c>
      <c r="J1012" t="str">
        <f t="shared" si="77"/>
        <v>Average Performance</v>
      </c>
      <c r="K1012">
        <f t="shared" si="78"/>
        <v>2005</v>
      </c>
      <c r="L1012" t="str">
        <f t="shared" si="79"/>
        <v>February</v>
      </c>
    </row>
    <row r="1013" spans="1:12" x14ac:dyDescent="0.25">
      <c r="A1013" t="s">
        <v>147</v>
      </c>
      <c r="C1013" t="s">
        <v>264</v>
      </c>
      <c r="D1013" t="str">
        <f t="shared" si="75"/>
        <v>Vintage Cars</v>
      </c>
      <c r="E1013" t="s">
        <v>306</v>
      </c>
      <c r="F1013" s="5">
        <v>5273.73</v>
      </c>
      <c r="G1013" s="5">
        <v>1054.7460000000001</v>
      </c>
      <c r="I1013" t="str">
        <f t="shared" si="76"/>
        <v>Low Sales</v>
      </c>
      <c r="J1013" t="str">
        <f t="shared" si="77"/>
        <v>Average Performance</v>
      </c>
      <c r="K1013">
        <f t="shared" si="78"/>
        <v>2005</v>
      </c>
      <c r="L1013" t="str">
        <f t="shared" si="79"/>
        <v>March</v>
      </c>
    </row>
    <row r="1014" spans="1:12" x14ac:dyDescent="0.25">
      <c r="A1014" t="s">
        <v>94</v>
      </c>
      <c r="C1014" t="s">
        <v>264</v>
      </c>
      <c r="D1014" t="str">
        <f t="shared" si="75"/>
        <v>Vintage Cars</v>
      </c>
      <c r="E1014" t="s">
        <v>306</v>
      </c>
      <c r="F1014" s="5">
        <v>4872.03</v>
      </c>
      <c r="G1014" s="5">
        <v>974.40599999999995</v>
      </c>
      <c r="I1014" t="str">
        <f t="shared" si="76"/>
        <v>Low Sales</v>
      </c>
      <c r="J1014" t="str">
        <f t="shared" si="77"/>
        <v>Average Performance</v>
      </c>
      <c r="K1014">
        <f t="shared" si="78"/>
        <v>2005</v>
      </c>
      <c r="L1014" t="str">
        <f t="shared" si="79"/>
        <v>May</v>
      </c>
    </row>
    <row r="1015" spans="1:12" x14ac:dyDescent="0.25">
      <c r="A1015" t="s">
        <v>140</v>
      </c>
      <c r="B1015" t="s">
        <v>258</v>
      </c>
      <c r="C1015" t="s">
        <v>262</v>
      </c>
      <c r="D1015" t="str">
        <f t="shared" si="75"/>
        <v>Classic Cars</v>
      </c>
      <c r="E1015" t="s">
        <v>307</v>
      </c>
      <c r="F1015" s="5">
        <v>4556.99</v>
      </c>
      <c r="G1015" s="5">
        <v>911.39800000000002</v>
      </c>
      <c r="I1015" t="str">
        <f t="shared" si="76"/>
        <v>Low Sales</v>
      </c>
      <c r="J1015" t="str">
        <f t="shared" si="77"/>
        <v>Average Performance</v>
      </c>
      <c r="K1015">
        <f t="shared" si="78"/>
        <v>2003</v>
      </c>
      <c r="L1015" t="str">
        <f t="shared" si="79"/>
        <v>January</v>
      </c>
    </row>
    <row r="1016" spans="1:12" x14ac:dyDescent="0.25">
      <c r="A1016" t="s">
        <v>157</v>
      </c>
      <c r="C1016" t="s">
        <v>262</v>
      </c>
      <c r="D1016" t="str">
        <f t="shared" si="75"/>
        <v>Classic Cars</v>
      </c>
      <c r="E1016" t="s">
        <v>307</v>
      </c>
      <c r="F1016" s="5">
        <v>8257</v>
      </c>
      <c r="G1016" s="5">
        <v>1651.4</v>
      </c>
      <c r="I1016" t="str">
        <f t="shared" si="76"/>
        <v>Low Sales</v>
      </c>
      <c r="J1016" t="str">
        <f t="shared" si="77"/>
        <v>Average Performance</v>
      </c>
      <c r="K1016">
        <f t="shared" si="78"/>
        <v>2003</v>
      </c>
      <c r="L1016" t="str">
        <f t="shared" si="79"/>
        <v>March</v>
      </c>
    </row>
    <row r="1017" spans="1:12" x14ac:dyDescent="0.25">
      <c r="A1017" t="s">
        <v>95</v>
      </c>
      <c r="B1017" t="s">
        <v>258</v>
      </c>
      <c r="C1017" t="s">
        <v>262</v>
      </c>
      <c r="D1017" t="str">
        <f t="shared" si="75"/>
        <v>Classic Cars</v>
      </c>
      <c r="E1017" t="s">
        <v>307</v>
      </c>
      <c r="F1017" s="5">
        <v>8209.44</v>
      </c>
      <c r="G1017" s="5">
        <v>1641.8879999999999</v>
      </c>
      <c r="I1017" t="str">
        <f t="shared" si="76"/>
        <v>Low Sales</v>
      </c>
      <c r="J1017" t="str">
        <f t="shared" si="77"/>
        <v>Average Performance</v>
      </c>
      <c r="K1017">
        <f t="shared" si="78"/>
        <v>2003</v>
      </c>
      <c r="L1017" t="str">
        <f t="shared" si="79"/>
        <v>April</v>
      </c>
    </row>
    <row r="1018" spans="1:12" x14ac:dyDescent="0.25">
      <c r="A1018" t="s">
        <v>105</v>
      </c>
      <c r="B1018" t="s">
        <v>258</v>
      </c>
      <c r="C1018" t="s">
        <v>262</v>
      </c>
      <c r="D1018" t="str">
        <f t="shared" si="75"/>
        <v>Classic Cars</v>
      </c>
      <c r="E1018" t="s">
        <v>307</v>
      </c>
      <c r="F1018" s="5">
        <v>3598.5</v>
      </c>
      <c r="G1018" s="5">
        <v>719.7</v>
      </c>
      <c r="I1018" t="str">
        <f t="shared" si="76"/>
        <v>Low Sales</v>
      </c>
      <c r="J1018" t="str">
        <f t="shared" si="77"/>
        <v>Average Performance</v>
      </c>
      <c r="K1018">
        <f t="shared" si="78"/>
        <v>2003</v>
      </c>
      <c r="L1018" t="str">
        <f t="shared" si="79"/>
        <v>May</v>
      </c>
    </row>
    <row r="1019" spans="1:12" x14ac:dyDescent="0.25">
      <c r="A1019" t="s">
        <v>124</v>
      </c>
      <c r="C1019" t="s">
        <v>262</v>
      </c>
      <c r="D1019" t="str">
        <f t="shared" si="75"/>
        <v>Classic Cars</v>
      </c>
      <c r="E1019" t="s">
        <v>307</v>
      </c>
      <c r="F1019" s="5">
        <v>3837.24</v>
      </c>
      <c r="G1019" s="5">
        <v>767.44799999999998</v>
      </c>
      <c r="I1019" t="str">
        <f t="shared" si="76"/>
        <v>Low Sales</v>
      </c>
      <c r="J1019" t="str">
        <f t="shared" si="77"/>
        <v>Average Performance</v>
      </c>
      <c r="K1019">
        <f t="shared" si="78"/>
        <v>2003</v>
      </c>
      <c r="L1019" t="str">
        <f t="shared" si="79"/>
        <v>June</v>
      </c>
    </row>
    <row r="1020" spans="1:12" x14ac:dyDescent="0.25">
      <c r="A1020" t="s">
        <v>158</v>
      </c>
      <c r="B1020" t="s">
        <v>258</v>
      </c>
      <c r="C1020" t="s">
        <v>262</v>
      </c>
      <c r="D1020" t="str">
        <f t="shared" si="75"/>
        <v>Classic Cars</v>
      </c>
      <c r="E1020" t="s">
        <v>307</v>
      </c>
      <c r="F1020" s="5">
        <v>8331.61</v>
      </c>
      <c r="G1020" s="5">
        <v>1666.3219999999999</v>
      </c>
      <c r="I1020" t="str">
        <f t="shared" si="76"/>
        <v>Low Sales</v>
      </c>
      <c r="J1020" t="str">
        <f t="shared" si="77"/>
        <v>Average Performance</v>
      </c>
      <c r="K1020">
        <f t="shared" si="78"/>
        <v>2003</v>
      </c>
      <c r="L1020" t="str">
        <f t="shared" si="79"/>
        <v>July</v>
      </c>
    </row>
    <row r="1021" spans="1:12" x14ac:dyDescent="0.25">
      <c r="A1021" t="s">
        <v>150</v>
      </c>
      <c r="B1021" t="s">
        <v>258</v>
      </c>
      <c r="C1021" t="s">
        <v>262</v>
      </c>
      <c r="D1021" t="str">
        <f t="shared" si="75"/>
        <v>Classic Cars</v>
      </c>
      <c r="E1021" t="s">
        <v>307</v>
      </c>
      <c r="F1021" s="5">
        <v>4836.5</v>
      </c>
      <c r="G1021" s="5">
        <v>967.30000000000007</v>
      </c>
      <c r="I1021" t="str">
        <f t="shared" si="76"/>
        <v>Low Sales</v>
      </c>
      <c r="J1021" t="str">
        <f t="shared" si="77"/>
        <v>Average Performance</v>
      </c>
      <c r="K1021">
        <f t="shared" si="78"/>
        <v>2003</v>
      </c>
      <c r="L1021" t="str">
        <f t="shared" si="79"/>
        <v>August</v>
      </c>
    </row>
    <row r="1022" spans="1:12" x14ac:dyDescent="0.25">
      <c r="A1022" t="s">
        <v>159</v>
      </c>
      <c r="B1022" t="s">
        <v>259</v>
      </c>
      <c r="C1022" t="s">
        <v>262</v>
      </c>
      <c r="D1022" t="str">
        <f t="shared" si="75"/>
        <v>Classic Cars</v>
      </c>
      <c r="E1022" t="s">
        <v>307</v>
      </c>
      <c r="F1022" s="5">
        <v>5418.88</v>
      </c>
      <c r="G1022" s="5">
        <v>1083.7760000000001</v>
      </c>
      <c r="I1022" t="str">
        <f t="shared" si="76"/>
        <v>Low Sales</v>
      </c>
      <c r="J1022" t="str">
        <f t="shared" si="77"/>
        <v>Average Performance</v>
      </c>
      <c r="K1022">
        <f t="shared" si="78"/>
        <v>2003</v>
      </c>
      <c r="L1022" t="str">
        <f t="shared" si="79"/>
        <v>September</v>
      </c>
    </row>
    <row r="1023" spans="1:12" x14ac:dyDescent="0.25">
      <c r="A1023" t="s">
        <v>151</v>
      </c>
      <c r="B1023" t="s">
        <v>258</v>
      </c>
      <c r="C1023" t="s">
        <v>262</v>
      </c>
      <c r="D1023" t="str">
        <f t="shared" si="75"/>
        <v>Classic Cars</v>
      </c>
      <c r="E1023" t="s">
        <v>307</v>
      </c>
      <c r="F1023" s="5">
        <v>3734.01</v>
      </c>
      <c r="G1023" s="5">
        <v>746.80200000000013</v>
      </c>
      <c r="I1023" t="str">
        <f t="shared" si="76"/>
        <v>Low Sales</v>
      </c>
      <c r="J1023" t="str">
        <f t="shared" si="77"/>
        <v>Average Performance</v>
      </c>
      <c r="K1023">
        <f t="shared" si="78"/>
        <v>2003</v>
      </c>
      <c r="L1023" t="str">
        <f t="shared" si="79"/>
        <v>September</v>
      </c>
    </row>
    <row r="1024" spans="1:12" x14ac:dyDescent="0.25">
      <c r="A1024" t="s">
        <v>143</v>
      </c>
      <c r="C1024" t="s">
        <v>262</v>
      </c>
      <c r="D1024" t="str">
        <f t="shared" si="75"/>
        <v>Classic Cars</v>
      </c>
      <c r="E1024" t="s">
        <v>307</v>
      </c>
      <c r="F1024" s="5">
        <v>3996.4</v>
      </c>
      <c r="G1024" s="5">
        <v>799.28000000000009</v>
      </c>
      <c r="I1024" t="str">
        <f t="shared" si="76"/>
        <v>Low Sales</v>
      </c>
      <c r="J1024" t="str">
        <f t="shared" si="77"/>
        <v>Average Performance</v>
      </c>
      <c r="K1024">
        <f t="shared" si="78"/>
        <v>2003</v>
      </c>
      <c r="L1024" t="str">
        <f t="shared" si="79"/>
        <v>October</v>
      </c>
    </row>
    <row r="1025" spans="1:12" x14ac:dyDescent="0.25">
      <c r="A1025" t="s">
        <v>127</v>
      </c>
      <c r="B1025" t="s">
        <v>260</v>
      </c>
      <c r="C1025" t="s">
        <v>262</v>
      </c>
      <c r="D1025" t="str">
        <f t="shared" si="75"/>
        <v>Classic Cars</v>
      </c>
      <c r="E1025" t="s">
        <v>307</v>
      </c>
      <c r="F1025" s="5">
        <v>8754.69</v>
      </c>
      <c r="G1025" s="5">
        <v>1750.9380000000001</v>
      </c>
      <c r="I1025" t="str">
        <f t="shared" si="76"/>
        <v>Low Sales</v>
      </c>
      <c r="J1025" t="str">
        <f t="shared" si="77"/>
        <v>Average Performance</v>
      </c>
      <c r="K1025">
        <f t="shared" si="78"/>
        <v>2003</v>
      </c>
      <c r="L1025" t="str">
        <f t="shared" si="79"/>
        <v>October</v>
      </c>
    </row>
    <row r="1026" spans="1:12" x14ac:dyDescent="0.25">
      <c r="A1026" t="s">
        <v>161</v>
      </c>
      <c r="C1026" t="s">
        <v>262</v>
      </c>
      <c r="D1026" t="str">
        <f t="shared" si="75"/>
        <v>Classic Cars</v>
      </c>
      <c r="E1026" t="s">
        <v>307</v>
      </c>
      <c r="F1026" s="5">
        <v>5481.45</v>
      </c>
      <c r="G1026" s="5">
        <v>1096.29</v>
      </c>
      <c r="I1026" t="str">
        <f t="shared" si="76"/>
        <v>Low Sales</v>
      </c>
      <c r="J1026" t="str">
        <f t="shared" si="77"/>
        <v>Average Performance</v>
      </c>
      <c r="K1026">
        <f t="shared" si="78"/>
        <v>2003</v>
      </c>
      <c r="L1026" t="str">
        <f t="shared" si="79"/>
        <v>November</v>
      </c>
    </row>
    <row r="1027" spans="1:12" x14ac:dyDescent="0.25">
      <c r="A1027" t="s">
        <v>38</v>
      </c>
      <c r="B1027" t="s">
        <v>258</v>
      </c>
      <c r="C1027" t="s">
        <v>262</v>
      </c>
      <c r="D1027" t="str">
        <f t="shared" ref="D1027:D1090" si="80">PROPER(TRIM(C1027))</f>
        <v>Classic Cars</v>
      </c>
      <c r="E1027" t="s">
        <v>307</v>
      </c>
      <c r="F1027" s="5">
        <v>4419.8900000000003</v>
      </c>
      <c r="G1027" s="5">
        <v>883.97800000000007</v>
      </c>
      <c r="I1027" t="str">
        <f t="shared" ref="I1027:I1090" si="81">IF(F1027&gt;50000,"High Sales","Low Sales")</f>
        <v>Low Sales</v>
      </c>
      <c r="J1027" t="str">
        <f t="shared" ref="J1027:J1090" si="82">IF(AND(F1027&gt;30000,G1027&gt;5000),"Good Performance","Average Performance")</f>
        <v>Average Performance</v>
      </c>
      <c r="K1027">
        <f t="shared" ref="K1027:K1090" si="83">YEAR(A1027)</f>
        <v>2003</v>
      </c>
      <c r="L1027" t="str">
        <f t="shared" ref="L1027:L1090" si="84">TEXT(A1027,"mmmm")</f>
        <v>November</v>
      </c>
    </row>
    <row r="1028" spans="1:12" x14ac:dyDescent="0.25">
      <c r="A1028" t="s">
        <v>109</v>
      </c>
      <c r="B1028" t="s">
        <v>258</v>
      </c>
      <c r="C1028" t="s">
        <v>262</v>
      </c>
      <c r="D1028" t="str">
        <f t="shared" si="80"/>
        <v>Classic Cars</v>
      </c>
      <c r="E1028" t="s">
        <v>307</v>
      </c>
      <c r="F1028" s="5">
        <v>6324.75</v>
      </c>
      <c r="G1028" s="5">
        <v>1264.95</v>
      </c>
      <c r="I1028" t="str">
        <f t="shared" si="81"/>
        <v>Low Sales</v>
      </c>
      <c r="J1028" t="str">
        <f t="shared" si="82"/>
        <v>Average Performance</v>
      </c>
      <c r="K1028">
        <f t="shared" si="83"/>
        <v>2003</v>
      </c>
      <c r="L1028" t="str">
        <f t="shared" si="84"/>
        <v>November</v>
      </c>
    </row>
    <row r="1029" spans="1:12" x14ac:dyDescent="0.25">
      <c r="A1029" t="s">
        <v>75</v>
      </c>
      <c r="B1029" t="s">
        <v>258</v>
      </c>
      <c r="C1029" t="s">
        <v>262</v>
      </c>
      <c r="D1029" t="str">
        <f t="shared" si="80"/>
        <v>Classic Cars</v>
      </c>
      <c r="E1029" t="s">
        <v>307</v>
      </c>
      <c r="F1029" s="5">
        <v>4409.72</v>
      </c>
      <c r="G1029" s="5">
        <v>881.94400000000007</v>
      </c>
      <c r="I1029" t="str">
        <f t="shared" si="81"/>
        <v>Low Sales</v>
      </c>
      <c r="J1029" t="str">
        <f t="shared" si="82"/>
        <v>Average Performance</v>
      </c>
      <c r="K1029">
        <f t="shared" si="83"/>
        <v>2003</v>
      </c>
      <c r="L1029" t="str">
        <f t="shared" si="84"/>
        <v>November</v>
      </c>
    </row>
    <row r="1030" spans="1:12" x14ac:dyDescent="0.25">
      <c r="A1030" t="s">
        <v>110</v>
      </c>
      <c r="C1030" t="s">
        <v>262</v>
      </c>
      <c r="D1030" t="str">
        <f t="shared" si="80"/>
        <v>Classic Cars</v>
      </c>
      <c r="E1030" t="s">
        <v>307</v>
      </c>
      <c r="F1030" s="5">
        <v>3918.46</v>
      </c>
      <c r="G1030" s="5">
        <v>783.69200000000001</v>
      </c>
      <c r="I1030" t="str">
        <f t="shared" si="81"/>
        <v>Low Sales</v>
      </c>
      <c r="J1030" t="str">
        <f t="shared" si="82"/>
        <v>Average Performance</v>
      </c>
      <c r="K1030">
        <f t="shared" si="83"/>
        <v>2003</v>
      </c>
      <c r="L1030" t="str">
        <f t="shared" si="84"/>
        <v>November</v>
      </c>
    </row>
    <row r="1031" spans="1:12" x14ac:dyDescent="0.25">
      <c r="A1031" t="s">
        <v>40</v>
      </c>
      <c r="C1031" t="s">
        <v>262</v>
      </c>
      <c r="D1031" t="str">
        <f t="shared" si="80"/>
        <v>Classic Cars</v>
      </c>
      <c r="E1031" t="s">
        <v>307</v>
      </c>
      <c r="F1031" s="5">
        <v>7620.5</v>
      </c>
      <c r="G1031" s="5">
        <v>1524.1</v>
      </c>
      <c r="I1031" t="str">
        <f t="shared" si="81"/>
        <v>Low Sales</v>
      </c>
      <c r="J1031" t="str">
        <f t="shared" si="82"/>
        <v>Average Performance</v>
      </c>
      <c r="K1031">
        <f t="shared" si="83"/>
        <v>2003</v>
      </c>
      <c r="L1031" t="str">
        <f t="shared" si="84"/>
        <v>November</v>
      </c>
    </row>
    <row r="1032" spans="1:12" x14ac:dyDescent="0.25">
      <c r="A1032" t="s">
        <v>111</v>
      </c>
      <c r="B1032" t="s">
        <v>258</v>
      </c>
      <c r="C1032" t="s">
        <v>262</v>
      </c>
      <c r="D1032" t="str">
        <f t="shared" si="80"/>
        <v>Classic Cars</v>
      </c>
      <c r="E1032" t="s">
        <v>307</v>
      </c>
      <c r="F1032" s="5">
        <v>8291.0400000000009</v>
      </c>
      <c r="G1032" s="5">
        <v>1658.2080000000001</v>
      </c>
      <c r="I1032" t="str">
        <f t="shared" si="81"/>
        <v>Low Sales</v>
      </c>
      <c r="J1032" t="str">
        <f t="shared" si="82"/>
        <v>Average Performance</v>
      </c>
      <c r="K1032">
        <f t="shared" si="83"/>
        <v>2003</v>
      </c>
      <c r="L1032" t="str">
        <f t="shared" si="84"/>
        <v>December</v>
      </c>
    </row>
    <row r="1033" spans="1:12" x14ac:dyDescent="0.25">
      <c r="A1033" t="s">
        <v>97</v>
      </c>
      <c r="C1033" t="s">
        <v>262</v>
      </c>
      <c r="D1033" t="str">
        <f t="shared" si="80"/>
        <v>Classic Cars</v>
      </c>
      <c r="E1033" t="s">
        <v>307</v>
      </c>
      <c r="F1033" s="5">
        <v>3937.25</v>
      </c>
      <c r="G1033" s="5">
        <v>787.45</v>
      </c>
      <c r="I1033" t="str">
        <f t="shared" si="81"/>
        <v>Low Sales</v>
      </c>
      <c r="J1033" t="str">
        <f t="shared" si="82"/>
        <v>Average Performance</v>
      </c>
      <c r="K1033">
        <f t="shared" si="83"/>
        <v>2003</v>
      </c>
      <c r="L1033" t="str">
        <f t="shared" si="84"/>
        <v>December</v>
      </c>
    </row>
    <row r="1034" spans="1:12" x14ac:dyDescent="0.25">
      <c r="A1034" t="s">
        <v>144</v>
      </c>
      <c r="B1034" t="s">
        <v>258</v>
      </c>
      <c r="C1034" t="s">
        <v>262</v>
      </c>
      <c r="D1034" t="str">
        <f t="shared" si="80"/>
        <v>Classic Cars</v>
      </c>
      <c r="E1034" t="s">
        <v>307</v>
      </c>
      <c r="F1034" s="5">
        <v>5554.4</v>
      </c>
      <c r="G1034" s="5">
        <v>1110.8800000000001</v>
      </c>
      <c r="I1034" t="str">
        <f t="shared" si="81"/>
        <v>Low Sales</v>
      </c>
      <c r="J1034" t="str">
        <f t="shared" si="82"/>
        <v>Average Performance</v>
      </c>
      <c r="K1034">
        <f t="shared" si="83"/>
        <v>2004</v>
      </c>
      <c r="L1034" t="str">
        <f t="shared" si="84"/>
        <v>January</v>
      </c>
    </row>
    <row r="1035" spans="1:12" x14ac:dyDescent="0.25">
      <c r="A1035" t="s">
        <v>112</v>
      </c>
      <c r="B1035" t="s">
        <v>258</v>
      </c>
      <c r="C1035" t="s">
        <v>262</v>
      </c>
      <c r="D1035" t="str">
        <f t="shared" si="80"/>
        <v>Classic Cars</v>
      </c>
      <c r="E1035" t="s">
        <v>307</v>
      </c>
      <c r="F1035" s="5">
        <v>6407.86</v>
      </c>
      <c r="G1035" s="5">
        <v>1281.5719999999999</v>
      </c>
      <c r="I1035" t="str">
        <f t="shared" si="81"/>
        <v>Low Sales</v>
      </c>
      <c r="J1035" t="str">
        <f t="shared" si="82"/>
        <v>Average Performance</v>
      </c>
      <c r="K1035">
        <f t="shared" si="83"/>
        <v>2004</v>
      </c>
      <c r="L1035" t="str">
        <f t="shared" si="84"/>
        <v>February</v>
      </c>
    </row>
    <row r="1036" spans="1:12" x14ac:dyDescent="0.25">
      <c r="A1036" t="s">
        <v>99</v>
      </c>
      <c r="C1036" t="s">
        <v>262</v>
      </c>
      <c r="D1036" t="str">
        <f t="shared" si="80"/>
        <v>Classic Cars</v>
      </c>
      <c r="E1036" t="s">
        <v>307</v>
      </c>
      <c r="F1036" s="5">
        <v>4172.5200000000004</v>
      </c>
      <c r="G1036" s="5">
        <v>834.50400000000013</v>
      </c>
      <c r="I1036" t="str">
        <f t="shared" si="81"/>
        <v>Low Sales</v>
      </c>
      <c r="J1036" t="str">
        <f t="shared" si="82"/>
        <v>Average Performance</v>
      </c>
      <c r="K1036">
        <f t="shared" si="83"/>
        <v>2004</v>
      </c>
      <c r="L1036" t="str">
        <f t="shared" si="84"/>
        <v>March</v>
      </c>
    </row>
    <row r="1037" spans="1:12" x14ac:dyDescent="0.25">
      <c r="A1037" t="s">
        <v>154</v>
      </c>
      <c r="B1037" t="s">
        <v>258</v>
      </c>
      <c r="C1037" t="s">
        <v>262</v>
      </c>
      <c r="D1037" t="str">
        <f t="shared" si="80"/>
        <v>Classic Cars</v>
      </c>
      <c r="E1037" t="s">
        <v>307</v>
      </c>
      <c r="F1037" s="5">
        <v>7083.37</v>
      </c>
      <c r="G1037" s="5">
        <v>1416.674</v>
      </c>
      <c r="I1037" t="str">
        <f t="shared" si="81"/>
        <v>Low Sales</v>
      </c>
      <c r="J1037" t="str">
        <f t="shared" si="82"/>
        <v>Average Performance</v>
      </c>
      <c r="K1037">
        <f t="shared" si="83"/>
        <v>2004</v>
      </c>
      <c r="L1037" t="str">
        <f t="shared" si="84"/>
        <v>April</v>
      </c>
    </row>
    <row r="1038" spans="1:12" x14ac:dyDescent="0.25">
      <c r="A1038" t="s">
        <v>131</v>
      </c>
      <c r="B1038" t="s">
        <v>258</v>
      </c>
      <c r="C1038" t="s">
        <v>262</v>
      </c>
      <c r="D1038" t="str">
        <f t="shared" si="80"/>
        <v>Classic Cars</v>
      </c>
      <c r="E1038" t="s">
        <v>307</v>
      </c>
      <c r="F1038" s="5">
        <v>7132.68</v>
      </c>
      <c r="G1038" s="5">
        <v>1426.5360000000001</v>
      </c>
      <c r="I1038" t="str">
        <f t="shared" si="81"/>
        <v>Low Sales</v>
      </c>
      <c r="J1038" t="str">
        <f t="shared" si="82"/>
        <v>Average Performance</v>
      </c>
      <c r="K1038">
        <f t="shared" si="83"/>
        <v>2004</v>
      </c>
      <c r="L1038" t="str">
        <f t="shared" si="84"/>
        <v>May</v>
      </c>
    </row>
    <row r="1039" spans="1:12" x14ac:dyDescent="0.25">
      <c r="A1039" t="s">
        <v>114</v>
      </c>
      <c r="B1039" t="s">
        <v>258</v>
      </c>
      <c r="C1039" t="s">
        <v>262</v>
      </c>
      <c r="D1039" t="str">
        <f t="shared" si="80"/>
        <v>Classic Cars</v>
      </c>
      <c r="E1039" t="s">
        <v>307</v>
      </c>
      <c r="F1039" s="5">
        <v>6773.6</v>
      </c>
      <c r="G1039" s="5">
        <v>1354.72</v>
      </c>
      <c r="I1039" t="str">
        <f t="shared" si="81"/>
        <v>Low Sales</v>
      </c>
      <c r="J1039" t="str">
        <f t="shared" si="82"/>
        <v>Average Performance</v>
      </c>
      <c r="K1039">
        <f t="shared" si="83"/>
        <v>2004</v>
      </c>
      <c r="L1039" t="str">
        <f t="shared" si="84"/>
        <v>June</v>
      </c>
    </row>
    <row r="1040" spans="1:12" x14ac:dyDescent="0.25">
      <c r="A1040" t="s">
        <v>45</v>
      </c>
      <c r="B1040" t="s">
        <v>259</v>
      </c>
      <c r="C1040" t="s">
        <v>262</v>
      </c>
      <c r="D1040" t="str">
        <f t="shared" si="80"/>
        <v>Classic Cars</v>
      </c>
      <c r="E1040" t="s">
        <v>307</v>
      </c>
      <c r="F1040" s="5">
        <v>3657.69</v>
      </c>
      <c r="G1040" s="5">
        <v>731.53800000000001</v>
      </c>
      <c r="I1040" t="str">
        <f t="shared" si="81"/>
        <v>Low Sales</v>
      </c>
      <c r="J1040" t="str">
        <f t="shared" si="82"/>
        <v>Average Performance</v>
      </c>
      <c r="K1040">
        <f t="shared" si="83"/>
        <v>2004</v>
      </c>
      <c r="L1040" t="str">
        <f t="shared" si="84"/>
        <v>June</v>
      </c>
    </row>
    <row r="1041" spans="1:12" x14ac:dyDescent="0.25">
      <c r="A1041" t="s">
        <v>115</v>
      </c>
      <c r="B1041" t="s">
        <v>258</v>
      </c>
      <c r="C1041" t="s">
        <v>262</v>
      </c>
      <c r="D1041" t="str">
        <f t="shared" si="80"/>
        <v>Classic Cars</v>
      </c>
      <c r="E1041" t="s">
        <v>307</v>
      </c>
      <c r="F1041" s="5">
        <v>4812.55</v>
      </c>
      <c r="G1041" s="5">
        <v>962.5100000000001</v>
      </c>
      <c r="I1041" t="str">
        <f t="shared" si="81"/>
        <v>Low Sales</v>
      </c>
      <c r="J1041" t="str">
        <f t="shared" si="82"/>
        <v>Average Performance</v>
      </c>
      <c r="K1041">
        <f t="shared" si="83"/>
        <v>2004</v>
      </c>
      <c r="L1041" t="str">
        <f t="shared" si="84"/>
        <v>July</v>
      </c>
    </row>
    <row r="1042" spans="1:12" x14ac:dyDescent="0.25">
      <c r="A1042" t="s">
        <v>132</v>
      </c>
      <c r="C1042" t="s">
        <v>262</v>
      </c>
      <c r="D1042" t="str">
        <f t="shared" si="80"/>
        <v>Classic Cars</v>
      </c>
      <c r="E1042" t="s">
        <v>307</v>
      </c>
      <c r="F1042" s="5">
        <v>3928.6</v>
      </c>
      <c r="G1042" s="5">
        <v>785.72</v>
      </c>
      <c r="I1042" t="str">
        <f t="shared" si="81"/>
        <v>Low Sales</v>
      </c>
      <c r="J1042" t="str">
        <f t="shared" si="82"/>
        <v>Average Performance</v>
      </c>
      <c r="K1042">
        <f t="shared" si="83"/>
        <v>2004</v>
      </c>
      <c r="L1042" t="str">
        <f t="shared" si="84"/>
        <v>July</v>
      </c>
    </row>
    <row r="1043" spans="1:12" x14ac:dyDescent="0.25">
      <c r="A1043" t="s">
        <v>163</v>
      </c>
      <c r="C1043" t="s">
        <v>262</v>
      </c>
      <c r="D1043" t="str">
        <f t="shared" si="80"/>
        <v>Classic Cars</v>
      </c>
      <c r="E1043" t="s">
        <v>307</v>
      </c>
      <c r="F1043" s="5">
        <v>6401.22</v>
      </c>
      <c r="G1043" s="5">
        <v>1280.2439999999999</v>
      </c>
      <c r="I1043" t="str">
        <f t="shared" si="81"/>
        <v>Low Sales</v>
      </c>
      <c r="J1043" t="str">
        <f t="shared" si="82"/>
        <v>Average Performance</v>
      </c>
      <c r="K1043">
        <f t="shared" si="83"/>
        <v>2004</v>
      </c>
      <c r="L1043" t="str">
        <f t="shared" si="84"/>
        <v>August</v>
      </c>
    </row>
    <row r="1044" spans="1:12" x14ac:dyDescent="0.25">
      <c r="A1044" t="s">
        <v>100</v>
      </c>
      <c r="C1044" t="s">
        <v>262</v>
      </c>
      <c r="D1044" t="str">
        <f t="shared" si="80"/>
        <v>Classic Cars</v>
      </c>
      <c r="E1044" t="s">
        <v>307</v>
      </c>
      <c r="F1044" s="5">
        <v>4191.25</v>
      </c>
      <c r="G1044" s="5">
        <v>838.25</v>
      </c>
      <c r="I1044" t="str">
        <f t="shared" si="81"/>
        <v>Low Sales</v>
      </c>
      <c r="J1044" t="str">
        <f t="shared" si="82"/>
        <v>Average Performance</v>
      </c>
      <c r="K1044">
        <f t="shared" si="83"/>
        <v>2004</v>
      </c>
      <c r="L1044" t="str">
        <f t="shared" si="84"/>
        <v>August</v>
      </c>
    </row>
    <row r="1045" spans="1:12" x14ac:dyDescent="0.25">
      <c r="A1045" t="s">
        <v>117</v>
      </c>
      <c r="B1045" t="s">
        <v>258</v>
      </c>
      <c r="C1045" t="s">
        <v>262</v>
      </c>
      <c r="D1045" t="str">
        <f t="shared" si="80"/>
        <v>Classic Cars</v>
      </c>
      <c r="E1045" t="s">
        <v>307</v>
      </c>
      <c r="F1045" s="5">
        <v>5852.52</v>
      </c>
      <c r="G1045" s="5">
        <v>1170.5039999999999</v>
      </c>
      <c r="I1045" t="str">
        <f t="shared" si="81"/>
        <v>Low Sales</v>
      </c>
      <c r="J1045" t="str">
        <f t="shared" si="82"/>
        <v>Average Performance</v>
      </c>
      <c r="K1045">
        <f t="shared" si="83"/>
        <v>2004</v>
      </c>
      <c r="L1045" t="str">
        <f t="shared" si="84"/>
        <v>August</v>
      </c>
    </row>
    <row r="1046" spans="1:12" x14ac:dyDescent="0.25">
      <c r="A1046" t="s">
        <v>48</v>
      </c>
      <c r="C1046" t="s">
        <v>262</v>
      </c>
      <c r="D1046" t="str">
        <f t="shared" si="80"/>
        <v>Classic Cars</v>
      </c>
      <c r="E1046" t="s">
        <v>307</v>
      </c>
      <c r="F1046" s="5">
        <v>2844.87</v>
      </c>
      <c r="G1046" s="5">
        <v>568.97400000000005</v>
      </c>
      <c r="I1046" t="str">
        <f t="shared" si="81"/>
        <v>Low Sales</v>
      </c>
      <c r="J1046" t="str">
        <f t="shared" si="82"/>
        <v>Average Performance</v>
      </c>
      <c r="K1046">
        <f t="shared" si="83"/>
        <v>2004</v>
      </c>
      <c r="L1046" t="str">
        <f t="shared" si="84"/>
        <v>September</v>
      </c>
    </row>
    <row r="1047" spans="1:12" x14ac:dyDescent="0.25">
      <c r="A1047" t="s">
        <v>164</v>
      </c>
      <c r="B1047" t="s">
        <v>258</v>
      </c>
      <c r="C1047" t="s">
        <v>262</v>
      </c>
      <c r="D1047" t="str">
        <f t="shared" si="80"/>
        <v>Classic Cars</v>
      </c>
      <c r="E1047" t="s">
        <v>307</v>
      </c>
      <c r="F1047" s="5">
        <v>4011.66</v>
      </c>
      <c r="G1047" s="5">
        <v>802.33199999999999</v>
      </c>
      <c r="I1047" t="str">
        <f t="shared" si="81"/>
        <v>Low Sales</v>
      </c>
      <c r="J1047" t="str">
        <f t="shared" si="82"/>
        <v>Average Performance</v>
      </c>
      <c r="K1047">
        <f t="shared" si="83"/>
        <v>2003</v>
      </c>
      <c r="L1047" t="str">
        <f t="shared" si="84"/>
        <v>October</v>
      </c>
    </row>
    <row r="1048" spans="1:12" x14ac:dyDescent="0.25">
      <c r="A1048" t="s">
        <v>101</v>
      </c>
      <c r="C1048" t="s">
        <v>262</v>
      </c>
      <c r="D1048" t="str">
        <f t="shared" si="80"/>
        <v>Classic Cars</v>
      </c>
      <c r="E1048" t="s">
        <v>307</v>
      </c>
      <c r="F1048" s="5">
        <v>7455.87</v>
      </c>
      <c r="G1048" s="5">
        <v>1491.174</v>
      </c>
      <c r="I1048" t="str">
        <f t="shared" si="81"/>
        <v>Low Sales</v>
      </c>
      <c r="J1048" t="str">
        <f t="shared" si="82"/>
        <v>Average Performance</v>
      </c>
      <c r="K1048">
        <f t="shared" si="83"/>
        <v>2004</v>
      </c>
      <c r="L1048" t="str">
        <f t="shared" si="84"/>
        <v>October</v>
      </c>
    </row>
    <row r="1049" spans="1:12" x14ac:dyDescent="0.25">
      <c r="A1049" t="s">
        <v>119</v>
      </c>
      <c r="B1049" t="s">
        <v>258</v>
      </c>
      <c r="C1049" t="s">
        <v>262</v>
      </c>
      <c r="D1049" t="str">
        <f t="shared" si="80"/>
        <v>Classic Cars</v>
      </c>
      <c r="E1049" t="s">
        <v>307</v>
      </c>
      <c r="F1049" s="5">
        <v>8940.9599999999991</v>
      </c>
      <c r="G1049" s="5">
        <v>1788.192</v>
      </c>
      <c r="I1049" t="str">
        <f t="shared" si="81"/>
        <v>Low Sales</v>
      </c>
      <c r="J1049" t="str">
        <f t="shared" si="82"/>
        <v>Average Performance</v>
      </c>
      <c r="K1049">
        <f t="shared" si="83"/>
        <v>2004</v>
      </c>
      <c r="L1049" t="str">
        <f t="shared" si="84"/>
        <v>October</v>
      </c>
    </row>
    <row r="1050" spans="1:12" x14ac:dyDescent="0.25">
      <c r="A1050" t="s">
        <v>102</v>
      </c>
      <c r="C1050" t="s">
        <v>262</v>
      </c>
      <c r="D1050" t="str">
        <f t="shared" si="80"/>
        <v>Classic Cars</v>
      </c>
      <c r="E1050" t="s">
        <v>307</v>
      </c>
      <c r="F1050" s="5">
        <v>4572.25</v>
      </c>
      <c r="G1050" s="5">
        <v>914.45</v>
      </c>
      <c r="I1050" t="str">
        <f t="shared" si="81"/>
        <v>Low Sales</v>
      </c>
      <c r="J1050" t="str">
        <f t="shared" si="82"/>
        <v>Average Performance</v>
      </c>
      <c r="K1050">
        <f t="shared" si="83"/>
        <v>2004</v>
      </c>
      <c r="L1050" t="str">
        <f t="shared" si="84"/>
        <v>October</v>
      </c>
    </row>
    <row r="1051" spans="1:12" x14ac:dyDescent="0.25">
      <c r="A1051" t="s">
        <v>51</v>
      </c>
      <c r="C1051" t="s">
        <v>262</v>
      </c>
      <c r="D1051" t="str">
        <f t="shared" si="80"/>
        <v>Classic Cars</v>
      </c>
      <c r="E1051" t="s">
        <v>307</v>
      </c>
      <c r="F1051" s="5">
        <v>5700.09</v>
      </c>
      <c r="G1051" s="5">
        <v>1140.018</v>
      </c>
      <c r="I1051" t="str">
        <f t="shared" si="81"/>
        <v>Low Sales</v>
      </c>
      <c r="J1051" t="str">
        <f t="shared" si="82"/>
        <v>Average Performance</v>
      </c>
      <c r="K1051">
        <f t="shared" si="83"/>
        <v>2004</v>
      </c>
      <c r="L1051" t="str">
        <f t="shared" si="84"/>
        <v>November</v>
      </c>
    </row>
    <row r="1052" spans="1:12" x14ac:dyDescent="0.25">
      <c r="A1052" t="s">
        <v>86</v>
      </c>
      <c r="C1052" t="s">
        <v>262</v>
      </c>
      <c r="D1052" t="str">
        <f t="shared" si="80"/>
        <v>Classic Cars</v>
      </c>
      <c r="E1052" t="s">
        <v>307</v>
      </c>
      <c r="F1052" s="5">
        <v>3155.49</v>
      </c>
      <c r="G1052" s="5">
        <v>631.09799999999996</v>
      </c>
      <c r="I1052" t="str">
        <f t="shared" si="81"/>
        <v>Low Sales</v>
      </c>
      <c r="J1052" t="str">
        <f t="shared" si="82"/>
        <v>Average Performance</v>
      </c>
      <c r="K1052">
        <f t="shared" si="83"/>
        <v>2004</v>
      </c>
      <c r="L1052" t="str">
        <f t="shared" si="84"/>
        <v>November</v>
      </c>
    </row>
    <row r="1053" spans="1:12" x14ac:dyDescent="0.25">
      <c r="A1053" t="s">
        <v>165</v>
      </c>
      <c r="C1053" t="s">
        <v>262</v>
      </c>
      <c r="D1053" t="str">
        <f t="shared" si="80"/>
        <v>Classic Cars</v>
      </c>
      <c r="E1053" t="s">
        <v>307</v>
      </c>
      <c r="F1053" s="5">
        <v>4170.6899999999996</v>
      </c>
      <c r="G1053" s="5">
        <v>834.13799999999992</v>
      </c>
      <c r="I1053" t="str">
        <f t="shared" si="81"/>
        <v>Low Sales</v>
      </c>
      <c r="J1053" t="str">
        <f t="shared" si="82"/>
        <v>Average Performance</v>
      </c>
      <c r="K1053">
        <f t="shared" si="83"/>
        <v>2004</v>
      </c>
      <c r="L1053" t="str">
        <f t="shared" si="84"/>
        <v>November</v>
      </c>
    </row>
    <row r="1054" spans="1:12" x14ac:dyDescent="0.25">
      <c r="A1054" t="s">
        <v>103</v>
      </c>
      <c r="B1054" t="s">
        <v>258</v>
      </c>
      <c r="C1054" t="s">
        <v>262</v>
      </c>
      <c r="D1054" t="str">
        <f t="shared" si="80"/>
        <v>Classic Cars</v>
      </c>
      <c r="E1054" t="s">
        <v>307</v>
      </c>
      <c r="F1054" s="5">
        <v>2878.8</v>
      </c>
      <c r="G1054" s="5">
        <v>575.7600000000001</v>
      </c>
      <c r="I1054" t="str">
        <f t="shared" si="81"/>
        <v>Low Sales</v>
      </c>
      <c r="J1054" t="str">
        <f t="shared" si="82"/>
        <v>Average Performance</v>
      </c>
      <c r="K1054">
        <f t="shared" si="83"/>
        <v>2004</v>
      </c>
      <c r="L1054" t="str">
        <f t="shared" si="84"/>
        <v>November</v>
      </c>
    </row>
    <row r="1055" spans="1:12" x14ac:dyDescent="0.25">
      <c r="A1055" t="s">
        <v>26</v>
      </c>
      <c r="B1055" t="s">
        <v>259</v>
      </c>
      <c r="C1055" t="s">
        <v>262</v>
      </c>
      <c r="D1055" t="str">
        <f t="shared" si="80"/>
        <v>Classic Cars</v>
      </c>
      <c r="E1055" t="s">
        <v>307</v>
      </c>
      <c r="F1055" s="5">
        <v>5029.5</v>
      </c>
      <c r="G1055" s="5">
        <v>1005.9</v>
      </c>
      <c r="I1055" t="str">
        <f t="shared" si="81"/>
        <v>Low Sales</v>
      </c>
      <c r="J1055" t="str">
        <f t="shared" si="82"/>
        <v>Average Performance</v>
      </c>
      <c r="K1055">
        <f t="shared" si="83"/>
        <v>2004</v>
      </c>
      <c r="L1055" t="str">
        <f t="shared" si="84"/>
        <v>November</v>
      </c>
    </row>
    <row r="1056" spans="1:12" x14ac:dyDescent="0.25">
      <c r="A1056" t="s">
        <v>146</v>
      </c>
      <c r="C1056" t="s">
        <v>262</v>
      </c>
      <c r="D1056" t="str">
        <f t="shared" si="80"/>
        <v>Classic Cars</v>
      </c>
      <c r="E1056" t="s">
        <v>307</v>
      </c>
      <c r="F1056" s="5">
        <v>7396.8</v>
      </c>
      <c r="G1056" s="5">
        <v>1479.36</v>
      </c>
      <c r="I1056" t="str">
        <f t="shared" si="81"/>
        <v>Low Sales</v>
      </c>
      <c r="J1056" t="str">
        <f t="shared" si="82"/>
        <v>Average Performance</v>
      </c>
      <c r="K1056">
        <f t="shared" si="83"/>
        <v>2004</v>
      </c>
      <c r="L1056" t="str">
        <f t="shared" si="84"/>
        <v>December</v>
      </c>
    </row>
    <row r="1057" spans="1:12" x14ac:dyDescent="0.25">
      <c r="A1057" t="s">
        <v>54</v>
      </c>
      <c r="B1057" t="s">
        <v>258</v>
      </c>
      <c r="C1057" t="s">
        <v>262</v>
      </c>
      <c r="D1057" t="str">
        <f t="shared" si="80"/>
        <v>Classic Cars</v>
      </c>
      <c r="E1057" t="s">
        <v>307</v>
      </c>
      <c r="F1057" s="5">
        <v>2991.68</v>
      </c>
      <c r="G1057" s="5">
        <v>598.33600000000001</v>
      </c>
      <c r="I1057" t="str">
        <f t="shared" si="81"/>
        <v>Low Sales</v>
      </c>
      <c r="J1057" t="str">
        <f t="shared" si="82"/>
        <v>Average Performance</v>
      </c>
      <c r="K1057">
        <f t="shared" si="83"/>
        <v>2004</v>
      </c>
      <c r="L1057" t="str">
        <f t="shared" si="84"/>
        <v>December</v>
      </c>
    </row>
    <row r="1058" spans="1:12" x14ac:dyDescent="0.25">
      <c r="A1058" t="s">
        <v>209</v>
      </c>
      <c r="B1058" t="s">
        <v>258</v>
      </c>
      <c r="C1058" t="s">
        <v>262</v>
      </c>
      <c r="D1058" t="str">
        <f t="shared" si="80"/>
        <v>Classic Cars</v>
      </c>
      <c r="E1058" t="s">
        <v>307</v>
      </c>
      <c r="F1058" s="5">
        <v>6275.72</v>
      </c>
      <c r="G1058" s="5">
        <v>1255.144</v>
      </c>
      <c r="I1058" t="str">
        <f t="shared" si="81"/>
        <v>Low Sales</v>
      </c>
      <c r="J1058" t="str">
        <f t="shared" si="82"/>
        <v>Average Performance</v>
      </c>
      <c r="K1058">
        <f t="shared" si="83"/>
        <v>2005</v>
      </c>
      <c r="L1058" t="str">
        <f t="shared" si="84"/>
        <v>January</v>
      </c>
    </row>
    <row r="1059" spans="1:12" x14ac:dyDescent="0.25">
      <c r="A1059" t="s">
        <v>55</v>
      </c>
      <c r="B1059" t="s">
        <v>259</v>
      </c>
      <c r="C1059" t="s">
        <v>262</v>
      </c>
      <c r="D1059" t="str">
        <f t="shared" si="80"/>
        <v>Classic Cars</v>
      </c>
      <c r="E1059" t="s">
        <v>307</v>
      </c>
      <c r="F1059" s="5">
        <v>1534.95</v>
      </c>
      <c r="G1059" s="5">
        <v>306.99</v>
      </c>
      <c r="I1059" t="str">
        <f t="shared" si="81"/>
        <v>Low Sales</v>
      </c>
      <c r="J1059" t="str">
        <f t="shared" si="82"/>
        <v>Average Performance</v>
      </c>
      <c r="K1059">
        <f t="shared" si="83"/>
        <v>2005</v>
      </c>
      <c r="L1059" t="str">
        <f t="shared" si="84"/>
        <v>January</v>
      </c>
    </row>
    <row r="1060" spans="1:12" x14ac:dyDescent="0.25">
      <c r="A1060" t="s">
        <v>148</v>
      </c>
      <c r="B1060" t="s">
        <v>258</v>
      </c>
      <c r="C1060" t="s">
        <v>262</v>
      </c>
      <c r="D1060" t="str">
        <f t="shared" si="80"/>
        <v>Classic Cars</v>
      </c>
      <c r="E1060" t="s">
        <v>307</v>
      </c>
      <c r="F1060" s="5">
        <v>7264.53</v>
      </c>
      <c r="G1060" s="5">
        <v>1452.9059999999999</v>
      </c>
      <c r="I1060" t="str">
        <f t="shared" si="81"/>
        <v>Low Sales</v>
      </c>
      <c r="J1060" t="str">
        <f t="shared" si="82"/>
        <v>Average Performance</v>
      </c>
      <c r="K1060">
        <f t="shared" si="83"/>
        <v>2005</v>
      </c>
      <c r="L1060" t="str">
        <f t="shared" si="84"/>
        <v>February</v>
      </c>
    </row>
    <row r="1061" spans="1:12" x14ac:dyDescent="0.25">
      <c r="A1061" t="s">
        <v>211</v>
      </c>
      <c r="B1061" t="s">
        <v>258</v>
      </c>
      <c r="C1061" t="s">
        <v>262</v>
      </c>
      <c r="D1061" t="str">
        <f t="shared" si="80"/>
        <v>Classic Cars</v>
      </c>
      <c r="E1061" t="s">
        <v>307</v>
      </c>
      <c r="F1061" s="5">
        <v>6869.05</v>
      </c>
      <c r="G1061" s="5">
        <v>1373.81</v>
      </c>
      <c r="I1061" t="str">
        <f t="shared" si="81"/>
        <v>Low Sales</v>
      </c>
      <c r="J1061" t="str">
        <f t="shared" si="82"/>
        <v>Average Performance</v>
      </c>
      <c r="K1061">
        <f t="shared" si="83"/>
        <v>2005</v>
      </c>
      <c r="L1061" t="str">
        <f t="shared" si="84"/>
        <v>February</v>
      </c>
    </row>
    <row r="1062" spans="1:12" x14ac:dyDescent="0.25">
      <c r="A1062" t="s">
        <v>228</v>
      </c>
      <c r="B1062" t="s">
        <v>258</v>
      </c>
      <c r="C1062" t="s">
        <v>262</v>
      </c>
      <c r="D1062" t="str">
        <f t="shared" si="80"/>
        <v>Classic Cars</v>
      </c>
      <c r="E1062" t="s">
        <v>307</v>
      </c>
      <c r="F1062" s="5">
        <v>3353.02</v>
      </c>
      <c r="G1062" s="5">
        <v>670.60400000000004</v>
      </c>
      <c r="I1062" t="str">
        <f t="shared" si="81"/>
        <v>Low Sales</v>
      </c>
      <c r="J1062" t="str">
        <f t="shared" si="82"/>
        <v>Average Performance</v>
      </c>
      <c r="K1062">
        <f t="shared" si="83"/>
        <v>2005</v>
      </c>
      <c r="L1062" t="str">
        <f t="shared" si="84"/>
        <v>March</v>
      </c>
    </row>
    <row r="1063" spans="1:12" x14ac:dyDescent="0.25">
      <c r="A1063" t="s">
        <v>156</v>
      </c>
      <c r="B1063" t="s">
        <v>258</v>
      </c>
      <c r="C1063" t="s">
        <v>262</v>
      </c>
      <c r="D1063" t="str">
        <f t="shared" si="80"/>
        <v>Classic Cars</v>
      </c>
      <c r="E1063" t="s">
        <v>307</v>
      </c>
      <c r="F1063" s="5">
        <v>8289.0499999999993</v>
      </c>
      <c r="G1063" s="5">
        <v>1657.81</v>
      </c>
      <c r="I1063" t="str">
        <f t="shared" si="81"/>
        <v>Low Sales</v>
      </c>
      <c r="J1063" t="str">
        <f t="shared" si="82"/>
        <v>Average Performance</v>
      </c>
      <c r="K1063">
        <f t="shared" si="83"/>
        <v>2005</v>
      </c>
      <c r="L1063" t="str">
        <f t="shared" si="84"/>
        <v>April</v>
      </c>
    </row>
    <row r="1064" spans="1:12" x14ac:dyDescent="0.25">
      <c r="A1064" t="s">
        <v>153</v>
      </c>
      <c r="B1064" t="s">
        <v>258</v>
      </c>
      <c r="C1064" t="s">
        <v>262</v>
      </c>
      <c r="D1064" t="str">
        <f t="shared" si="80"/>
        <v>Classic Cars</v>
      </c>
      <c r="E1064" t="s">
        <v>307</v>
      </c>
      <c r="F1064" s="5">
        <v>11887.8</v>
      </c>
      <c r="G1064" s="5">
        <v>2377.56</v>
      </c>
      <c r="I1064" t="str">
        <f t="shared" si="81"/>
        <v>Low Sales</v>
      </c>
      <c r="J1064" t="str">
        <f t="shared" si="82"/>
        <v>Average Performance</v>
      </c>
      <c r="K1064">
        <f t="shared" si="83"/>
        <v>2005</v>
      </c>
      <c r="L1064" t="str">
        <f t="shared" si="84"/>
        <v>May</v>
      </c>
    </row>
    <row r="1065" spans="1:12" x14ac:dyDescent="0.25">
      <c r="A1065" t="s">
        <v>122</v>
      </c>
      <c r="B1065" t="s">
        <v>258</v>
      </c>
      <c r="C1065" t="s">
        <v>262</v>
      </c>
      <c r="D1065" t="str">
        <f t="shared" si="80"/>
        <v>Classic Cars</v>
      </c>
      <c r="E1065" t="s">
        <v>307</v>
      </c>
      <c r="F1065" s="5">
        <v>5926.9</v>
      </c>
      <c r="G1065" s="5">
        <v>1185.3800000000001</v>
      </c>
      <c r="I1065" t="str">
        <f t="shared" si="81"/>
        <v>Low Sales</v>
      </c>
      <c r="J1065" t="str">
        <f t="shared" si="82"/>
        <v>Average Performance</v>
      </c>
      <c r="K1065">
        <f t="shared" si="83"/>
        <v>2005</v>
      </c>
      <c r="L1065" t="str">
        <f t="shared" si="84"/>
        <v>May</v>
      </c>
    </row>
    <row r="1066" spans="1:12" x14ac:dyDescent="0.25">
      <c r="A1066" t="s">
        <v>59</v>
      </c>
      <c r="B1066" t="s">
        <v>258</v>
      </c>
      <c r="C1066" t="s">
        <v>262</v>
      </c>
      <c r="D1066" t="str">
        <f t="shared" si="80"/>
        <v>Classic Cars</v>
      </c>
      <c r="E1066" t="s">
        <v>307</v>
      </c>
      <c r="F1066" s="5">
        <v>3793.16</v>
      </c>
      <c r="G1066" s="5">
        <v>758.63200000000006</v>
      </c>
      <c r="I1066" t="str">
        <f t="shared" si="81"/>
        <v>Low Sales</v>
      </c>
      <c r="J1066" t="str">
        <f t="shared" si="82"/>
        <v>Average Performance</v>
      </c>
      <c r="K1066">
        <f t="shared" si="83"/>
        <v>2005</v>
      </c>
      <c r="L1066" t="str">
        <f t="shared" si="84"/>
        <v>May</v>
      </c>
    </row>
    <row r="1067" spans="1:12" x14ac:dyDescent="0.25">
      <c r="A1067" t="s">
        <v>68</v>
      </c>
      <c r="B1067" t="s">
        <v>258</v>
      </c>
      <c r="C1067" t="s">
        <v>267</v>
      </c>
      <c r="D1067" t="str">
        <f t="shared" si="80"/>
        <v>Trains</v>
      </c>
      <c r="E1067" t="s">
        <v>308</v>
      </c>
      <c r="F1067" s="5">
        <v>4330.1000000000004</v>
      </c>
      <c r="G1067" s="5">
        <v>866.0200000000001</v>
      </c>
      <c r="I1067" t="str">
        <f t="shared" si="81"/>
        <v>Low Sales</v>
      </c>
      <c r="J1067" t="str">
        <f t="shared" si="82"/>
        <v>Average Performance</v>
      </c>
      <c r="K1067">
        <f t="shared" si="83"/>
        <v>2003</v>
      </c>
      <c r="L1067" t="str">
        <f t="shared" si="84"/>
        <v>February</v>
      </c>
    </row>
    <row r="1068" spans="1:12" x14ac:dyDescent="0.25">
      <c r="A1068" t="s">
        <v>123</v>
      </c>
      <c r="B1068" t="s">
        <v>260</v>
      </c>
      <c r="C1068" t="s">
        <v>267</v>
      </c>
      <c r="D1068" t="str">
        <f t="shared" si="80"/>
        <v>Trains</v>
      </c>
      <c r="E1068" t="s">
        <v>308</v>
      </c>
      <c r="F1068" s="5">
        <v>2011.8</v>
      </c>
      <c r="G1068" s="5">
        <v>402.36</v>
      </c>
      <c r="I1068" t="str">
        <f t="shared" si="81"/>
        <v>Low Sales</v>
      </c>
      <c r="J1068" t="str">
        <f t="shared" si="82"/>
        <v>Average Performance</v>
      </c>
      <c r="K1068">
        <f t="shared" si="83"/>
        <v>2003</v>
      </c>
      <c r="L1068" t="str">
        <f t="shared" si="84"/>
        <v>April</v>
      </c>
    </row>
    <row r="1069" spans="1:12" x14ac:dyDescent="0.25">
      <c r="A1069" t="s">
        <v>224</v>
      </c>
      <c r="B1069" t="s">
        <v>258</v>
      </c>
      <c r="C1069" t="s">
        <v>267</v>
      </c>
      <c r="D1069" t="str">
        <f t="shared" si="80"/>
        <v>Trains</v>
      </c>
      <c r="E1069" t="s">
        <v>308</v>
      </c>
      <c r="F1069" s="5">
        <v>4837.18</v>
      </c>
      <c r="G1069" s="5">
        <v>967.43600000000015</v>
      </c>
      <c r="I1069" t="str">
        <f t="shared" si="81"/>
        <v>Low Sales</v>
      </c>
      <c r="J1069" t="str">
        <f t="shared" si="82"/>
        <v>Average Performance</v>
      </c>
      <c r="K1069">
        <f t="shared" si="83"/>
        <v>2003</v>
      </c>
      <c r="L1069" t="str">
        <f t="shared" si="84"/>
        <v>June</v>
      </c>
    </row>
    <row r="1070" spans="1:12" x14ac:dyDescent="0.25">
      <c r="A1070" t="s">
        <v>125</v>
      </c>
      <c r="C1070" t="s">
        <v>267</v>
      </c>
      <c r="D1070" t="str">
        <f t="shared" si="80"/>
        <v>Trains</v>
      </c>
      <c r="E1070" t="s">
        <v>308</v>
      </c>
      <c r="F1070" s="5">
        <v>2151.8200000000002</v>
      </c>
      <c r="G1070" s="5">
        <v>430.36399999999998</v>
      </c>
      <c r="I1070" t="str">
        <f t="shared" si="81"/>
        <v>Low Sales</v>
      </c>
      <c r="J1070" t="str">
        <f t="shared" si="82"/>
        <v>Average Performance</v>
      </c>
      <c r="K1070">
        <f t="shared" si="83"/>
        <v>2003</v>
      </c>
      <c r="L1070" t="str">
        <f t="shared" si="84"/>
        <v>August</v>
      </c>
    </row>
    <row r="1071" spans="1:12" x14ac:dyDescent="0.25">
      <c r="A1071" t="s">
        <v>126</v>
      </c>
      <c r="B1071" t="s">
        <v>258</v>
      </c>
      <c r="C1071" t="s">
        <v>267</v>
      </c>
      <c r="D1071" t="str">
        <f t="shared" si="80"/>
        <v>Trains</v>
      </c>
      <c r="E1071" t="s">
        <v>308</v>
      </c>
      <c r="F1071" s="5">
        <v>2573.46</v>
      </c>
      <c r="G1071" s="5">
        <v>514.69200000000001</v>
      </c>
      <c r="I1071" t="str">
        <f t="shared" si="81"/>
        <v>Low Sales</v>
      </c>
      <c r="J1071" t="str">
        <f t="shared" si="82"/>
        <v>Average Performance</v>
      </c>
      <c r="K1071">
        <f t="shared" si="83"/>
        <v>2003</v>
      </c>
      <c r="L1071" t="str">
        <f t="shared" si="84"/>
        <v>September</v>
      </c>
    </row>
    <row r="1072" spans="1:12" x14ac:dyDescent="0.25">
      <c r="A1072" t="s">
        <v>127</v>
      </c>
      <c r="B1072" t="s">
        <v>260</v>
      </c>
      <c r="C1072" t="s">
        <v>267</v>
      </c>
      <c r="D1072" t="str">
        <f t="shared" si="80"/>
        <v>Trains</v>
      </c>
      <c r="E1072" t="s">
        <v>308</v>
      </c>
      <c r="F1072" s="5">
        <v>5344.5</v>
      </c>
      <c r="G1072" s="5">
        <v>1068.9000000000001</v>
      </c>
      <c r="I1072" t="str">
        <f t="shared" si="81"/>
        <v>Low Sales</v>
      </c>
      <c r="J1072" t="str">
        <f t="shared" si="82"/>
        <v>Average Performance</v>
      </c>
      <c r="K1072">
        <f t="shared" si="83"/>
        <v>2003</v>
      </c>
      <c r="L1072" t="str">
        <f t="shared" si="84"/>
        <v>October</v>
      </c>
    </row>
    <row r="1073" spans="1:12" x14ac:dyDescent="0.25">
      <c r="A1073" t="s">
        <v>225</v>
      </c>
      <c r="B1073" t="s">
        <v>258</v>
      </c>
      <c r="C1073" t="s">
        <v>267</v>
      </c>
      <c r="D1073" t="str">
        <f t="shared" si="80"/>
        <v>Trains</v>
      </c>
      <c r="E1073" t="s">
        <v>308</v>
      </c>
      <c r="F1073" s="5">
        <v>3070.52</v>
      </c>
      <c r="G1073" s="5">
        <v>614.10400000000004</v>
      </c>
      <c r="I1073" t="str">
        <f t="shared" si="81"/>
        <v>Low Sales</v>
      </c>
      <c r="J1073" t="str">
        <f t="shared" si="82"/>
        <v>Average Performance</v>
      </c>
      <c r="K1073">
        <f t="shared" si="83"/>
        <v>2003</v>
      </c>
      <c r="L1073" t="str">
        <f t="shared" si="84"/>
        <v>November</v>
      </c>
    </row>
    <row r="1074" spans="1:12" x14ac:dyDescent="0.25">
      <c r="A1074" t="s">
        <v>75</v>
      </c>
      <c r="C1074" t="s">
        <v>267</v>
      </c>
      <c r="D1074" t="str">
        <f t="shared" si="80"/>
        <v>Trains</v>
      </c>
      <c r="E1074" t="s">
        <v>308</v>
      </c>
      <c r="F1074" s="5">
        <v>3952.83</v>
      </c>
      <c r="G1074" s="5">
        <v>790.56600000000003</v>
      </c>
      <c r="I1074" t="str">
        <f t="shared" si="81"/>
        <v>Low Sales</v>
      </c>
      <c r="J1074" t="str">
        <f t="shared" si="82"/>
        <v>Average Performance</v>
      </c>
      <c r="K1074">
        <f t="shared" si="83"/>
        <v>2003</v>
      </c>
      <c r="L1074" t="str">
        <f t="shared" si="84"/>
        <v>November</v>
      </c>
    </row>
    <row r="1075" spans="1:12" x14ac:dyDescent="0.25">
      <c r="A1075" t="s">
        <v>76</v>
      </c>
      <c r="C1075" t="s">
        <v>267</v>
      </c>
      <c r="D1075" t="str">
        <f t="shared" si="80"/>
        <v>Trains</v>
      </c>
      <c r="E1075" t="s">
        <v>308</v>
      </c>
      <c r="F1075" s="5">
        <v>3564.75</v>
      </c>
      <c r="G1075" s="5">
        <v>712.95</v>
      </c>
      <c r="I1075" t="str">
        <f t="shared" si="81"/>
        <v>Low Sales</v>
      </c>
      <c r="J1075" t="str">
        <f t="shared" si="82"/>
        <v>Average Performance</v>
      </c>
      <c r="K1075">
        <f t="shared" si="83"/>
        <v>2003</v>
      </c>
      <c r="L1075" t="str">
        <f t="shared" si="84"/>
        <v>November</v>
      </c>
    </row>
    <row r="1076" spans="1:12" x14ac:dyDescent="0.25">
      <c r="A1076" t="s">
        <v>128</v>
      </c>
      <c r="B1076" t="s">
        <v>258</v>
      </c>
      <c r="C1076" t="s">
        <v>267</v>
      </c>
      <c r="D1076" t="str">
        <f t="shared" si="80"/>
        <v>Trains</v>
      </c>
      <c r="E1076" t="s">
        <v>308</v>
      </c>
      <c r="F1076" s="5">
        <v>5614.56</v>
      </c>
      <c r="G1076" s="5">
        <v>1122.912</v>
      </c>
      <c r="I1076" t="str">
        <f t="shared" si="81"/>
        <v>Low Sales</v>
      </c>
      <c r="J1076" t="str">
        <f t="shared" si="82"/>
        <v>Average Performance</v>
      </c>
      <c r="K1076">
        <f t="shared" si="83"/>
        <v>2004</v>
      </c>
      <c r="L1076" t="str">
        <f t="shared" si="84"/>
        <v>January</v>
      </c>
    </row>
    <row r="1077" spans="1:12" x14ac:dyDescent="0.25">
      <c r="A1077" t="s">
        <v>226</v>
      </c>
      <c r="B1077" t="s">
        <v>258</v>
      </c>
      <c r="C1077" t="s">
        <v>267</v>
      </c>
      <c r="D1077" t="str">
        <f t="shared" si="80"/>
        <v>Trains</v>
      </c>
      <c r="E1077" t="s">
        <v>308</v>
      </c>
      <c r="F1077" s="5">
        <v>1855.41</v>
      </c>
      <c r="G1077" s="5">
        <v>371.08200000000011</v>
      </c>
      <c r="I1077" t="str">
        <f t="shared" si="81"/>
        <v>Low Sales</v>
      </c>
      <c r="J1077" t="str">
        <f t="shared" si="82"/>
        <v>Average Performance</v>
      </c>
      <c r="K1077">
        <f t="shared" si="83"/>
        <v>2004</v>
      </c>
      <c r="L1077" t="str">
        <f t="shared" si="84"/>
        <v>February</v>
      </c>
    </row>
    <row r="1078" spans="1:12" x14ac:dyDescent="0.25">
      <c r="A1078" t="s">
        <v>227</v>
      </c>
      <c r="B1078" t="s">
        <v>258</v>
      </c>
      <c r="C1078" t="s">
        <v>267</v>
      </c>
      <c r="D1078" t="str">
        <f t="shared" si="80"/>
        <v>Trains</v>
      </c>
      <c r="E1078" t="s">
        <v>308</v>
      </c>
      <c r="F1078" s="5">
        <v>4598.3999999999996</v>
      </c>
      <c r="G1078" s="5">
        <v>919.68</v>
      </c>
      <c r="I1078" t="str">
        <f t="shared" si="81"/>
        <v>Low Sales</v>
      </c>
      <c r="J1078" t="str">
        <f t="shared" si="82"/>
        <v>Average Performance</v>
      </c>
      <c r="K1078">
        <f t="shared" si="83"/>
        <v>2004</v>
      </c>
      <c r="L1078" t="str">
        <f t="shared" si="84"/>
        <v>March</v>
      </c>
    </row>
    <row r="1079" spans="1:12" x14ac:dyDescent="0.25">
      <c r="A1079" t="s">
        <v>79</v>
      </c>
      <c r="C1079" t="s">
        <v>267</v>
      </c>
      <c r="D1079" t="str">
        <f t="shared" si="80"/>
        <v>Trains</v>
      </c>
      <c r="E1079" t="s">
        <v>308</v>
      </c>
      <c r="F1079" s="5">
        <v>5082.42</v>
      </c>
      <c r="G1079" s="5">
        <v>1016.484</v>
      </c>
      <c r="I1079" t="str">
        <f t="shared" si="81"/>
        <v>Low Sales</v>
      </c>
      <c r="J1079" t="str">
        <f t="shared" si="82"/>
        <v>Average Performance</v>
      </c>
      <c r="K1079">
        <f t="shared" si="83"/>
        <v>2004</v>
      </c>
      <c r="L1079" t="str">
        <f t="shared" si="84"/>
        <v>May</v>
      </c>
    </row>
    <row r="1080" spans="1:12" x14ac:dyDescent="0.25">
      <c r="A1080" t="s">
        <v>81</v>
      </c>
      <c r="B1080" t="s">
        <v>258</v>
      </c>
      <c r="C1080" t="s">
        <v>267</v>
      </c>
      <c r="D1080" t="str">
        <f t="shared" si="80"/>
        <v>Trains</v>
      </c>
      <c r="E1080" t="s">
        <v>308</v>
      </c>
      <c r="F1080" s="5">
        <v>5450.59</v>
      </c>
      <c r="G1080" s="5">
        <v>1090.1179999999999</v>
      </c>
      <c r="I1080" t="str">
        <f t="shared" si="81"/>
        <v>Low Sales</v>
      </c>
      <c r="J1080" t="str">
        <f t="shared" si="82"/>
        <v>Average Performance</v>
      </c>
      <c r="K1080">
        <f t="shared" si="83"/>
        <v>2004</v>
      </c>
      <c r="L1080" t="str">
        <f t="shared" si="84"/>
        <v>July</v>
      </c>
    </row>
    <row r="1081" spans="1:12" x14ac:dyDescent="0.25">
      <c r="A1081" t="s">
        <v>82</v>
      </c>
      <c r="C1081" t="s">
        <v>267</v>
      </c>
      <c r="D1081" t="str">
        <f t="shared" si="80"/>
        <v>Trains</v>
      </c>
      <c r="E1081" t="s">
        <v>308</v>
      </c>
      <c r="F1081" s="5">
        <v>4174.92</v>
      </c>
      <c r="G1081" s="5">
        <v>834.98400000000004</v>
      </c>
      <c r="I1081" t="str">
        <f t="shared" si="81"/>
        <v>Low Sales</v>
      </c>
      <c r="J1081" t="str">
        <f t="shared" si="82"/>
        <v>Average Performance</v>
      </c>
      <c r="K1081">
        <f t="shared" si="83"/>
        <v>2004</v>
      </c>
      <c r="L1081" t="str">
        <f t="shared" si="84"/>
        <v>August</v>
      </c>
    </row>
    <row r="1082" spans="1:12" x14ac:dyDescent="0.25">
      <c r="A1082" t="s">
        <v>133</v>
      </c>
      <c r="B1082" t="s">
        <v>258</v>
      </c>
      <c r="C1082" t="s">
        <v>267</v>
      </c>
      <c r="D1082" t="str">
        <f t="shared" si="80"/>
        <v>Trains</v>
      </c>
      <c r="E1082" t="s">
        <v>308</v>
      </c>
      <c r="F1082" s="5">
        <v>2418.2399999999998</v>
      </c>
      <c r="G1082" s="5">
        <v>483.64800000000002</v>
      </c>
      <c r="I1082" t="str">
        <f t="shared" si="81"/>
        <v>Low Sales</v>
      </c>
      <c r="J1082" t="str">
        <f t="shared" si="82"/>
        <v>Average Performance</v>
      </c>
      <c r="K1082">
        <f t="shared" si="83"/>
        <v>2004</v>
      </c>
      <c r="L1082" t="str">
        <f t="shared" si="84"/>
        <v>September</v>
      </c>
    </row>
    <row r="1083" spans="1:12" x14ac:dyDescent="0.25">
      <c r="A1083" t="s">
        <v>84</v>
      </c>
      <c r="B1083" t="s">
        <v>258</v>
      </c>
      <c r="C1083" t="s">
        <v>267</v>
      </c>
      <c r="D1083" t="str">
        <f t="shared" si="80"/>
        <v>Trains</v>
      </c>
      <c r="E1083" t="s">
        <v>308</v>
      </c>
      <c r="F1083" s="5">
        <v>3670.4</v>
      </c>
      <c r="G1083" s="5">
        <v>734.08</v>
      </c>
      <c r="I1083" t="str">
        <f t="shared" si="81"/>
        <v>Low Sales</v>
      </c>
      <c r="J1083" t="str">
        <f t="shared" si="82"/>
        <v>Average Performance</v>
      </c>
      <c r="K1083">
        <f t="shared" si="83"/>
        <v>2004</v>
      </c>
      <c r="L1083" t="str">
        <f t="shared" si="84"/>
        <v>October</v>
      </c>
    </row>
    <row r="1084" spans="1:12" x14ac:dyDescent="0.25">
      <c r="A1084" t="s">
        <v>102</v>
      </c>
      <c r="B1084" t="s">
        <v>258</v>
      </c>
      <c r="C1084" t="s">
        <v>267</v>
      </c>
      <c r="D1084" t="str">
        <f t="shared" si="80"/>
        <v>Trains</v>
      </c>
      <c r="E1084" t="s">
        <v>308</v>
      </c>
      <c r="F1084" s="5">
        <v>2481.6999999999998</v>
      </c>
      <c r="G1084" s="5">
        <v>496.34</v>
      </c>
      <c r="I1084" t="str">
        <f t="shared" si="81"/>
        <v>Low Sales</v>
      </c>
      <c r="J1084" t="str">
        <f t="shared" si="82"/>
        <v>Average Performance</v>
      </c>
      <c r="K1084">
        <f t="shared" si="83"/>
        <v>2004</v>
      </c>
      <c r="L1084" t="str">
        <f t="shared" si="84"/>
        <v>October</v>
      </c>
    </row>
    <row r="1085" spans="1:12" x14ac:dyDescent="0.25">
      <c r="A1085" t="s">
        <v>229</v>
      </c>
      <c r="B1085" t="s">
        <v>258</v>
      </c>
      <c r="C1085" t="s">
        <v>267</v>
      </c>
      <c r="D1085" t="str">
        <f t="shared" si="80"/>
        <v>Trains</v>
      </c>
      <c r="E1085" t="s">
        <v>308</v>
      </c>
      <c r="F1085" s="5">
        <v>3807.68</v>
      </c>
      <c r="G1085" s="5">
        <v>761.53600000000006</v>
      </c>
      <c r="I1085" t="str">
        <f t="shared" si="81"/>
        <v>Low Sales</v>
      </c>
      <c r="J1085" t="str">
        <f t="shared" si="82"/>
        <v>Average Performance</v>
      </c>
      <c r="K1085">
        <f t="shared" si="83"/>
        <v>2004</v>
      </c>
      <c r="L1085" t="str">
        <f t="shared" si="84"/>
        <v>November</v>
      </c>
    </row>
    <row r="1086" spans="1:12" x14ac:dyDescent="0.25">
      <c r="A1086" t="s">
        <v>134</v>
      </c>
      <c r="B1086" t="s">
        <v>258</v>
      </c>
      <c r="C1086" t="s">
        <v>267</v>
      </c>
      <c r="D1086" t="str">
        <f t="shared" si="80"/>
        <v>Trains</v>
      </c>
      <c r="E1086" t="s">
        <v>308</v>
      </c>
      <c r="F1086" s="5">
        <v>2230.41</v>
      </c>
      <c r="G1086" s="5">
        <v>446.08199999999999</v>
      </c>
      <c r="I1086" t="str">
        <f t="shared" si="81"/>
        <v>Low Sales</v>
      </c>
      <c r="J1086" t="str">
        <f t="shared" si="82"/>
        <v>Average Performance</v>
      </c>
      <c r="K1086">
        <f t="shared" si="83"/>
        <v>2004</v>
      </c>
      <c r="L1086" t="str">
        <f t="shared" si="84"/>
        <v>November</v>
      </c>
    </row>
    <row r="1087" spans="1:12" x14ac:dyDescent="0.25">
      <c r="A1087" t="s">
        <v>88</v>
      </c>
      <c r="B1087" t="s">
        <v>258</v>
      </c>
      <c r="C1087" t="s">
        <v>267</v>
      </c>
      <c r="D1087" t="str">
        <f t="shared" si="80"/>
        <v>Trains</v>
      </c>
      <c r="E1087" t="s">
        <v>308</v>
      </c>
      <c r="F1087" s="5">
        <v>3814.64</v>
      </c>
      <c r="G1087" s="5">
        <v>762.928</v>
      </c>
      <c r="I1087" t="str">
        <f t="shared" si="81"/>
        <v>Low Sales</v>
      </c>
      <c r="J1087" t="str">
        <f t="shared" si="82"/>
        <v>Average Performance</v>
      </c>
      <c r="K1087">
        <f t="shared" si="83"/>
        <v>2004</v>
      </c>
      <c r="L1087" t="str">
        <f t="shared" si="84"/>
        <v>December</v>
      </c>
    </row>
    <row r="1088" spans="1:12" x14ac:dyDescent="0.25">
      <c r="A1088" t="s">
        <v>142</v>
      </c>
      <c r="B1088" t="s">
        <v>260</v>
      </c>
      <c r="C1088" t="s">
        <v>267</v>
      </c>
      <c r="D1088" t="str">
        <f t="shared" si="80"/>
        <v>Trains</v>
      </c>
      <c r="E1088" t="s">
        <v>308</v>
      </c>
      <c r="F1088" s="5">
        <v>2117.75</v>
      </c>
      <c r="G1088" s="5">
        <v>423.55</v>
      </c>
      <c r="I1088" t="str">
        <f t="shared" si="81"/>
        <v>Low Sales</v>
      </c>
      <c r="J1088" t="str">
        <f t="shared" si="82"/>
        <v>Average Performance</v>
      </c>
      <c r="K1088">
        <f t="shared" si="83"/>
        <v>2005</v>
      </c>
      <c r="L1088" t="str">
        <f t="shared" si="84"/>
        <v>January</v>
      </c>
    </row>
    <row r="1089" spans="1:12" x14ac:dyDescent="0.25">
      <c r="A1089" t="s">
        <v>211</v>
      </c>
      <c r="B1089" t="s">
        <v>258</v>
      </c>
      <c r="C1089" t="s">
        <v>267</v>
      </c>
      <c r="D1089" t="str">
        <f t="shared" si="80"/>
        <v>Trains</v>
      </c>
      <c r="E1089" t="s">
        <v>308</v>
      </c>
      <c r="F1089" s="5">
        <v>3340.48</v>
      </c>
      <c r="G1089" s="5">
        <v>668.096</v>
      </c>
      <c r="I1089" t="str">
        <f t="shared" si="81"/>
        <v>Low Sales</v>
      </c>
      <c r="J1089" t="str">
        <f t="shared" si="82"/>
        <v>Average Performance</v>
      </c>
      <c r="K1089">
        <f t="shared" si="83"/>
        <v>2005</v>
      </c>
      <c r="L1089" t="str">
        <f t="shared" si="84"/>
        <v>February</v>
      </c>
    </row>
    <row r="1090" spans="1:12" x14ac:dyDescent="0.25">
      <c r="A1090" t="s">
        <v>147</v>
      </c>
      <c r="C1090" t="s">
        <v>267</v>
      </c>
      <c r="D1090" t="str">
        <f t="shared" si="80"/>
        <v>Trains</v>
      </c>
      <c r="E1090" t="s">
        <v>308</v>
      </c>
      <c r="F1090" s="5">
        <v>2154</v>
      </c>
      <c r="G1090" s="5">
        <v>430.8</v>
      </c>
      <c r="I1090" t="str">
        <f t="shared" si="81"/>
        <v>Low Sales</v>
      </c>
      <c r="J1090" t="str">
        <f t="shared" si="82"/>
        <v>Average Performance</v>
      </c>
      <c r="K1090">
        <f t="shared" si="83"/>
        <v>2005</v>
      </c>
      <c r="L1090" t="str">
        <f t="shared" si="84"/>
        <v>March</v>
      </c>
    </row>
    <row r="1091" spans="1:12" x14ac:dyDescent="0.25">
      <c r="A1091" t="s">
        <v>94</v>
      </c>
      <c r="C1091" t="s">
        <v>267</v>
      </c>
      <c r="D1091" t="str">
        <f t="shared" ref="D1091:D1154" si="85">PROPER(TRIM(C1091))</f>
        <v>Trains</v>
      </c>
      <c r="E1091" t="s">
        <v>308</v>
      </c>
      <c r="F1091" s="5">
        <v>5808.48</v>
      </c>
      <c r="G1091" s="5">
        <v>1161.6959999999999</v>
      </c>
      <c r="I1091" t="str">
        <f t="shared" ref="I1091:I1154" si="86">IF(F1091&gt;50000,"High Sales","Low Sales")</f>
        <v>Low Sales</v>
      </c>
      <c r="J1091" t="str">
        <f t="shared" ref="J1091:J1154" si="87">IF(AND(F1091&gt;30000,G1091&gt;5000),"Good Performance","Average Performance")</f>
        <v>Average Performance</v>
      </c>
      <c r="K1091">
        <f t="shared" ref="K1091:K1154" si="88">YEAR(A1091)</f>
        <v>2005</v>
      </c>
      <c r="L1091" t="str">
        <f t="shared" ref="L1091:L1154" si="89">TEXT(A1091,"mmmm")</f>
        <v>May</v>
      </c>
    </row>
    <row r="1092" spans="1:12" x14ac:dyDescent="0.25">
      <c r="A1092" t="s">
        <v>104</v>
      </c>
      <c r="B1092" t="s">
        <v>260</v>
      </c>
      <c r="C1092" t="s">
        <v>262</v>
      </c>
      <c r="D1092" t="str">
        <f t="shared" si="85"/>
        <v>Classic Cars</v>
      </c>
      <c r="E1092" t="s">
        <v>309</v>
      </c>
      <c r="F1092" s="5">
        <v>1777.1</v>
      </c>
      <c r="G1092" s="5">
        <v>355.42</v>
      </c>
      <c r="I1092" t="str">
        <f t="shared" si="86"/>
        <v>Low Sales</v>
      </c>
      <c r="J1092" t="str">
        <f t="shared" si="87"/>
        <v>Average Performance</v>
      </c>
      <c r="K1092">
        <f t="shared" si="88"/>
        <v>2003</v>
      </c>
      <c r="L1092" t="str">
        <f t="shared" si="89"/>
        <v>March</v>
      </c>
    </row>
    <row r="1093" spans="1:12" x14ac:dyDescent="0.25">
      <c r="A1093" t="s">
        <v>105</v>
      </c>
      <c r="B1093" t="s">
        <v>258</v>
      </c>
      <c r="C1093" t="s">
        <v>262</v>
      </c>
      <c r="D1093" t="str">
        <f t="shared" si="85"/>
        <v>Classic Cars</v>
      </c>
      <c r="E1093" t="s">
        <v>309</v>
      </c>
      <c r="F1093" s="5">
        <v>1536.57</v>
      </c>
      <c r="G1093" s="5">
        <v>307.31400000000002</v>
      </c>
      <c r="I1093" t="str">
        <f t="shared" si="86"/>
        <v>Low Sales</v>
      </c>
      <c r="J1093" t="str">
        <f t="shared" si="87"/>
        <v>Average Performance</v>
      </c>
      <c r="K1093">
        <f t="shared" si="88"/>
        <v>2003</v>
      </c>
      <c r="L1093" t="str">
        <f t="shared" si="89"/>
        <v>May</v>
      </c>
    </row>
    <row r="1094" spans="1:12" x14ac:dyDescent="0.25">
      <c r="A1094" t="s">
        <v>106</v>
      </c>
      <c r="C1094" t="s">
        <v>262</v>
      </c>
      <c r="D1094" t="str">
        <f t="shared" si="85"/>
        <v>Classic Cars</v>
      </c>
      <c r="E1094" t="s">
        <v>309</v>
      </c>
      <c r="F1094" s="5">
        <v>3510</v>
      </c>
      <c r="G1094" s="5">
        <v>702</v>
      </c>
      <c r="I1094" t="str">
        <f t="shared" si="86"/>
        <v>Low Sales</v>
      </c>
      <c r="J1094" t="str">
        <f t="shared" si="87"/>
        <v>Average Performance</v>
      </c>
      <c r="K1094">
        <f t="shared" si="88"/>
        <v>2003</v>
      </c>
      <c r="L1094" t="str">
        <f t="shared" si="89"/>
        <v>July</v>
      </c>
    </row>
    <row r="1095" spans="1:12" x14ac:dyDescent="0.25">
      <c r="A1095" t="s">
        <v>107</v>
      </c>
      <c r="C1095" t="s">
        <v>262</v>
      </c>
      <c r="D1095" t="str">
        <f t="shared" si="85"/>
        <v>Classic Cars</v>
      </c>
      <c r="E1095" t="s">
        <v>309</v>
      </c>
      <c r="F1095" s="5">
        <v>3097.44</v>
      </c>
      <c r="G1095" s="5">
        <v>619.48800000000006</v>
      </c>
      <c r="I1095" t="str">
        <f t="shared" si="86"/>
        <v>Low Sales</v>
      </c>
      <c r="J1095" t="str">
        <f t="shared" si="87"/>
        <v>Average Performance</v>
      </c>
      <c r="K1095">
        <f t="shared" si="88"/>
        <v>2003</v>
      </c>
      <c r="L1095" t="str">
        <f t="shared" si="89"/>
        <v>September</v>
      </c>
    </row>
    <row r="1096" spans="1:12" x14ac:dyDescent="0.25">
      <c r="A1096" t="s">
        <v>10</v>
      </c>
      <c r="C1096" t="s">
        <v>262</v>
      </c>
      <c r="D1096" t="str">
        <f t="shared" si="85"/>
        <v>Classic Cars</v>
      </c>
      <c r="E1096" t="s">
        <v>309</v>
      </c>
      <c r="F1096" s="5">
        <v>1705.41</v>
      </c>
      <c r="G1096" s="5">
        <v>341.08200000000011</v>
      </c>
      <c r="I1096" t="str">
        <f t="shared" si="86"/>
        <v>Low Sales</v>
      </c>
      <c r="J1096" t="str">
        <f t="shared" si="87"/>
        <v>Average Performance</v>
      </c>
      <c r="K1096">
        <f t="shared" si="88"/>
        <v>2003</v>
      </c>
      <c r="L1096" t="str">
        <f t="shared" si="89"/>
        <v>October</v>
      </c>
    </row>
    <row r="1097" spans="1:12" x14ac:dyDescent="0.25">
      <c r="A1097" t="s">
        <v>108</v>
      </c>
      <c r="B1097" t="s">
        <v>259</v>
      </c>
      <c r="C1097" t="s">
        <v>262</v>
      </c>
      <c r="D1097" t="str">
        <f t="shared" si="85"/>
        <v>Classic Cars</v>
      </c>
      <c r="E1097" t="s">
        <v>309</v>
      </c>
      <c r="F1097" s="5">
        <v>2264.3200000000002</v>
      </c>
      <c r="G1097" s="5">
        <v>452.86399999999998</v>
      </c>
      <c r="I1097" t="str">
        <f t="shared" si="86"/>
        <v>Low Sales</v>
      </c>
      <c r="J1097" t="str">
        <f t="shared" si="87"/>
        <v>Average Performance</v>
      </c>
      <c r="K1097">
        <f t="shared" si="88"/>
        <v>2003</v>
      </c>
      <c r="L1097" t="str">
        <f t="shared" si="89"/>
        <v>November</v>
      </c>
    </row>
    <row r="1098" spans="1:12" x14ac:dyDescent="0.25">
      <c r="A1098" t="s">
        <v>109</v>
      </c>
      <c r="B1098" t="s">
        <v>258</v>
      </c>
      <c r="C1098" t="s">
        <v>262</v>
      </c>
      <c r="D1098" t="str">
        <f t="shared" si="85"/>
        <v>Classic Cars</v>
      </c>
      <c r="E1098" t="s">
        <v>309</v>
      </c>
      <c r="F1098" s="5">
        <v>2484.6</v>
      </c>
      <c r="G1098" s="5">
        <v>496.92</v>
      </c>
      <c r="I1098" t="str">
        <f t="shared" si="86"/>
        <v>Low Sales</v>
      </c>
      <c r="J1098" t="str">
        <f t="shared" si="87"/>
        <v>Average Performance</v>
      </c>
      <c r="K1098">
        <f t="shared" si="88"/>
        <v>2003</v>
      </c>
      <c r="L1098" t="str">
        <f t="shared" si="89"/>
        <v>November</v>
      </c>
    </row>
    <row r="1099" spans="1:12" x14ac:dyDescent="0.25">
      <c r="A1099" t="s">
        <v>110</v>
      </c>
      <c r="B1099" t="s">
        <v>258</v>
      </c>
      <c r="C1099" t="s">
        <v>262</v>
      </c>
      <c r="D1099" t="str">
        <f t="shared" si="85"/>
        <v>Classic Cars</v>
      </c>
      <c r="E1099" t="s">
        <v>309</v>
      </c>
      <c r="F1099" s="5">
        <v>3415.68</v>
      </c>
      <c r="G1099" s="5">
        <v>683.13599999999997</v>
      </c>
      <c r="I1099" t="str">
        <f t="shared" si="86"/>
        <v>Low Sales</v>
      </c>
      <c r="J1099" t="str">
        <f t="shared" si="87"/>
        <v>Average Performance</v>
      </c>
      <c r="K1099">
        <f t="shared" si="88"/>
        <v>2003</v>
      </c>
      <c r="L1099" t="str">
        <f t="shared" si="89"/>
        <v>November</v>
      </c>
    </row>
    <row r="1100" spans="1:12" x14ac:dyDescent="0.25">
      <c r="A1100" t="s">
        <v>111</v>
      </c>
      <c r="B1100" t="s">
        <v>258</v>
      </c>
      <c r="C1100" t="s">
        <v>262</v>
      </c>
      <c r="D1100" t="str">
        <f t="shared" si="85"/>
        <v>Classic Cars</v>
      </c>
      <c r="E1100" t="s">
        <v>309</v>
      </c>
      <c r="F1100" s="5">
        <v>2839.32</v>
      </c>
      <c r="G1100" s="5">
        <v>567.86400000000003</v>
      </c>
      <c r="I1100" t="str">
        <f t="shared" si="86"/>
        <v>Low Sales</v>
      </c>
      <c r="J1100" t="str">
        <f t="shared" si="87"/>
        <v>Average Performance</v>
      </c>
      <c r="K1100">
        <f t="shared" si="88"/>
        <v>2003</v>
      </c>
      <c r="L1100" t="str">
        <f t="shared" si="89"/>
        <v>December</v>
      </c>
    </row>
    <row r="1101" spans="1:12" x14ac:dyDescent="0.25">
      <c r="A1101" t="s">
        <v>15</v>
      </c>
      <c r="B1101" t="s">
        <v>258</v>
      </c>
      <c r="C1101" t="s">
        <v>262</v>
      </c>
      <c r="D1101" t="str">
        <f t="shared" si="85"/>
        <v>Classic Cars</v>
      </c>
      <c r="E1101" t="s">
        <v>309</v>
      </c>
      <c r="F1101" s="5">
        <v>2730</v>
      </c>
      <c r="G1101" s="5">
        <v>546</v>
      </c>
      <c r="I1101" t="str">
        <f t="shared" si="86"/>
        <v>Low Sales</v>
      </c>
      <c r="J1101" t="str">
        <f t="shared" si="87"/>
        <v>Average Performance</v>
      </c>
      <c r="K1101">
        <f t="shared" si="88"/>
        <v>2004</v>
      </c>
      <c r="L1101" t="str">
        <f t="shared" si="89"/>
        <v>January</v>
      </c>
    </row>
    <row r="1102" spans="1:12" x14ac:dyDescent="0.25">
      <c r="A1102" t="s">
        <v>112</v>
      </c>
      <c r="B1102" t="s">
        <v>258</v>
      </c>
      <c r="C1102" t="s">
        <v>262</v>
      </c>
      <c r="D1102" t="str">
        <f t="shared" si="85"/>
        <v>Classic Cars</v>
      </c>
      <c r="E1102" t="s">
        <v>309</v>
      </c>
      <c r="F1102" s="5">
        <v>3540.53</v>
      </c>
      <c r="G1102" s="5">
        <v>708.10600000000011</v>
      </c>
      <c r="I1102" t="str">
        <f t="shared" si="86"/>
        <v>Low Sales</v>
      </c>
      <c r="J1102" t="str">
        <f t="shared" si="87"/>
        <v>Average Performance</v>
      </c>
      <c r="K1102">
        <f t="shared" si="88"/>
        <v>2004</v>
      </c>
      <c r="L1102" t="str">
        <f t="shared" si="89"/>
        <v>February</v>
      </c>
    </row>
    <row r="1103" spans="1:12" x14ac:dyDescent="0.25">
      <c r="A1103" t="s">
        <v>113</v>
      </c>
      <c r="B1103" t="s">
        <v>258</v>
      </c>
      <c r="C1103" t="s">
        <v>262</v>
      </c>
      <c r="D1103" t="str">
        <f t="shared" si="85"/>
        <v>Classic Cars</v>
      </c>
      <c r="E1103" t="s">
        <v>309</v>
      </c>
      <c r="F1103" s="5">
        <v>2999.97</v>
      </c>
      <c r="G1103" s="5">
        <v>599.99400000000003</v>
      </c>
      <c r="I1103" t="str">
        <f t="shared" si="86"/>
        <v>Low Sales</v>
      </c>
      <c r="J1103" t="str">
        <f t="shared" si="87"/>
        <v>Average Performance</v>
      </c>
      <c r="K1103">
        <f t="shared" si="88"/>
        <v>2004</v>
      </c>
      <c r="L1103" t="str">
        <f t="shared" si="89"/>
        <v>April</v>
      </c>
    </row>
    <row r="1104" spans="1:12" x14ac:dyDescent="0.25">
      <c r="A1104" t="s">
        <v>230</v>
      </c>
      <c r="B1104" t="s">
        <v>258</v>
      </c>
      <c r="C1104" t="s">
        <v>262</v>
      </c>
      <c r="D1104" t="str">
        <f t="shared" si="85"/>
        <v>Classic Cars</v>
      </c>
      <c r="E1104" t="s">
        <v>309</v>
      </c>
      <c r="F1104" s="5">
        <v>1527.8</v>
      </c>
      <c r="G1104" s="5">
        <v>305.56</v>
      </c>
      <c r="I1104" t="str">
        <f t="shared" si="86"/>
        <v>Low Sales</v>
      </c>
      <c r="J1104" t="str">
        <f t="shared" si="87"/>
        <v>Average Performance</v>
      </c>
      <c r="K1104">
        <f t="shared" si="88"/>
        <v>2004</v>
      </c>
      <c r="L1104" t="str">
        <f t="shared" si="89"/>
        <v>May</v>
      </c>
    </row>
    <row r="1105" spans="1:12" x14ac:dyDescent="0.25">
      <c r="A1105" t="s">
        <v>231</v>
      </c>
      <c r="B1105" t="s">
        <v>259</v>
      </c>
      <c r="C1105" t="s">
        <v>262</v>
      </c>
      <c r="D1105" t="str">
        <f t="shared" si="85"/>
        <v>Classic Cars</v>
      </c>
      <c r="E1105" t="s">
        <v>309</v>
      </c>
      <c r="F1105" s="5">
        <v>3907.8</v>
      </c>
      <c r="G1105" s="5">
        <v>781.56000000000006</v>
      </c>
      <c r="I1105" t="str">
        <f t="shared" si="86"/>
        <v>Low Sales</v>
      </c>
      <c r="J1105" t="str">
        <f t="shared" si="87"/>
        <v>Average Performance</v>
      </c>
      <c r="K1105">
        <f t="shared" si="88"/>
        <v>2004</v>
      </c>
      <c r="L1105" t="str">
        <f t="shared" si="89"/>
        <v>July</v>
      </c>
    </row>
    <row r="1106" spans="1:12" x14ac:dyDescent="0.25">
      <c r="A1106" t="s">
        <v>116</v>
      </c>
      <c r="C1106" t="s">
        <v>262</v>
      </c>
      <c r="D1106" t="str">
        <f t="shared" si="85"/>
        <v>Classic Cars</v>
      </c>
      <c r="E1106" t="s">
        <v>309</v>
      </c>
      <c r="F1106" s="5">
        <v>2658.48</v>
      </c>
      <c r="G1106" s="5">
        <v>531.69600000000003</v>
      </c>
      <c r="I1106" t="str">
        <f t="shared" si="86"/>
        <v>Low Sales</v>
      </c>
      <c r="J1106" t="str">
        <f t="shared" si="87"/>
        <v>Average Performance</v>
      </c>
      <c r="K1106">
        <f t="shared" si="88"/>
        <v>2004</v>
      </c>
      <c r="L1106" t="str">
        <f t="shared" si="89"/>
        <v>August</v>
      </c>
    </row>
    <row r="1107" spans="1:12" x14ac:dyDescent="0.25">
      <c r="A1107" t="s">
        <v>117</v>
      </c>
      <c r="B1107" t="s">
        <v>258</v>
      </c>
      <c r="C1107" t="s">
        <v>262</v>
      </c>
      <c r="D1107" t="str">
        <f t="shared" si="85"/>
        <v>Classic Cars</v>
      </c>
      <c r="E1107" t="s">
        <v>309</v>
      </c>
      <c r="F1107" s="5">
        <v>3042.68</v>
      </c>
      <c r="G1107" s="5">
        <v>608.53599999999994</v>
      </c>
      <c r="I1107" t="str">
        <f t="shared" si="86"/>
        <v>Low Sales</v>
      </c>
      <c r="J1107" t="str">
        <f t="shared" si="87"/>
        <v>Average Performance</v>
      </c>
      <c r="K1107">
        <f t="shared" si="88"/>
        <v>2004</v>
      </c>
      <c r="L1107" t="str">
        <f t="shared" si="89"/>
        <v>August</v>
      </c>
    </row>
    <row r="1108" spans="1:12" x14ac:dyDescent="0.25">
      <c r="A1108" t="s">
        <v>118</v>
      </c>
      <c r="B1108" t="s">
        <v>258</v>
      </c>
      <c r="C1108" t="s">
        <v>262</v>
      </c>
      <c r="D1108" t="str">
        <f t="shared" si="85"/>
        <v>Classic Cars</v>
      </c>
      <c r="E1108" t="s">
        <v>309</v>
      </c>
      <c r="F1108" s="5">
        <v>3861.2</v>
      </c>
      <c r="G1108" s="5">
        <v>772.24</v>
      </c>
      <c r="I1108" t="str">
        <f t="shared" si="86"/>
        <v>Low Sales</v>
      </c>
      <c r="J1108" t="str">
        <f t="shared" si="87"/>
        <v>Average Performance</v>
      </c>
      <c r="K1108">
        <f t="shared" si="88"/>
        <v>2003</v>
      </c>
      <c r="L1108" t="str">
        <f t="shared" si="89"/>
        <v>October</v>
      </c>
    </row>
    <row r="1109" spans="1:12" x14ac:dyDescent="0.25">
      <c r="A1109" t="s">
        <v>119</v>
      </c>
      <c r="B1109" t="s">
        <v>258</v>
      </c>
      <c r="C1109" t="s">
        <v>262</v>
      </c>
      <c r="D1109" t="str">
        <f t="shared" si="85"/>
        <v>Classic Cars</v>
      </c>
      <c r="E1109" t="s">
        <v>309</v>
      </c>
      <c r="F1109" s="5">
        <v>2171.0700000000002</v>
      </c>
      <c r="G1109" s="5">
        <v>434.21400000000011</v>
      </c>
      <c r="I1109" t="str">
        <f t="shared" si="86"/>
        <v>Low Sales</v>
      </c>
      <c r="J1109" t="str">
        <f t="shared" si="87"/>
        <v>Average Performance</v>
      </c>
      <c r="K1109">
        <f t="shared" si="88"/>
        <v>2004</v>
      </c>
      <c r="L1109" t="str">
        <f t="shared" si="89"/>
        <v>October</v>
      </c>
    </row>
    <row r="1110" spans="1:12" x14ac:dyDescent="0.25">
      <c r="A1110" t="s">
        <v>120</v>
      </c>
      <c r="C1110" t="s">
        <v>262</v>
      </c>
      <c r="D1110" t="str">
        <f t="shared" si="85"/>
        <v>Classic Cars</v>
      </c>
      <c r="E1110" t="s">
        <v>309</v>
      </c>
      <c r="F1110" s="5">
        <v>3403.08</v>
      </c>
      <c r="G1110" s="5">
        <v>680.61599999999999</v>
      </c>
      <c r="I1110" t="str">
        <f t="shared" si="86"/>
        <v>Low Sales</v>
      </c>
      <c r="J1110" t="str">
        <f t="shared" si="87"/>
        <v>Average Performance</v>
      </c>
      <c r="K1110">
        <f t="shared" si="88"/>
        <v>2004</v>
      </c>
      <c r="L1110" t="str">
        <f t="shared" si="89"/>
        <v>November</v>
      </c>
    </row>
    <row r="1111" spans="1:12" x14ac:dyDescent="0.25">
      <c r="A1111" t="s">
        <v>25</v>
      </c>
      <c r="C1111" t="s">
        <v>262</v>
      </c>
      <c r="D1111" t="str">
        <f t="shared" si="85"/>
        <v>Classic Cars</v>
      </c>
      <c r="E1111" t="s">
        <v>309</v>
      </c>
      <c r="F1111" s="5">
        <v>2245.8000000000002</v>
      </c>
      <c r="G1111" s="5">
        <v>449.16000000000008</v>
      </c>
      <c r="I1111" t="str">
        <f t="shared" si="86"/>
        <v>Low Sales</v>
      </c>
      <c r="J1111" t="str">
        <f t="shared" si="87"/>
        <v>Average Performance</v>
      </c>
      <c r="K1111">
        <f t="shared" si="88"/>
        <v>2004</v>
      </c>
      <c r="L1111" t="str">
        <f t="shared" si="89"/>
        <v>November</v>
      </c>
    </row>
    <row r="1112" spans="1:12" x14ac:dyDescent="0.25">
      <c r="A1112" t="s">
        <v>26</v>
      </c>
      <c r="B1112" t="s">
        <v>259</v>
      </c>
      <c r="C1112" t="s">
        <v>262</v>
      </c>
      <c r="D1112" t="str">
        <f t="shared" si="85"/>
        <v>Classic Cars</v>
      </c>
      <c r="E1112" t="s">
        <v>309</v>
      </c>
      <c r="F1112" s="5">
        <v>1668.5</v>
      </c>
      <c r="G1112" s="5">
        <v>333.7</v>
      </c>
      <c r="I1112" t="str">
        <f t="shared" si="86"/>
        <v>Low Sales</v>
      </c>
      <c r="J1112" t="str">
        <f t="shared" si="87"/>
        <v>Average Performance</v>
      </c>
      <c r="K1112">
        <f t="shared" si="88"/>
        <v>2004</v>
      </c>
      <c r="L1112" t="str">
        <f t="shared" si="89"/>
        <v>November</v>
      </c>
    </row>
    <row r="1113" spans="1:12" x14ac:dyDescent="0.25">
      <c r="A1113" t="s">
        <v>121</v>
      </c>
      <c r="B1113" t="s">
        <v>258</v>
      </c>
      <c r="C1113" t="s">
        <v>262</v>
      </c>
      <c r="D1113" t="str">
        <f t="shared" si="85"/>
        <v>Classic Cars</v>
      </c>
      <c r="E1113" t="s">
        <v>309</v>
      </c>
      <c r="F1113" s="5">
        <v>2773.8</v>
      </c>
      <c r="G1113" s="5">
        <v>554.7600000000001</v>
      </c>
      <c r="I1113" t="str">
        <f t="shared" si="86"/>
        <v>Low Sales</v>
      </c>
      <c r="J1113" t="str">
        <f t="shared" si="87"/>
        <v>Average Performance</v>
      </c>
      <c r="K1113">
        <f t="shared" si="88"/>
        <v>2005</v>
      </c>
      <c r="L1113" t="str">
        <f t="shared" si="89"/>
        <v>January</v>
      </c>
    </row>
    <row r="1114" spans="1:12" x14ac:dyDescent="0.25">
      <c r="A1114" t="s">
        <v>190</v>
      </c>
      <c r="B1114" t="s">
        <v>258</v>
      </c>
      <c r="C1114" t="s">
        <v>262</v>
      </c>
      <c r="D1114" t="str">
        <f t="shared" si="85"/>
        <v>Classic Cars</v>
      </c>
      <c r="E1114" t="s">
        <v>309</v>
      </c>
      <c r="F1114" s="5">
        <v>2464</v>
      </c>
      <c r="G1114" s="5">
        <v>492.8</v>
      </c>
      <c r="I1114" t="str">
        <f t="shared" si="86"/>
        <v>Low Sales</v>
      </c>
      <c r="J1114" t="str">
        <f t="shared" si="87"/>
        <v>Average Performance</v>
      </c>
      <c r="K1114">
        <f t="shared" si="88"/>
        <v>2005</v>
      </c>
      <c r="L1114" t="str">
        <f t="shared" si="89"/>
        <v>February</v>
      </c>
    </row>
    <row r="1115" spans="1:12" x14ac:dyDescent="0.25">
      <c r="A1115" t="s">
        <v>168</v>
      </c>
      <c r="C1115" t="s">
        <v>262</v>
      </c>
      <c r="D1115" t="str">
        <f t="shared" si="85"/>
        <v>Classic Cars</v>
      </c>
      <c r="E1115" t="s">
        <v>309</v>
      </c>
      <c r="F1115" s="5">
        <v>5491.6</v>
      </c>
      <c r="G1115" s="5">
        <v>1098.32</v>
      </c>
      <c r="I1115" t="str">
        <f t="shared" si="86"/>
        <v>Low Sales</v>
      </c>
      <c r="J1115" t="str">
        <f t="shared" si="87"/>
        <v>Average Performance</v>
      </c>
      <c r="K1115">
        <f t="shared" si="88"/>
        <v>2005</v>
      </c>
      <c r="L1115" t="str">
        <f t="shared" si="89"/>
        <v>March</v>
      </c>
    </row>
    <row r="1116" spans="1:12" x14ac:dyDescent="0.25">
      <c r="A1116" t="s">
        <v>32</v>
      </c>
      <c r="B1116" t="s">
        <v>258</v>
      </c>
      <c r="C1116" t="s">
        <v>264</v>
      </c>
      <c r="D1116" t="str">
        <f t="shared" si="85"/>
        <v>Vintage Cars</v>
      </c>
      <c r="E1116" t="s">
        <v>310</v>
      </c>
      <c r="F1116" s="5">
        <v>4791.82</v>
      </c>
      <c r="G1116" s="5">
        <v>958.36400000000003</v>
      </c>
      <c r="I1116" t="str">
        <f t="shared" si="86"/>
        <v>Low Sales</v>
      </c>
      <c r="J1116" t="str">
        <f t="shared" si="87"/>
        <v>Average Performance</v>
      </c>
      <c r="K1116">
        <f t="shared" si="88"/>
        <v>2003</v>
      </c>
      <c r="L1116" t="str">
        <f t="shared" si="89"/>
        <v>January</v>
      </c>
    </row>
    <row r="1117" spans="1:12" x14ac:dyDescent="0.25">
      <c r="A1117" t="s">
        <v>171</v>
      </c>
      <c r="C1117" t="s">
        <v>264</v>
      </c>
      <c r="D1117" t="str">
        <f t="shared" si="85"/>
        <v>Vintage Cars</v>
      </c>
      <c r="E1117" t="s">
        <v>310</v>
      </c>
      <c r="F1117" s="5">
        <v>4178.8500000000004</v>
      </c>
      <c r="G1117" s="5">
        <v>835.7700000000001</v>
      </c>
      <c r="I1117" t="str">
        <f t="shared" si="86"/>
        <v>Low Sales</v>
      </c>
      <c r="J1117" t="str">
        <f t="shared" si="87"/>
        <v>Average Performance</v>
      </c>
      <c r="K1117">
        <f t="shared" si="88"/>
        <v>2003</v>
      </c>
      <c r="L1117" t="str">
        <f t="shared" si="89"/>
        <v>March</v>
      </c>
    </row>
    <row r="1118" spans="1:12" x14ac:dyDescent="0.25">
      <c r="A1118" t="s">
        <v>34</v>
      </c>
      <c r="B1118" t="s">
        <v>258</v>
      </c>
      <c r="C1118" t="s">
        <v>264</v>
      </c>
      <c r="D1118" t="str">
        <f t="shared" si="85"/>
        <v>Vintage Cars</v>
      </c>
      <c r="E1118" t="s">
        <v>310</v>
      </c>
      <c r="F1118" s="5">
        <v>3128.92</v>
      </c>
      <c r="G1118" s="5">
        <v>625.78400000000011</v>
      </c>
      <c r="I1118" t="str">
        <f t="shared" si="86"/>
        <v>Low Sales</v>
      </c>
      <c r="J1118" t="str">
        <f t="shared" si="87"/>
        <v>Average Performance</v>
      </c>
      <c r="K1118">
        <f t="shared" si="88"/>
        <v>2003</v>
      </c>
      <c r="L1118" t="str">
        <f t="shared" si="89"/>
        <v>May</v>
      </c>
    </row>
    <row r="1119" spans="1:12" x14ac:dyDescent="0.25">
      <c r="A1119" t="s">
        <v>173</v>
      </c>
      <c r="B1119" t="s">
        <v>259</v>
      </c>
      <c r="C1119" t="s">
        <v>264</v>
      </c>
      <c r="D1119" t="str">
        <f t="shared" si="85"/>
        <v>Vintage Cars</v>
      </c>
      <c r="E1119" t="s">
        <v>310</v>
      </c>
      <c r="F1119" s="5">
        <v>3095.4</v>
      </c>
      <c r="G1119" s="5">
        <v>619.08000000000004</v>
      </c>
      <c r="I1119" t="str">
        <f t="shared" si="86"/>
        <v>Low Sales</v>
      </c>
      <c r="J1119" t="str">
        <f t="shared" si="87"/>
        <v>Average Performance</v>
      </c>
      <c r="K1119">
        <f t="shared" si="88"/>
        <v>2003</v>
      </c>
      <c r="L1119" t="str">
        <f t="shared" si="89"/>
        <v>July</v>
      </c>
    </row>
    <row r="1120" spans="1:12" x14ac:dyDescent="0.25">
      <c r="A1120" t="s">
        <v>174</v>
      </c>
      <c r="C1120" t="s">
        <v>264</v>
      </c>
      <c r="D1120" t="str">
        <f t="shared" si="85"/>
        <v>Vintage Cars</v>
      </c>
      <c r="E1120" t="s">
        <v>310</v>
      </c>
      <c r="F1120" s="5">
        <v>3958.5</v>
      </c>
      <c r="G1120" s="5">
        <v>791.7</v>
      </c>
      <c r="I1120" t="str">
        <f t="shared" si="86"/>
        <v>Low Sales</v>
      </c>
      <c r="J1120" t="str">
        <f t="shared" si="87"/>
        <v>Average Performance</v>
      </c>
      <c r="K1120">
        <f t="shared" si="88"/>
        <v>2003</v>
      </c>
      <c r="L1120" t="str">
        <f t="shared" si="89"/>
        <v>September</v>
      </c>
    </row>
    <row r="1121" spans="1:12" x14ac:dyDescent="0.25">
      <c r="A1121" t="s">
        <v>37</v>
      </c>
      <c r="C1121" t="s">
        <v>264</v>
      </c>
      <c r="D1121" t="str">
        <f t="shared" si="85"/>
        <v>Vintage Cars</v>
      </c>
      <c r="E1121" t="s">
        <v>310</v>
      </c>
      <c r="F1121" s="5">
        <v>4991.4399999999996</v>
      </c>
      <c r="G1121" s="5">
        <v>998.28800000000001</v>
      </c>
      <c r="I1121" t="str">
        <f t="shared" si="86"/>
        <v>Low Sales</v>
      </c>
      <c r="J1121" t="str">
        <f t="shared" si="87"/>
        <v>Average Performance</v>
      </c>
      <c r="K1121">
        <f t="shared" si="88"/>
        <v>2003</v>
      </c>
      <c r="L1121" t="str">
        <f t="shared" si="89"/>
        <v>October</v>
      </c>
    </row>
    <row r="1122" spans="1:12" x14ac:dyDescent="0.25">
      <c r="A1122" t="s">
        <v>161</v>
      </c>
      <c r="B1122" t="s">
        <v>258</v>
      </c>
      <c r="C1122" t="s">
        <v>264</v>
      </c>
      <c r="D1122" t="str">
        <f t="shared" si="85"/>
        <v>Vintage Cars</v>
      </c>
      <c r="E1122" t="s">
        <v>310</v>
      </c>
      <c r="F1122" s="5">
        <v>2761.96</v>
      </c>
      <c r="G1122" s="5">
        <v>552.39200000000005</v>
      </c>
      <c r="I1122" t="str">
        <f t="shared" si="86"/>
        <v>Low Sales</v>
      </c>
      <c r="J1122" t="str">
        <f t="shared" si="87"/>
        <v>Average Performance</v>
      </c>
      <c r="K1122">
        <f t="shared" si="88"/>
        <v>2003</v>
      </c>
      <c r="L1122" t="str">
        <f t="shared" si="89"/>
        <v>November</v>
      </c>
    </row>
    <row r="1123" spans="1:12" x14ac:dyDescent="0.25">
      <c r="A1123" t="s">
        <v>109</v>
      </c>
      <c r="C1123" t="s">
        <v>264</v>
      </c>
      <c r="D1123" t="str">
        <f t="shared" si="85"/>
        <v>Vintage Cars</v>
      </c>
      <c r="E1123" t="s">
        <v>310</v>
      </c>
      <c r="F1123" s="5">
        <v>2848.23</v>
      </c>
      <c r="G1123" s="5">
        <v>569.64600000000007</v>
      </c>
      <c r="I1123" t="str">
        <f t="shared" si="86"/>
        <v>Low Sales</v>
      </c>
      <c r="J1123" t="str">
        <f t="shared" si="87"/>
        <v>Average Performance</v>
      </c>
      <c r="K1123">
        <f t="shared" si="88"/>
        <v>2003</v>
      </c>
      <c r="L1123" t="str">
        <f t="shared" si="89"/>
        <v>November</v>
      </c>
    </row>
    <row r="1124" spans="1:12" x14ac:dyDescent="0.25">
      <c r="A1124" t="s">
        <v>176</v>
      </c>
      <c r="B1124" t="s">
        <v>259</v>
      </c>
      <c r="C1124" t="s">
        <v>264</v>
      </c>
      <c r="D1124" t="str">
        <f t="shared" si="85"/>
        <v>Vintage Cars</v>
      </c>
      <c r="E1124" t="s">
        <v>310</v>
      </c>
      <c r="F1124" s="5">
        <v>2539.84</v>
      </c>
      <c r="G1124" s="5">
        <v>507.96800000000007</v>
      </c>
      <c r="I1124" t="str">
        <f t="shared" si="86"/>
        <v>Low Sales</v>
      </c>
      <c r="J1124" t="str">
        <f t="shared" si="87"/>
        <v>Average Performance</v>
      </c>
      <c r="K1124">
        <f t="shared" si="88"/>
        <v>2003</v>
      </c>
      <c r="L1124" t="str">
        <f t="shared" si="89"/>
        <v>November</v>
      </c>
    </row>
    <row r="1125" spans="1:12" x14ac:dyDescent="0.25">
      <c r="A1125" t="s">
        <v>41</v>
      </c>
      <c r="C1125" t="s">
        <v>264</v>
      </c>
      <c r="D1125" t="str">
        <f t="shared" si="85"/>
        <v>Vintage Cars</v>
      </c>
      <c r="E1125" t="s">
        <v>310</v>
      </c>
      <c r="F1125" s="5">
        <v>2444.4</v>
      </c>
      <c r="G1125" s="5">
        <v>488.88000000000011</v>
      </c>
      <c r="I1125" t="str">
        <f t="shared" si="86"/>
        <v>Low Sales</v>
      </c>
      <c r="J1125" t="str">
        <f t="shared" si="87"/>
        <v>Average Performance</v>
      </c>
      <c r="K1125">
        <f t="shared" si="88"/>
        <v>2003</v>
      </c>
      <c r="L1125" t="str">
        <f t="shared" si="89"/>
        <v>December</v>
      </c>
    </row>
    <row r="1126" spans="1:12" x14ac:dyDescent="0.25">
      <c r="A1126" t="s">
        <v>42</v>
      </c>
      <c r="C1126" t="s">
        <v>264</v>
      </c>
      <c r="D1126" t="str">
        <f t="shared" si="85"/>
        <v>Vintage Cars</v>
      </c>
      <c r="E1126" t="s">
        <v>310</v>
      </c>
      <c r="F1126" s="5">
        <v>4555.92</v>
      </c>
      <c r="G1126" s="5">
        <v>911.18400000000008</v>
      </c>
      <c r="I1126" t="str">
        <f t="shared" si="86"/>
        <v>Low Sales</v>
      </c>
      <c r="J1126" t="str">
        <f t="shared" si="87"/>
        <v>Average Performance</v>
      </c>
      <c r="K1126">
        <f t="shared" si="88"/>
        <v>2004</v>
      </c>
      <c r="L1126" t="str">
        <f t="shared" si="89"/>
        <v>January</v>
      </c>
    </row>
    <row r="1127" spans="1:12" x14ac:dyDescent="0.25">
      <c r="A1127" t="s">
        <v>178</v>
      </c>
      <c r="B1127" t="s">
        <v>258</v>
      </c>
      <c r="C1127" t="s">
        <v>264</v>
      </c>
      <c r="D1127" t="str">
        <f t="shared" si="85"/>
        <v>Vintage Cars</v>
      </c>
      <c r="E1127" t="s">
        <v>310</v>
      </c>
      <c r="F1127" s="5">
        <v>3666.96</v>
      </c>
      <c r="G1127" s="5">
        <v>733.39200000000005</v>
      </c>
      <c r="I1127" t="str">
        <f t="shared" si="86"/>
        <v>Low Sales</v>
      </c>
      <c r="J1127" t="str">
        <f t="shared" si="87"/>
        <v>Average Performance</v>
      </c>
      <c r="K1127">
        <f t="shared" si="88"/>
        <v>2004</v>
      </c>
      <c r="L1127" t="str">
        <f t="shared" si="89"/>
        <v>March</v>
      </c>
    </row>
    <row r="1128" spans="1:12" x14ac:dyDescent="0.25">
      <c r="A1128" t="s">
        <v>179</v>
      </c>
      <c r="B1128" t="s">
        <v>258</v>
      </c>
      <c r="C1128" t="s">
        <v>264</v>
      </c>
      <c r="D1128" t="str">
        <f t="shared" si="85"/>
        <v>Vintage Cars</v>
      </c>
      <c r="E1128" t="s">
        <v>310</v>
      </c>
      <c r="F1128" s="5">
        <v>3035.88</v>
      </c>
      <c r="G1128" s="5">
        <v>607.17600000000004</v>
      </c>
      <c r="I1128" t="str">
        <f t="shared" si="86"/>
        <v>Low Sales</v>
      </c>
      <c r="J1128" t="str">
        <f t="shared" si="87"/>
        <v>Average Performance</v>
      </c>
      <c r="K1128">
        <f t="shared" si="88"/>
        <v>2004</v>
      </c>
      <c r="L1128" t="str">
        <f t="shared" si="89"/>
        <v>April</v>
      </c>
    </row>
    <row r="1129" spans="1:12" x14ac:dyDescent="0.25">
      <c r="A1129" t="s">
        <v>221</v>
      </c>
      <c r="C1129" t="s">
        <v>264</v>
      </c>
      <c r="D1129" t="str">
        <f t="shared" si="85"/>
        <v>Vintage Cars</v>
      </c>
      <c r="E1129" t="s">
        <v>310</v>
      </c>
      <c r="F1129" s="5">
        <v>2321.54</v>
      </c>
      <c r="G1129" s="5">
        <v>464.30799999999999</v>
      </c>
      <c r="I1129" t="str">
        <f t="shared" si="86"/>
        <v>Low Sales</v>
      </c>
      <c r="J1129" t="str">
        <f t="shared" si="87"/>
        <v>Average Performance</v>
      </c>
      <c r="K1129">
        <f t="shared" si="88"/>
        <v>2004</v>
      </c>
      <c r="L1129" t="str">
        <f t="shared" si="89"/>
        <v>June</v>
      </c>
    </row>
    <row r="1130" spans="1:12" x14ac:dyDescent="0.25">
      <c r="A1130" t="s">
        <v>47</v>
      </c>
      <c r="B1130" t="s">
        <v>258</v>
      </c>
      <c r="C1130" t="s">
        <v>264</v>
      </c>
      <c r="D1130" t="str">
        <f t="shared" si="85"/>
        <v>Vintage Cars</v>
      </c>
      <c r="E1130" t="s">
        <v>310</v>
      </c>
      <c r="F1130" s="5">
        <v>3474.46</v>
      </c>
      <c r="G1130" s="5">
        <v>694.89200000000005</v>
      </c>
      <c r="I1130" t="str">
        <f t="shared" si="86"/>
        <v>Low Sales</v>
      </c>
      <c r="J1130" t="str">
        <f t="shared" si="87"/>
        <v>Average Performance</v>
      </c>
      <c r="K1130">
        <f t="shared" si="88"/>
        <v>2004</v>
      </c>
      <c r="L1130" t="str">
        <f t="shared" si="89"/>
        <v>August</v>
      </c>
    </row>
    <row r="1131" spans="1:12" x14ac:dyDescent="0.25">
      <c r="A1131" t="s">
        <v>232</v>
      </c>
      <c r="C1131" t="s">
        <v>264</v>
      </c>
      <c r="D1131" t="str">
        <f t="shared" si="85"/>
        <v>Vintage Cars</v>
      </c>
      <c r="E1131" t="s">
        <v>310</v>
      </c>
      <c r="F1131" s="5">
        <v>2501.98</v>
      </c>
      <c r="G1131" s="5">
        <v>500.39600000000002</v>
      </c>
      <c r="I1131" t="str">
        <f t="shared" si="86"/>
        <v>Low Sales</v>
      </c>
      <c r="J1131" t="str">
        <f t="shared" si="87"/>
        <v>Average Performance</v>
      </c>
      <c r="K1131">
        <f t="shared" si="88"/>
        <v>2004</v>
      </c>
      <c r="L1131" t="str">
        <f t="shared" si="89"/>
        <v>September</v>
      </c>
    </row>
    <row r="1132" spans="1:12" x14ac:dyDescent="0.25">
      <c r="A1132" t="s">
        <v>49</v>
      </c>
      <c r="B1132" t="s">
        <v>258</v>
      </c>
      <c r="C1132" t="s">
        <v>264</v>
      </c>
      <c r="D1132" t="str">
        <f t="shared" si="85"/>
        <v>Vintage Cars</v>
      </c>
      <c r="E1132" t="s">
        <v>310</v>
      </c>
      <c r="F1132" s="5">
        <v>3958.46</v>
      </c>
      <c r="G1132" s="5">
        <v>791.69200000000001</v>
      </c>
      <c r="I1132" t="str">
        <f t="shared" si="86"/>
        <v>Low Sales</v>
      </c>
      <c r="J1132" t="str">
        <f t="shared" si="87"/>
        <v>Average Performance</v>
      </c>
      <c r="K1132">
        <f t="shared" si="88"/>
        <v>2004</v>
      </c>
      <c r="L1132" t="str">
        <f t="shared" si="89"/>
        <v>October</v>
      </c>
    </row>
    <row r="1133" spans="1:12" x14ac:dyDescent="0.25">
      <c r="A1133" t="s">
        <v>50</v>
      </c>
      <c r="C1133" t="s">
        <v>264</v>
      </c>
      <c r="D1133" t="str">
        <f t="shared" si="85"/>
        <v>Vintage Cars</v>
      </c>
      <c r="E1133" t="s">
        <v>310</v>
      </c>
      <c r="F1133" s="5">
        <v>3535.95</v>
      </c>
      <c r="G1133" s="5">
        <v>707.19</v>
      </c>
      <c r="I1133" t="str">
        <f t="shared" si="86"/>
        <v>Low Sales</v>
      </c>
      <c r="J1133" t="str">
        <f t="shared" si="87"/>
        <v>Average Performance</v>
      </c>
      <c r="K1133">
        <f t="shared" si="88"/>
        <v>2004</v>
      </c>
      <c r="L1133" t="str">
        <f t="shared" si="89"/>
        <v>October</v>
      </c>
    </row>
    <row r="1134" spans="1:12" x14ac:dyDescent="0.25">
      <c r="A1134" t="s">
        <v>86</v>
      </c>
      <c r="B1134" t="s">
        <v>258</v>
      </c>
      <c r="C1134" t="s">
        <v>264</v>
      </c>
      <c r="D1134" t="str">
        <f t="shared" si="85"/>
        <v>Vintage Cars</v>
      </c>
      <c r="E1134" t="s">
        <v>310</v>
      </c>
      <c r="F1134" s="5">
        <v>3011.91</v>
      </c>
      <c r="G1134" s="5">
        <v>602.38199999999995</v>
      </c>
      <c r="I1134" t="str">
        <f t="shared" si="86"/>
        <v>Low Sales</v>
      </c>
      <c r="J1134" t="str">
        <f t="shared" si="87"/>
        <v>Average Performance</v>
      </c>
      <c r="K1134">
        <f t="shared" si="88"/>
        <v>2004</v>
      </c>
      <c r="L1134" t="str">
        <f t="shared" si="89"/>
        <v>November</v>
      </c>
    </row>
    <row r="1135" spans="1:12" x14ac:dyDescent="0.25">
      <c r="A1135" t="s">
        <v>52</v>
      </c>
      <c r="C1135" t="s">
        <v>264</v>
      </c>
      <c r="D1135" t="str">
        <f t="shared" si="85"/>
        <v>Vintage Cars</v>
      </c>
      <c r="E1135" t="s">
        <v>310</v>
      </c>
      <c r="F1135" s="5">
        <v>11336.7</v>
      </c>
      <c r="G1135" s="5">
        <v>2267.34</v>
      </c>
      <c r="I1135" t="str">
        <f t="shared" si="86"/>
        <v>Low Sales</v>
      </c>
      <c r="J1135" t="str">
        <f t="shared" si="87"/>
        <v>Average Performance</v>
      </c>
      <c r="K1135">
        <f t="shared" si="88"/>
        <v>2004</v>
      </c>
      <c r="L1135" t="str">
        <f t="shared" si="89"/>
        <v>November</v>
      </c>
    </row>
    <row r="1136" spans="1:12" x14ac:dyDescent="0.25">
      <c r="A1136" t="s">
        <v>53</v>
      </c>
      <c r="B1136" t="s">
        <v>259</v>
      </c>
      <c r="C1136" t="s">
        <v>264</v>
      </c>
      <c r="D1136" t="str">
        <f t="shared" si="85"/>
        <v>Vintage Cars</v>
      </c>
      <c r="E1136" t="s">
        <v>310</v>
      </c>
      <c r="F1136" s="5">
        <v>2656.94</v>
      </c>
      <c r="G1136" s="5">
        <v>531.38800000000003</v>
      </c>
      <c r="I1136" t="str">
        <f t="shared" si="86"/>
        <v>Low Sales</v>
      </c>
      <c r="J1136" t="str">
        <f t="shared" si="87"/>
        <v>Average Performance</v>
      </c>
      <c r="K1136">
        <f t="shared" si="88"/>
        <v>2004</v>
      </c>
      <c r="L1136" t="str">
        <f t="shared" si="89"/>
        <v>November</v>
      </c>
    </row>
    <row r="1137" spans="1:12" x14ac:dyDescent="0.25">
      <c r="A1137" t="s">
        <v>54</v>
      </c>
      <c r="C1137" t="s">
        <v>264</v>
      </c>
      <c r="D1137" t="str">
        <f t="shared" si="85"/>
        <v>Vintage Cars</v>
      </c>
      <c r="E1137" t="s">
        <v>310</v>
      </c>
      <c r="F1137" s="5">
        <v>2604.25</v>
      </c>
      <c r="G1137" s="5">
        <v>520.85</v>
      </c>
      <c r="I1137" t="str">
        <f t="shared" si="86"/>
        <v>Low Sales</v>
      </c>
      <c r="J1137" t="str">
        <f t="shared" si="87"/>
        <v>Average Performance</v>
      </c>
      <c r="K1137">
        <f t="shared" si="88"/>
        <v>2004</v>
      </c>
      <c r="L1137" t="str">
        <f t="shared" si="89"/>
        <v>December</v>
      </c>
    </row>
    <row r="1138" spans="1:12" x14ac:dyDescent="0.25">
      <c r="A1138" t="s">
        <v>55</v>
      </c>
      <c r="C1138" t="s">
        <v>264</v>
      </c>
      <c r="D1138" t="str">
        <f t="shared" si="85"/>
        <v>Vintage Cars</v>
      </c>
      <c r="E1138" t="s">
        <v>310</v>
      </c>
      <c r="F1138" s="5">
        <v>3288.6</v>
      </c>
      <c r="G1138" s="5">
        <v>657.72</v>
      </c>
      <c r="I1138" t="str">
        <f t="shared" si="86"/>
        <v>Low Sales</v>
      </c>
      <c r="J1138" t="str">
        <f t="shared" si="87"/>
        <v>Average Performance</v>
      </c>
      <c r="K1138">
        <f t="shared" si="88"/>
        <v>2005</v>
      </c>
      <c r="L1138" t="str">
        <f t="shared" si="89"/>
        <v>January</v>
      </c>
    </row>
    <row r="1139" spans="1:12" x14ac:dyDescent="0.25">
      <c r="A1139" t="s">
        <v>56</v>
      </c>
      <c r="C1139" t="s">
        <v>264</v>
      </c>
      <c r="D1139" t="str">
        <f t="shared" si="85"/>
        <v>Vintage Cars</v>
      </c>
      <c r="E1139" t="s">
        <v>310</v>
      </c>
      <c r="F1139" s="5">
        <v>8935.5</v>
      </c>
      <c r="G1139" s="5">
        <v>1787.1</v>
      </c>
      <c r="I1139" t="str">
        <f t="shared" si="86"/>
        <v>Low Sales</v>
      </c>
      <c r="J1139" t="str">
        <f t="shared" si="87"/>
        <v>Average Performance</v>
      </c>
      <c r="K1139">
        <f t="shared" si="88"/>
        <v>2005</v>
      </c>
      <c r="L1139" t="str">
        <f t="shared" si="89"/>
        <v>February</v>
      </c>
    </row>
    <row r="1140" spans="1:12" x14ac:dyDescent="0.25">
      <c r="A1140" t="s">
        <v>223</v>
      </c>
      <c r="B1140" t="s">
        <v>258</v>
      </c>
      <c r="C1140" t="s">
        <v>264</v>
      </c>
      <c r="D1140" t="str">
        <f t="shared" si="85"/>
        <v>Vintage Cars</v>
      </c>
      <c r="E1140" t="s">
        <v>310</v>
      </c>
      <c r="F1140" s="5">
        <v>4035.96</v>
      </c>
      <c r="G1140" s="5">
        <v>807.19200000000001</v>
      </c>
      <c r="I1140" t="str">
        <f t="shared" si="86"/>
        <v>Low Sales</v>
      </c>
      <c r="J1140" t="str">
        <f t="shared" si="87"/>
        <v>Average Performance</v>
      </c>
      <c r="K1140">
        <f t="shared" si="88"/>
        <v>2005</v>
      </c>
      <c r="L1140" t="str">
        <f t="shared" si="89"/>
        <v>March</v>
      </c>
    </row>
    <row r="1141" spans="1:12" x14ac:dyDescent="0.25">
      <c r="A1141" t="s">
        <v>183</v>
      </c>
      <c r="B1141" t="s">
        <v>258</v>
      </c>
      <c r="C1141" t="s">
        <v>264</v>
      </c>
      <c r="D1141" t="str">
        <f t="shared" si="85"/>
        <v>Vintage Cars</v>
      </c>
      <c r="E1141" t="s">
        <v>310</v>
      </c>
      <c r="F1141" s="5">
        <v>1875.09</v>
      </c>
      <c r="G1141" s="5">
        <v>375.01799999999997</v>
      </c>
      <c r="I1141" t="str">
        <f t="shared" si="86"/>
        <v>Low Sales</v>
      </c>
      <c r="J1141" t="str">
        <f t="shared" si="87"/>
        <v>Average Performance</v>
      </c>
      <c r="K1141">
        <f t="shared" si="88"/>
        <v>2005</v>
      </c>
      <c r="L1141" t="str">
        <f t="shared" si="89"/>
        <v>May</v>
      </c>
    </row>
    <row r="1142" spans="1:12" x14ac:dyDescent="0.25">
      <c r="A1142" t="s">
        <v>104</v>
      </c>
      <c r="B1142" t="s">
        <v>260</v>
      </c>
      <c r="C1142" t="s">
        <v>262</v>
      </c>
      <c r="D1142" t="str">
        <f t="shared" si="85"/>
        <v>Classic Cars</v>
      </c>
      <c r="E1142" t="s">
        <v>311</v>
      </c>
      <c r="F1142" s="5">
        <v>4049.56</v>
      </c>
      <c r="G1142" s="5">
        <v>809.91200000000003</v>
      </c>
      <c r="I1142" t="str">
        <f t="shared" si="86"/>
        <v>Low Sales</v>
      </c>
      <c r="J1142" t="str">
        <f t="shared" si="87"/>
        <v>Average Performance</v>
      </c>
      <c r="K1142">
        <f t="shared" si="88"/>
        <v>2003</v>
      </c>
      <c r="L1142" t="str">
        <f t="shared" si="89"/>
        <v>March</v>
      </c>
    </row>
    <row r="1143" spans="1:12" x14ac:dyDescent="0.25">
      <c r="A1143" t="s">
        <v>105</v>
      </c>
      <c r="B1143" t="s">
        <v>258</v>
      </c>
      <c r="C1143" t="s">
        <v>262</v>
      </c>
      <c r="D1143" t="str">
        <f t="shared" si="85"/>
        <v>Classic Cars</v>
      </c>
      <c r="E1143" t="s">
        <v>311</v>
      </c>
      <c r="F1143" s="5">
        <v>2469.39</v>
      </c>
      <c r="G1143" s="5">
        <v>493.87799999999999</v>
      </c>
      <c r="I1143" t="str">
        <f t="shared" si="86"/>
        <v>Low Sales</v>
      </c>
      <c r="J1143" t="str">
        <f t="shared" si="87"/>
        <v>Average Performance</v>
      </c>
      <c r="K1143">
        <f t="shared" si="88"/>
        <v>2003</v>
      </c>
      <c r="L1143" t="str">
        <f t="shared" si="89"/>
        <v>May</v>
      </c>
    </row>
    <row r="1144" spans="1:12" x14ac:dyDescent="0.25">
      <c r="A1144" t="s">
        <v>106</v>
      </c>
      <c r="C1144" t="s">
        <v>262</v>
      </c>
      <c r="D1144" t="str">
        <f t="shared" si="85"/>
        <v>Classic Cars</v>
      </c>
      <c r="E1144" t="s">
        <v>311</v>
      </c>
      <c r="F1144" s="5">
        <v>5432.7</v>
      </c>
      <c r="G1144" s="5">
        <v>1086.54</v>
      </c>
      <c r="I1144" t="str">
        <f t="shared" si="86"/>
        <v>Low Sales</v>
      </c>
      <c r="J1144" t="str">
        <f t="shared" si="87"/>
        <v>Average Performance</v>
      </c>
      <c r="K1144">
        <f t="shared" si="88"/>
        <v>2003</v>
      </c>
      <c r="L1144" t="str">
        <f t="shared" si="89"/>
        <v>July</v>
      </c>
    </row>
    <row r="1145" spans="1:12" x14ac:dyDescent="0.25">
      <c r="A1145" t="s">
        <v>107</v>
      </c>
      <c r="C1145" t="s">
        <v>262</v>
      </c>
      <c r="D1145" t="str">
        <f t="shared" si="85"/>
        <v>Classic Cars</v>
      </c>
      <c r="E1145" t="s">
        <v>311</v>
      </c>
      <c r="F1145" s="5">
        <v>4405.22</v>
      </c>
      <c r="G1145" s="5">
        <v>881.0440000000001</v>
      </c>
      <c r="I1145" t="str">
        <f t="shared" si="86"/>
        <v>Low Sales</v>
      </c>
      <c r="J1145" t="str">
        <f t="shared" si="87"/>
        <v>Average Performance</v>
      </c>
      <c r="K1145">
        <f t="shared" si="88"/>
        <v>2003</v>
      </c>
      <c r="L1145" t="str">
        <f t="shared" si="89"/>
        <v>September</v>
      </c>
    </row>
    <row r="1146" spans="1:12" x14ac:dyDescent="0.25">
      <c r="A1146" t="s">
        <v>10</v>
      </c>
      <c r="C1146" t="s">
        <v>262</v>
      </c>
      <c r="D1146" t="str">
        <f t="shared" si="85"/>
        <v>Classic Cars</v>
      </c>
      <c r="E1146" t="s">
        <v>311</v>
      </c>
      <c r="F1146" s="5">
        <v>3638</v>
      </c>
      <c r="G1146" s="5">
        <v>727.6</v>
      </c>
      <c r="I1146" t="str">
        <f t="shared" si="86"/>
        <v>Low Sales</v>
      </c>
      <c r="J1146" t="str">
        <f t="shared" si="87"/>
        <v>Average Performance</v>
      </c>
      <c r="K1146">
        <f t="shared" si="88"/>
        <v>2003</v>
      </c>
      <c r="L1146" t="str">
        <f t="shared" si="89"/>
        <v>October</v>
      </c>
    </row>
    <row r="1147" spans="1:12" x14ac:dyDescent="0.25">
      <c r="A1147" t="s">
        <v>108</v>
      </c>
      <c r="B1147" t="s">
        <v>259</v>
      </c>
      <c r="C1147" t="s">
        <v>262</v>
      </c>
      <c r="D1147" t="str">
        <f t="shared" si="85"/>
        <v>Classic Cars</v>
      </c>
      <c r="E1147" t="s">
        <v>311</v>
      </c>
      <c r="F1147" s="5">
        <v>4444.92</v>
      </c>
      <c r="G1147" s="5">
        <v>888.98400000000004</v>
      </c>
      <c r="I1147" t="str">
        <f t="shared" si="86"/>
        <v>Low Sales</v>
      </c>
      <c r="J1147" t="str">
        <f t="shared" si="87"/>
        <v>Average Performance</v>
      </c>
      <c r="K1147">
        <f t="shared" si="88"/>
        <v>2003</v>
      </c>
      <c r="L1147" t="str">
        <f t="shared" si="89"/>
        <v>November</v>
      </c>
    </row>
    <row r="1148" spans="1:12" x14ac:dyDescent="0.25">
      <c r="A1148" t="s">
        <v>109</v>
      </c>
      <c r="B1148" t="s">
        <v>258</v>
      </c>
      <c r="C1148" t="s">
        <v>262</v>
      </c>
      <c r="D1148" t="str">
        <f t="shared" si="85"/>
        <v>Classic Cars</v>
      </c>
      <c r="E1148" t="s">
        <v>311</v>
      </c>
      <c r="F1148" s="5">
        <v>3395.48</v>
      </c>
      <c r="G1148" s="5">
        <v>679.096</v>
      </c>
      <c r="I1148" t="str">
        <f t="shared" si="86"/>
        <v>Low Sales</v>
      </c>
      <c r="J1148" t="str">
        <f t="shared" si="87"/>
        <v>Average Performance</v>
      </c>
      <c r="K1148">
        <f t="shared" si="88"/>
        <v>2003</v>
      </c>
      <c r="L1148" t="str">
        <f t="shared" si="89"/>
        <v>November</v>
      </c>
    </row>
    <row r="1149" spans="1:12" x14ac:dyDescent="0.25">
      <c r="A1149" t="s">
        <v>110</v>
      </c>
      <c r="B1149" t="s">
        <v>258</v>
      </c>
      <c r="C1149" t="s">
        <v>262</v>
      </c>
      <c r="D1149" t="str">
        <f t="shared" si="85"/>
        <v>Classic Cars</v>
      </c>
      <c r="E1149" t="s">
        <v>311</v>
      </c>
      <c r="F1149" s="5">
        <v>3414.58</v>
      </c>
      <c r="G1149" s="5">
        <v>682.91600000000005</v>
      </c>
      <c r="I1149" t="str">
        <f t="shared" si="86"/>
        <v>Low Sales</v>
      </c>
      <c r="J1149" t="str">
        <f t="shared" si="87"/>
        <v>Average Performance</v>
      </c>
      <c r="K1149">
        <f t="shared" si="88"/>
        <v>2003</v>
      </c>
      <c r="L1149" t="str">
        <f t="shared" si="89"/>
        <v>November</v>
      </c>
    </row>
    <row r="1150" spans="1:12" x14ac:dyDescent="0.25">
      <c r="A1150" t="s">
        <v>111</v>
      </c>
      <c r="B1150" t="s">
        <v>258</v>
      </c>
      <c r="C1150" t="s">
        <v>262</v>
      </c>
      <c r="D1150" t="str">
        <f t="shared" si="85"/>
        <v>Classic Cars</v>
      </c>
      <c r="E1150" t="s">
        <v>311</v>
      </c>
      <c r="F1150" s="5">
        <v>5127.04</v>
      </c>
      <c r="G1150" s="5">
        <v>1025.4079999999999</v>
      </c>
      <c r="I1150" t="str">
        <f t="shared" si="86"/>
        <v>Low Sales</v>
      </c>
      <c r="J1150" t="str">
        <f t="shared" si="87"/>
        <v>Average Performance</v>
      </c>
      <c r="K1150">
        <f t="shared" si="88"/>
        <v>2003</v>
      </c>
      <c r="L1150" t="str">
        <f t="shared" si="89"/>
        <v>December</v>
      </c>
    </row>
    <row r="1151" spans="1:12" x14ac:dyDescent="0.25">
      <c r="A1151" t="s">
        <v>15</v>
      </c>
      <c r="B1151" t="s">
        <v>258</v>
      </c>
      <c r="C1151" t="s">
        <v>262</v>
      </c>
      <c r="D1151" t="str">
        <f t="shared" si="85"/>
        <v>Classic Cars</v>
      </c>
      <c r="E1151" t="s">
        <v>311</v>
      </c>
      <c r="F1151" s="5">
        <v>3745.28</v>
      </c>
      <c r="G1151" s="5">
        <v>749.05600000000004</v>
      </c>
      <c r="I1151" t="str">
        <f t="shared" si="86"/>
        <v>Low Sales</v>
      </c>
      <c r="J1151" t="str">
        <f t="shared" si="87"/>
        <v>Average Performance</v>
      </c>
      <c r="K1151">
        <f t="shared" si="88"/>
        <v>2004</v>
      </c>
      <c r="L1151" t="str">
        <f t="shared" si="89"/>
        <v>January</v>
      </c>
    </row>
    <row r="1152" spans="1:12" x14ac:dyDescent="0.25">
      <c r="A1152" t="s">
        <v>112</v>
      </c>
      <c r="B1152" t="s">
        <v>258</v>
      </c>
      <c r="C1152" t="s">
        <v>262</v>
      </c>
      <c r="D1152" t="str">
        <f t="shared" si="85"/>
        <v>Classic Cars</v>
      </c>
      <c r="E1152" t="s">
        <v>311</v>
      </c>
      <c r="F1152" s="5">
        <v>4564.08</v>
      </c>
      <c r="G1152" s="5">
        <v>912.81600000000003</v>
      </c>
      <c r="I1152" t="str">
        <f t="shared" si="86"/>
        <v>Low Sales</v>
      </c>
      <c r="J1152" t="str">
        <f t="shared" si="87"/>
        <v>Average Performance</v>
      </c>
      <c r="K1152">
        <f t="shared" si="88"/>
        <v>2004</v>
      </c>
      <c r="L1152" t="str">
        <f t="shared" si="89"/>
        <v>February</v>
      </c>
    </row>
    <row r="1153" spans="1:12" x14ac:dyDescent="0.25">
      <c r="A1153" t="s">
        <v>113</v>
      </c>
      <c r="B1153" t="s">
        <v>258</v>
      </c>
      <c r="C1153" t="s">
        <v>262</v>
      </c>
      <c r="D1153" t="str">
        <f t="shared" si="85"/>
        <v>Classic Cars</v>
      </c>
      <c r="E1153" t="s">
        <v>311</v>
      </c>
      <c r="F1153" s="5">
        <v>6554.24</v>
      </c>
      <c r="G1153" s="5">
        <v>1310.848</v>
      </c>
      <c r="I1153" t="str">
        <f t="shared" si="86"/>
        <v>Low Sales</v>
      </c>
      <c r="J1153" t="str">
        <f t="shared" si="87"/>
        <v>Average Performance</v>
      </c>
      <c r="K1153">
        <f t="shared" si="88"/>
        <v>2004</v>
      </c>
      <c r="L1153" t="str">
        <f t="shared" si="89"/>
        <v>April</v>
      </c>
    </row>
    <row r="1154" spans="1:12" x14ac:dyDescent="0.25">
      <c r="A1154" t="s">
        <v>230</v>
      </c>
      <c r="B1154" t="s">
        <v>258</v>
      </c>
      <c r="C1154" t="s">
        <v>262</v>
      </c>
      <c r="D1154" t="str">
        <f t="shared" si="85"/>
        <v>Classic Cars</v>
      </c>
      <c r="E1154" t="s">
        <v>311</v>
      </c>
      <c r="F1154" s="5">
        <v>6749.83</v>
      </c>
      <c r="G1154" s="5">
        <v>1349.9659999999999</v>
      </c>
      <c r="I1154" t="str">
        <f t="shared" si="86"/>
        <v>Low Sales</v>
      </c>
      <c r="J1154" t="str">
        <f t="shared" si="87"/>
        <v>Average Performance</v>
      </c>
      <c r="K1154">
        <f t="shared" si="88"/>
        <v>2004</v>
      </c>
      <c r="L1154" t="str">
        <f t="shared" si="89"/>
        <v>May</v>
      </c>
    </row>
    <row r="1155" spans="1:12" x14ac:dyDescent="0.25">
      <c r="A1155" t="s">
        <v>231</v>
      </c>
      <c r="B1155" t="s">
        <v>259</v>
      </c>
      <c r="C1155" t="s">
        <v>262</v>
      </c>
      <c r="D1155" t="str">
        <f t="shared" ref="D1155:D1218" si="90">PROPER(TRIM(C1155))</f>
        <v>Classic Cars</v>
      </c>
      <c r="E1155" t="s">
        <v>311</v>
      </c>
      <c r="F1155" s="5">
        <v>8427.02</v>
      </c>
      <c r="G1155" s="5">
        <v>1685.404</v>
      </c>
      <c r="I1155" t="str">
        <f t="shared" ref="I1155:I1218" si="91">IF(F1155&gt;50000,"High Sales","Low Sales")</f>
        <v>Low Sales</v>
      </c>
      <c r="J1155" t="str">
        <f t="shared" ref="J1155:J1218" si="92">IF(AND(F1155&gt;30000,G1155&gt;5000),"Good Performance","Average Performance")</f>
        <v>Average Performance</v>
      </c>
      <c r="K1155">
        <f t="shared" ref="K1155:K1218" si="93">YEAR(A1155)</f>
        <v>2004</v>
      </c>
      <c r="L1155" t="str">
        <f t="shared" ref="L1155:L1218" si="94">TEXT(A1155,"mmmm")</f>
        <v>July</v>
      </c>
    </row>
    <row r="1156" spans="1:12" x14ac:dyDescent="0.25">
      <c r="A1156" t="s">
        <v>116</v>
      </c>
      <c r="C1156" t="s">
        <v>262</v>
      </c>
      <c r="D1156" t="str">
        <f t="shared" si="90"/>
        <v>Classic Cars</v>
      </c>
      <c r="E1156" t="s">
        <v>311</v>
      </c>
      <c r="F1156" s="5">
        <v>3924.6</v>
      </c>
      <c r="G1156" s="5">
        <v>784.92000000000007</v>
      </c>
      <c r="I1156" t="str">
        <f t="shared" si="91"/>
        <v>Low Sales</v>
      </c>
      <c r="J1156" t="str">
        <f t="shared" si="92"/>
        <v>Average Performance</v>
      </c>
      <c r="K1156">
        <f t="shared" si="93"/>
        <v>2004</v>
      </c>
      <c r="L1156" t="str">
        <f t="shared" si="94"/>
        <v>August</v>
      </c>
    </row>
    <row r="1157" spans="1:12" x14ac:dyDescent="0.25">
      <c r="A1157" t="s">
        <v>117</v>
      </c>
      <c r="B1157" t="s">
        <v>258</v>
      </c>
      <c r="C1157" t="s">
        <v>262</v>
      </c>
      <c r="D1157" t="str">
        <f t="shared" si="90"/>
        <v>Classic Cars</v>
      </c>
      <c r="E1157" t="s">
        <v>311</v>
      </c>
      <c r="F1157" s="5">
        <v>6761.6</v>
      </c>
      <c r="G1157" s="5">
        <v>1352.32</v>
      </c>
      <c r="I1157" t="str">
        <f t="shared" si="91"/>
        <v>Low Sales</v>
      </c>
      <c r="J1157" t="str">
        <f t="shared" si="92"/>
        <v>Average Performance</v>
      </c>
      <c r="K1157">
        <f t="shared" si="93"/>
        <v>2004</v>
      </c>
      <c r="L1157" t="str">
        <f t="shared" si="94"/>
        <v>August</v>
      </c>
    </row>
    <row r="1158" spans="1:12" x14ac:dyDescent="0.25">
      <c r="A1158" t="s">
        <v>118</v>
      </c>
      <c r="B1158" t="s">
        <v>258</v>
      </c>
      <c r="C1158" t="s">
        <v>262</v>
      </c>
      <c r="D1158" t="str">
        <f t="shared" si="90"/>
        <v>Classic Cars</v>
      </c>
      <c r="E1158" t="s">
        <v>311</v>
      </c>
      <c r="F1158" s="5">
        <v>3786.49</v>
      </c>
      <c r="G1158" s="5">
        <v>757.298</v>
      </c>
      <c r="I1158" t="str">
        <f t="shared" si="91"/>
        <v>Low Sales</v>
      </c>
      <c r="J1158" t="str">
        <f t="shared" si="92"/>
        <v>Average Performance</v>
      </c>
      <c r="K1158">
        <f t="shared" si="93"/>
        <v>2003</v>
      </c>
      <c r="L1158" t="str">
        <f t="shared" si="94"/>
        <v>October</v>
      </c>
    </row>
    <row r="1159" spans="1:12" x14ac:dyDescent="0.25">
      <c r="A1159" t="s">
        <v>119</v>
      </c>
      <c r="B1159" t="s">
        <v>258</v>
      </c>
      <c r="C1159" t="s">
        <v>262</v>
      </c>
      <c r="D1159" t="str">
        <f t="shared" si="90"/>
        <v>Classic Cars</v>
      </c>
      <c r="E1159" t="s">
        <v>311</v>
      </c>
      <c r="F1159" s="5">
        <v>6266.12</v>
      </c>
      <c r="G1159" s="5">
        <v>1253.2239999999999</v>
      </c>
      <c r="I1159" t="str">
        <f t="shared" si="91"/>
        <v>Low Sales</v>
      </c>
      <c r="J1159" t="str">
        <f t="shared" si="92"/>
        <v>Average Performance</v>
      </c>
      <c r="K1159">
        <f t="shared" si="93"/>
        <v>2004</v>
      </c>
      <c r="L1159" t="str">
        <f t="shared" si="94"/>
        <v>October</v>
      </c>
    </row>
    <row r="1160" spans="1:12" x14ac:dyDescent="0.25">
      <c r="A1160" t="s">
        <v>120</v>
      </c>
      <c r="B1160" t="s">
        <v>258</v>
      </c>
      <c r="C1160" t="s">
        <v>262</v>
      </c>
      <c r="D1160" t="str">
        <f t="shared" si="90"/>
        <v>Classic Cars</v>
      </c>
      <c r="E1160" t="s">
        <v>311</v>
      </c>
      <c r="F1160" s="5">
        <v>3491</v>
      </c>
      <c r="G1160" s="5">
        <v>698.2</v>
      </c>
      <c r="I1160" t="str">
        <f t="shared" si="91"/>
        <v>Low Sales</v>
      </c>
      <c r="J1160" t="str">
        <f t="shared" si="92"/>
        <v>Average Performance</v>
      </c>
      <c r="K1160">
        <f t="shared" si="93"/>
        <v>2004</v>
      </c>
      <c r="L1160" t="str">
        <f t="shared" si="94"/>
        <v>November</v>
      </c>
    </row>
    <row r="1161" spans="1:12" x14ac:dyDescent="0.25">
      <c r="A1161" t="s">
        <v>233</v>
      </c>
      <c r="B1161" t="s">
        <v>260</v>
      </c>
      <c r="C1161" t="s">
        <v>262</v>
      </c>
      <c r="D1161" t="str">
        <f t="shared" si="90"/>
        <v>Classic Cars</v>
      </c>
      <c r="E1161" t="s">
        <v>311</v>
      </c>
      <c r="F1161" s="5">
        <v>4405.22</v>
      </c>
      <c r="G1161" s="5">
        <v>881.0440000000001</v>
      </c>
      <c r="I1161" t="str">
        <f t="shared" si="91"/>
        <v>Low Sales</v>
      </c>
      <c r="J1161" t="str">
        <f t="shared" si="92"/>
        <v>Average Performance</v>
      </c>
      <c r="K1161">
        <f t="shared" si="93"/>
        <v>2004</v>
      </c>
      <c r="L1161" t="str">
        <f t="shared" si="94"/>
        <v>November</v>
      </c>
    </row>
    <row r="1162" spans="1:12" x14ac:dyDescent="0.25">
      <c r="A1162" t="s">
        <v>26</v>
      </c>
      <c r="B1162" t="s">
        <v>259</v>
      </c>
      <c r="C1162" t="s">
        <v>262</v>
      </c>
      <c r="D1162" t="str">
        <f t="shared" si="90"/>
        <v>Classic Cars</v>
      </c>
      <c r="E1162" t="s">
        <v>311</v>
      </c>
      <c r="F1162" s="5">
        <v>6548.3</v>
      </c>
      <c r="G1162" s="5">
        <v>1309.6600000000001</v>
      </c>
      <c r="I1162" t="str">
        <f t="shared" si="91"/>
        <v>Low Sales</v>
      </c>
      <c r="J1162" t="str">
        <f t="shared" si="92"/>
        <v>Average Performance</v>
      </c>
      <c r="K1162">
        <f t="shared" si="93"/>
        <v>2004</v>
      </c>
      <c r="L1162" t="str">
        <f t="shared" si="94"/>
        <v>November</v>
      </c>
    </row>
    <row r="1163" spans="1:12" x14ac:dyDescent="0.25">
      <c r="A1163" t="s">
        <v>234</v>
      </c>
      <c r="B1163" t="s">
        <v>258</v>
      </c>
      <c r="C1163" t="s">
        <v>262</v>
      </c>
      <c r="D1163" t="str">
        <f t="shared" si="90"/>
        <v>Classic Cars</v>
      </c>
      <c r="E1163" t="s">
        <v>311</v>
      </c>
      <c r="F1163" s="5">
        <v>3177.91</v>
      </c>
      <c r="G1163" s="5">
        <v>635.58199999999999</v>
      </c>
      <c r="I1163" t="str">
        <f t="shared" si="91"/>
        <v>Low Sales</v>
      </c>
      <c r="J1163" t="str">
        <f t="shared" si="92"/>
        <v>Average Performance</v>
      </c>
      <c r="K1163">
        <f t="shared" si="93"/>
        <v>2004</v>
      </c>
      <c r="L1163" t="str">
        <f t="shared" si="94"/>
        <v>December</v>
      </c>
    </row>
    <row r="1164" spans="1:12" x14ac:dyDescent="0.25">
      <c r="A1164" t="s">
        <v>121</v>
      </c>
      <c r="B1164" t="s">
        <v>258</v>
      </c>
      <c r="C1164" t="s">
        <v>262</v>
      </c>
      <c r="D1164" t="str">
        <f t="shared" si="90"/>
        <v>Classic Cars</v>
      </c>
      <c r="E1164" t="s">
        <v>311</v>
      </c>
      <c r="F1164" s="5">
        <v>4142.6400000000003</v>
      </c>
      <c r="G1164" s="5">
        <v>828.52800000000013</v>
      </c>
      <c r="I1164" t="str">
        <f t="shared" si="91"/>
        <v>Low Sales</v>
      </c>
      <c r="J1164" t="str">
        <f t="shared" si="92"/>
        <v>Average Performance</v>
      </c>
      <c r="K1164">
        <f t="shared" si="93"/>
        <v>2005</v>
      </c>
      <c r="L1164" t="str">
        <f t="shared" si="94"/>
        <v>January</v>
      </c>
    </row>
    <row r="1165" spans="1:12" x14ac:dyDescent="0.25">
      <c r="A1165" t="s">
        <v>190</v>
      </c>
      <c r="B1165" t="s">
        <v>258</v>
      </c>
      <c r="C1165" t="s">
        <v>262</v>
      </c>
      <c r="D1165" t="str">
        <f t="shared" si="90"/>
        <v>Classic Cars</v>
      </c>
      <c r="E1165" t="s">
        <v>311</v>
      </c>
      <c r="F1165" s="5">
        <v>4149.07</v>
      </c>
      <c r="G1165" s="5">
        <v>829.81399999999996</v>
      </c>
      <c r="I1165" t="str">
        <f t="shared" si="91"/>
        <v>Low Sales</v>
      </c>
      <c r="J1165" t="str">
        <f t="shared" si="92"/>
        <v>Average Performance</v>
      </c>
      <c r="K1165">
        <f t="shared" si="93"/>
        <v>2005</v>
      </c>
      <c r="L1165" t="str">
        <f t="shared" si="94"/>
        <v>February</v>
      </c>
    </row>
    <row r="1166" spans="1:12" x14ac:dyDescent="0.25">
      <c r="A1166" t="s">
        <v>168</v>
      </c>
      <c r="C1166" t="s">
        <v>262</v>
      </c>
      <c r="D1166" t="str">
        <f t="shared" si="90"/>
        <v>Classic Cars</v>
      </c>
      <c r="E1166" t="s">
        <v>311</v>
      </c>
      <c r="F1166" s="5">
        <v>7397</v>
      </c>
      <c r="G1166" s="5">
        <v>1479.4</v>
      </c>
      <c r="I1166" t="str">
        <f t="shared" si="91"/>
        <v>Low Sales</v>
      </c>
      <c r="J1166" t="str">
        <f t="shared" si="92"/>
        <v>Average Performance</v>
      </c>
      <c r="K1166">
        <f t="shared" si="93"/>
        <v>2005</v>
      </c>
      <c r="L1166" t="str">
        <f t="shared" si="94"/>
        <v>March</v>
      </c>
    </row>
    <row r="1167" spans="1:12" x14ac:dyDescent="0.25">
      <c r="A1167" t="s">
        <v>157</v>
      </c>
      <c r="C1167" t="s">
        <v>262</v>
      </c>
      <c r="D1167" t="str">
        <f t="shared" si="90"/>
        <v>Classic Cars</v>
      </c>
      <c r="E1167" t="s">
        <v>312</v>
      </c>
      <c r="F1167" s="5">
        <v>6241.6</v>
      </c>
      <c r="G1167" s="5">
        <v>1248.32</v>
      </c>
      <c r="I1167" t="str">
        <f t="shared" si="91"/>
        <v>Low Sales</v>
      </c>
      <c r="J1167" t="str">
        <f t="shared" si="92"/>
        <v>Average Performance</v>
      </c>
      <c r="K1167">
        <f t="shared" si="93"/>
        <v>2003</v>
      </c>
      <c r="L1167" t="str">
        <f t="shared" si="94"/>
        <v>March</v>
      </c>
    </row>
    <row r="1168" spans="1:12" x14ac:dyDescent="0.25">
      <c r="A1168" t="s">
        <v>185</v>
      </c>
      <c r="B1168" t="s">
        <v>258</v>
      </c>
      <c r="C1168" t="s">
        <v>262</v>
      </c>
      <c r="D1168" t="str">
        <f t="shared" si="90"/>
        <v>Classic Cars</v>
      </c>
      <c r="E1168" t="s">
        <v>312</v>
      </c>
      <c r="F1168" s="5">
        <v>5331.88</v>
      </c>
      <c r="G1168" s="5">
        <v>1066.376</v>
      </c>
      <c r="I1168" t="str">
        <f t="shared" si="91"/>
        <v>Low Sales</v>
      </c>
      <c r="J1168" t="str">
        <f t="shared" si="92"/>
        <v>Average Performance</v>
      </c>
      <c r="K1168">
        <f t="shared" si="93"/>
        <v>2003</v>
      </c>
      <c r="L1168" t="str">
        <f t="shared" si="94"/>
        <v>May</v>
      </c>
    </row>
    <row r="1169" spans="1:12" x14ac:dyDescent="0.25">
      <c r="A1169" t="s">
        <v>186</v>
      </c>
      <c r="B1169" t="s">
        <v>258</v>
      </c>
      <c r="C1169" t="s">
        <v>262</v>
      </c>
      <c r="D1169" t="str">
        <f t="shared" si="90"/>
        <v>Classic Cars</v>
      </c>
      <c r="E1169" t="s">
        <v>312</v>
      </c>
      <c r="F1169" s="5">
        <v>5124.3</v>
      </c>
      <c r="G1169" s="5">
        <v>1024.8599999999999</v>
      </c>
      <c r="I1169" t="str">
        <f t="shared" si="91"/>
        <v>Low Sales</v>
      </c>
      <c r="J1169" t="str">
        <f t="shared" si="92"/>
        <v>Average Performance</v>
      </c>
      <c r="K1169">
        <f t="shared" si="93"/>
        <v>2003</v>
      </c>
      <c r="L1169" t="str">
        <f t="shared" si="94"/>
        <v>July</v>
      </c>
    </row>
    <row r="1170" spans="1:12" x14ac:dyDescent="0.25">
      <c r="A1170" t="s">
        <v>159</v>
      </c>
      <c r="B1170" t="s">
        <v>259</v>
      </c>
      <c r="C1170" t="s">
        <v>262</v>
      </c>
      <c r="D1170" t="str">
        <f t="shared" si="90"/>
        <v>Classic Cars</v>
      </c>
      <c r="E1170" t="s">
        <v>312</v>
      </c>
      <c r="F1170" s="5">
        <v>3639.44</v>
      </c>
      <c r="G1170" s="5">
        <v>727.88800000000003</v>
      </c>
      <c r="I1170" t="str">
        <f t="shared" si="91"/>
        <v>Low Sales</v>
      </c>
      <c r="J1170" t="str">
        <f t="shared" si="92"/>
        <v>Average Performance</v>
      </c>
      <c r="K1170">
        <f t="shared" si="93"/>
        <v>2003</v>
      </c>
      <c r="L1170" t="str">
        <f t="shared" si="94"/>
        <v>September</v>
      </c>
    </row>
    <row r="1171" spans="1:12" x14ac:dyDescent="0.25">
      <c r="A1171" t="s">
        <v>160</v>
      </c>
      <c r="B1171" t="s">
        <v>258</v>
      </c>
      <c r="C1171" t="s">
        <v>262</v>
      </c>
      <c r="D1171" t="str">
        <f t="shared" si="90"/>
        <v>Classic Cars</v>
      </c>
      <c r="E1171" t="s">
        <v>312</v>
      </c>
      <c r="F1171" s="5">
        <v>5544</v>
      </c>
      <c r="G1171" s="5">
        <v>1108.8</v>
      </c>
      <c r="I1171" t="str">
        <f t="shared" si="91"/>
        <v>Low Sales</v>
      </c>
      <c r="J1171" t="str">
        <f t="shared" si="92"/>
        <v>Average Performance</v>
      </c>
      <c r="K1171">
        <f t="shared" si="93"/>
        <v>2003</v>
      </c>
      <c r="L1171" t="str">
        <f t="shared" si="94"/>
        <v>October</v>
      </c>
    </row>
    <row r="1172" spans="1:12" x14ac:dyDescent="0.25">
      <c r="A1172" t="s">
        <v>161</v>
      </c>
      <c r="C1172" t="s">
        <v>262</v>
      </c>
      <c r="D1172" t="str">
        <f t="shared" si="90"/>
        <v>Classic Cars</v>
      </c>
      <c r="E1172" t="s">
        <v>312</v>
      </c>
      <c r="F1172" s="5">
        <v>5493.12</v>
      </c>
      <c r="G1172" s="5">
        <v>1098.624</v>
      </c>
      <c r="I1172" t="str">
        <f t="shared" si="91"/>
        <v>Low Sales</v>
      </c>
      <c r="J1172" t="str">
        <f t="shared" si="92"/>
        <v>Average Performance</v>
      </c>
      <c r="K1172">
        <f t="shared" si="93"/>
        <v>2003</v>
      </c>
      <c r="L1172" t="str">
        <f t="shared" si="94"/>
        <v>November</v>
      </c>
    </row>
    <row r="1173" spans="1:12" x14ac:dyDescent="0.25">
      <c r="A1173" t="s">
        <v>109</v>
      </c>
      <c r="B1173" t="s">
        <v>258</v>
      </c>
      <c r="C1173" t="s">
        <v>262</v>
      </c>
      <c r="D1173" t="str">
        <f t="shared" si="90"/>
        <v>Classic Cars</v>
      </c>
      <c r="E1173" t="s">
        <v>312</v>
      </c>
      <c r="F1173" s="5">
        <v>5785.26</v>
      </c>
      <c r="G1173" s="5">
        <v>1157.0519999999999</v>
      </c>
      <c r="I1173" t="str">
        <f t="shared" si="91"/>
        <v>Low Sales</v>
      </c>
      <c r="J1173" t="str">
        <f t="shared" si="92"/>
        <v>Average Performance</v>
      </c>
      <c r="K1173">
        <f t="shared" si="93"/>
        <v>2003</v>
      </c>
      <c r="L1173" t="str">
        <f t="shared" si="94"/>
        <v>November</v>
      </c>
    </row>
    <row r="1174" spans="1:12" x14ac:dyDescent="0.25">
      <c r="A1174" t="s">
        <v>110</v>
      </c>
      <c r="C1174" t="s">
        <v>262</v>
      </c>
      <c r="D1174" t="str">
        <f t="shared" si="90"/>
        <v>Classic Cars</v>
      </c>
      <c r="E1174" t="s">
        <v>312</v>
      </c>
      <c r="F1174" s="5">
        <v>5340.6</v>
      </c>
      <c r="G1174" s="5">
        <v>1068.1199999999999</v>
      </c>
      <c r="I1174" t="str">
        <f t="shared" si="91"/>
        <v>Low Sales</v>
      </c>
      <c r="J1174" t="str">
        <f t="shared" si="92"/>
        <v>Average Performance</v>
      </c>
      <c r="K1174">
        <f t="shared" si="93"/>
        <v>2003</v>
      </c>
      <c r="L1174" t="str">
        <f t="shared" si="94"/>
        <v>November</v>
      </c>
    </row>
    <row r="1175" spans="1:12" x14ac:dyDescent="0.25">
      <c r="A1175" t="s">
        <v>111</v>
      </c>
      <c r="C1175" t="s">
        <v>262</v>
      </c>
      <c r="D1175" t="str">
        <f t="shared" si="90"/>
        <v>Classic Cars</v>
      </c>
      <c r="E1175" t="s">
        <v>312</v>
      </c>
      <c r="F1175" s="5">
        <v>5735.8</v>
      </c>
      <c r="G1175" s="5">
        <v>1147.1600000000001</v>
      </c>
      <c r="I1175" t="str">
        <f t="shared" si="91"/>
        <v>Low Sales</v>
      </c>
      <c r="J1175" t="str">
        <f t="shared" si="92"/>
        <v>Average Performance</v>
      </c>
      <c r="K1175">
        <f t="shared" si="93"/>
        <v>2003</v>
      </c>
      <c r="L1175" t="str">
        <f t="shared" si="94"/>
        <v>December</v>
      </c>
    </row>
    <row r="1176" spans="1:12" x14ac:dyDescent="0.25">
      <c r="A1176" t="s">
        <v>144</v>
      </c>
      <c r="B1176" t="s">
        <v>258</v>
      </c>
      <c r="C1176" t="s">
        <v>262</v>
      </c>
      <c r="D1176" t="str">
        <f t="shared" si="90"/>
        <v>Classic Cars</v>
      </c>
      <c r="E1176" t="s">
        <v>312</v>
      </c>
      <c r="F1176" s="5">
        <v>6357.6</v>
      </c>
      <c r="G1176" s="5">
        <v>1271.52</v>
      </c>
      <c r="I1176" t="str">
        <f t="shared" si="91"/>
        <v>Low Sales</v>
      </c>
      <c r="J1176" t="str">
        <f t="shared" si="92"/>
        <v>Average Performance</v>
      </c>
      <c r="K1176">
        <f t="shared" si="93"/>
        <v>2004</v>
      </c>
      <c r="L1176" t="str">
        <f t="shared" si="94"/>
        <v>January</v>
      </c>
    </row>
    <row r="1177" spans="1:12" x14ac:dyDescent="0.25">
      <c r="A1177" t="s">
        <v>187</v>
      </c>
      <c r="C1177" t="s">
        <v>262</v>
      </c>
      <c r="D1177" t="str">
        <f t="shared" si="90"/>
        <v>Classic Cars</v>
      </c>
      <c r="E1177" t="s">
        <v>312</v>
      </c>
      <c r="F1177" s="5">
        <v>7343.9</v>
      </c>
      <c r="G1177" s="5">
        <v>1468.78</v>
      </c>
      <c r="I1177" t="str">
        <f t="shared" si="91"/>
        <v>Low Sales</v>
      </c>
      <c r="J1177" t="str">
        <f t="shared" si="92"/>
        <v>Average Performance</v>
      </c>
      <c r="K1177">
        <f t="shared" si="93"/>
        <v>2004</v>
      </c>
      <c r="L1177" t="str">
        <f t="shared" si="94"/>
        <v>February</v>
      </c>
    </row>
    <row r="1178" spans="1:12" x14ac:dyDescent="0.25">
      <c r="A1178" t="s">
        <v>162</v>
      </c>
      <c r="B1178" t="s">
        <v>260</v>
      </c>
      <c r="C1178" t="s">
        <v>262</v>
      </c>
      <c r="D1178" t="str">
        <f t="shared" si="90"/>
        <v>Classic Cars</v>
      </c>
      <c r="E1178" t="s">
        <v>312</v>
      </c>
      <c r="F1178" s="5">
        <v>5959.22</v>
      </c>
      <c r="G1178" s="5">
        <v>1191.8440000000001</v>
      </c>
      <c r="I1178" t="str">
        <f t="shared" si="91"/>
        <v>Low Sales</v>
      </c>
      <c r="J1178" t="str">
        <f t="shared" si="92"/>
        <v>Average Performance</v>
      </c>
      <c r="K1178">
        <f t="shared" si="93"/>
        <v>2004</v>
      </c>
      <c r="L1178" t="str">
        <f t="shared" si="94"/>
        <v>April</v>
      </c>
    </row>
    <row r="1179" spans="1:12" x14ac:dyDescent="0.25">
      <c r="A1179" t="s">
        <v>114</v>
      </c>
      <c r="B1179" t="s">
        <v>258</v>
      </c>
      <c r="C1179" t="s">
        <v>262</v>
      </c>
      <c r="D1179" t="str">
        <f t="shared" si="90"/>
        <v>Classic Cars</v>
      </c>
      <c r="E1179" t="s">
        <v>312</v>
      </c>
      <c r="F1179" s="5">
        <v>4029.38</v>
      </c>
      <c r="G1179" s="5">
        <v>805.87600000000009</v>
      </c>
      <c r="I1179" t="str">
        <f t="shared" si="91"/>
        <v>Low Sales</v>
      </c>
      <c r="J1179" t="str">
        <f t="shared" si="92"/>
        <v>Average Performance</v>
      </c>
      <c r="K1179">
        <f t="shared" si="93"/>
        <v>2004</v>
      </c>
      <c r="L1179" t="str">
        <f t="shared" si="94"/>
        <v>June</v>
      </c>
    </row>
    <row r="1180" spans="1:12" x14ac:dyDescent="0.25">
      <c r="A1180" t="s">
        <v>115</v>
      </c>
      <c r="B1180" t="s">
        <v>258</v>
      </c>
      <c r="C1180" t="s">
        <v>262</v>
      </c>
      <c r="D1180" t="str">
        <f t="shared" si="90"/>
        <v>Classic Cars</v>
      </c>
      <c r="E1180" t="s">
        <v>312</v>
      </c>
      <c r="F1180" s="5">
        <v>5035.1400000000003</v>
      </c>
      <c r="G1180" s="5">
        <v>1007.028</v>
      </c>
      <c r="I1180" t="str">
        <f t="shared" si="91"/>
        <v>Low Sales</v>
      </c>
      <c r="J1180" t="str">
        <f t="shared" si="92"/>
        <v>Average Performance</v>
      </c>
      <c r="K1180">
        <f t="shared" si="93"/>
        <v>2004</v>
      </c>
      <c r="L1180" t="str">
        <f t="shared" si="94"/>
        <v>July</v>
      </c>
    </row>
    <row r="1181" spans="1:12" x14ac:dyDescent="0.25">
      <c r="A1181" t="s">
        <v>163</v>
      </c>
      <c r="C1181" t="s">
        <v>262</v>
      </c>
      <c r="D1181" t="str">
        <f t="shared" si="90"/>
        <v>Classic Cars</v>
      </c>
      <c r="E1181" t="s">
        <v>312</v>
      </c>
      <c r="F1181" s="5">
        <v>4116.8</v>
      </c>
      <c r="G1181" s="5">
        <v>823.36000000000013</v>
      </c>
      <c r="I1181" t="str">
        <f t="shared" si="91"/>
        <v>Low Sales</v>
      </c>
      <c r="J1181" t="str">
        <f t="shared" si="92"/>
        <v>Average Performance</v>
      </c>
      <c r="K1181">
        <f t="shared" si="93"/>
        <v>2004</v>
      </c>
      <c r="L1181" t="str">
        <f t="shared" si="94"/>
        <v>August</v>
      </c>
    </row>
    <row r="1182" spans="1:12" x14ac:dyDescent="0.25">
      <c r="A1182" t="s">
        <v>117</v>
      </c>
      <c r="B1182" t="s">
        <v>258</v>
      </c>
      <c r="C1182" t="s">
        <v>262</v>
      </c>
      <c r="D1182" t="str">
        <f t="shared" si="90"/>
        <v>Classic Cars</v>
      </c>
      <c r="E1182" t="s">
        <v>312</v>
      </c>
      <c r="F1182" s="5">
        <v>4310.55</v>
      </c>
      <c r="G1182" s="5">
        <v>862.11000000000013</v>
      </c>
      <c r="I1182" t="str">
        <f t="shared" si="91"/>
        <v>Low Sales</v>
      </c>
      <c r="J1182" t="str">
        <f t="shared" si="92"/>
        <v>Average Performance</v>
      </c>
      <c r="K1182">
        <f t="shared" si="93"/>
        <v>2004</v>
      </c>
      <c r="L1182" t="str">
        <f t="shared" si="94"/>
        <v>August</v>
      </c>
    </row>
    <row r="1183" spans="1:12" x14ac:dyDescent="0.25">
      <c r="A1183" t="s">
        <v>164</v>
      </c>
      <c r="B1183" t="s">
        <v>258</v>
      </c>
      <c r="C1183" t="s">
        <v>262</v>
      </c>
      <c r="D1183" t="str">
        <f t="shared" si="90"/>
        <v>Classic Cars</v>
      </c>
      <c r="E1183" t="s">
        <v>312</v>
      </c>
      <c r="F1183" s="5">
        <v>6446.7</v>
      </c>
      <c r="G1183" s="5">
        <v>1289.3399999999999</v>
      </c>
      <c r="I1183" t="str">
        <f t="shared" si="91"/>
        <v>Low Sales</v>
      </c>
      <c r="J1183" t="str">
        <f t="shared" si="92"/>
        <v>Average Performance</v>
      </c>
      <c r="K1183">
        <f t="shared" si="93"/>
        <v>2003</v>
      </c>
      <c r="L1183" t="str">
        <f t="shared" si="94"/>
        <v>October</v>
      </c>
    </row>
    <row r="1184" spans="1:12" x14ac:dyDescent="0.25">
      <c r="A1184" t="s">
        <v>119</v>
      </c>
      <c r="B1184" t="s">
        <v>258</v>
      </c>
      <c r="C1184" t="s">
        <v>262</v>
      </c>
      <c r="D1184" t="str">
        <f t="shared" si="90"/>
        <v>Classic Cars</v>
      </c>
      <c r="E1184" t="s">
        <v>312</v>
      </c>
      <c r="F1184" s="5">
        <v>3616.64</v>
      </c>
      <c r="G1184" s="5">
        <v>723.32799999999997</v>
      </c>
      <c r="I1184" t="str">
        <f t="shared" si="91"/>
        <v>Low Sales</v>
      </c>
      <c r="J1184" t="str">
        <f t="shared" si="92"/>
        <v>Average Performance</v>
      </c>
      <c r="K1184">
        <f t="shared" si="93"/>
        <v>2004</v>
      </c>
      <c r="L1184" t="str">
        <f t="shared" si="94"/>
        <v>October</v>
      </c>
    </row>
    <row r="1185" spans="1:12" x14ac:dyDescent="0.25">
      <c r="A1185" t="s">
        <v>51</v>
      </c>
      <c r="C1185" t="s">
        <v>262</v>
      </c>
      <c r="D1185" t="str">
        <f t="shared" si="90"/>
        <v>Classic Cars</v>
      </c>
      <c r="E1185" t="s">
        <v>312</v>
      </c>
      <c r="F1185" s="5">
        <v>4232.76</v>
      </c>
      <c r="G1185" s="5">
        <v>846.55200000000013</v>
      </c>
      <c r="I1185" t="str">
        <f t="shared" si="91"/>
        <v>Low Sales</v>
      </c>
      <c r="J1185" t="str">
        <f t="shared" si="92"/>
        <v>Average Performance</v>
      </c>
      <c r="K1185">
        <f t="shared" si="93"/>
        <v>2004</v>
      </c>
      <c r="L1185" t="str">
        <f t="shared" si="94"/>
        <v>November</v>
      </c>
    </row>
    <row r="1186" spans="1:12" x14ac:dyDescent="0.25">
      <c r="A1186" t="s">
        <v>165</v>
      </c>
      <c r="C1186" t="s">
        <v>262</v>
      </c>
      <c r="D1186" t="str">
        <f t="shared" si="90"/>
        <v>Classic Cars</v>
      </c>
      <c r="E1186" t="s">
        <v>312</v>
      </c>
      <c r="F1186" s="5">
        <v>1765.66</v>
      </c>
      <c r="G1186" s="5">
        <v>353.13200000000012</v>
      </c>
      <c r="I1186" t="str">
        <f t="shared" si="91"/>
        <v>Low Sales</v>
      </c>
      <c r="J1186" t="str">
        <f t="shared" si="92"/>
        <v>Average Performance</v>
      </c>
      <c r="K1186">
        <f t="shared" si="93"/>
        <v>2004</v>
      </c>
      <c r="L1186" t="str">
        <f t="shared" si="94"/>
        <v>November</v>
      </c>
    </row>
    <row r="1187" spans="1:12" x14ac:dyDescent="0.25">
      <c r="A1187" t="s">
        <v>26</v>
      </c>
      <c r="B1187" t="s">
        <v>258</v>
      </c>
      <c r="C1187" t="s">
        <v>262</v>
      </c>
      <c r="D1187" t="str">
        <f t="shared" si="90"/>
        <v>Classic Cars</v>
      </c>
      <c r="E1187" t="s">
        <v>312</v>
      </c>
      <c r="F1187" s="5">
        <v>3734.72</v>
      </c>
      <c r="G1187" s="5">
        <v>746.94399999999996</v>
      </c>
      <c r="I1187" t="str">
        <f t="shared" si="91"/>
        <v>Low Sales</v>
      </c>
      <c r="J1187" t="str">
        <f t="shared" si="92"/>
        <v>Average Performance</v>
      </c>
      <c r="K1187">
        <f t="shared" si="93"/>
        <v>2004</v>
      </c>
      <c r="L1187" t="str">
        <f t="shared" si="94"/>
        <v>November</v>
      </c>
    </row>
    <row r="1188" spans="1:12" x14ac:dyDescent="0.25">
      <c r="A1188" t="s">
        <v>189</v>
      </c>
      <c r="C1188" t="s">
        <v>262</v>
      </c>
      <c r="D1188" t="str">
        <f t="shared" si="90"/>
        <v>Classic Cars</v>
      </c>
      <c r="E1188" t="s">
        <v>312</v>
      </c>
      <c r="F1188" s="5">
        <v>4808.38</v>
      </c>
      <c r="G1188" s="5">
        <v>961.67600000000004</v>
      </c>
      <c r="I1188" t="str">
        <f t="shared" si="91"/>
        <v>Low Sales</v>
      </c>
      <c r="J1188" t="str">
        <f t="shared" si="92"/>
        <v>Average Performance</v>
      </c>
      <c r="K1188">
        <f t="shared" si="93"/>
        <v>2005</v>
      </c>
      <c r="L1188" t="str">
        <f t="shared" si="94"/>
        <v>January</v>
      </c>
    </row>
    <row r="1189" spans="1:12" x14ac:dyDescent="0.25">
      <c r="A1189" t="s">
        <v>190</v>
      </c>
      <c r="B1189" t="s">
        <v>258</v>
      </c>
      <c r="C1189" t="s">
        <v>262</v>
      </c>
      <c r="D1189" t="str">
        <f t="shared" si="90"/>
        <v>Classic Cars</v>
      </c>
      <c r="E1189" t="s">
        <v>312</v>
      </c>
      <c r="F1189" s="5">
        <v>2266.56</v>
      </c>
      <c r="G1189" s="5">
        <v>453.31200000000001</v>
      </c>
      <c r="I1189" t="str">
        <f t="shared" si="91"/>
        <v>Low Sales</v>
      </c>
      <c r="J1189" t="str">
        <f t="shared" si="92"/>
        <v>Average Performance</v>
      </c>
      <c r="K1189">
        <f t="shared" si="93"/>
        <v>2005</v>
      </c>
      <c r="L1189" t="str">
        <f t="shared" si="94"/>
        <v>February</v>
      </c>
    </row>
    <row r="1190" spans="1:12" x14ac:dyDescent="0.25">
      <c r="A1190" t="s">
        <v>169</v>
      </c>
      <c r="B1190" t="s">
        <v>258</v>
      </c>
      <c r="C1190" t="s">
        <v>262</v>
      </c>
      <c r="D1190" t="str">
        <f t="shared" si="90"/>
        <v>Classic Cars</v>
      </c>
      <c r="E1190" t="s">
        <v>312</v>
      </c>
      <c r="F1190" s="5">
        <v>10468.9</v>
      </c>
      <c r="G1190" s="5">
        <v>2093.7800000000002</v>
      </c>
      <c r="I1190" t="str">
        <f t="shared" si="91"/>
        <v>Low Sales</v>
      </c>
      <c r="J1190" t="str">
        <f t="shared" si="92"/>
        <v>Average Performance</v>
      </c>
      <c r="K1190">
        <f t="shared" si="93"/>
        <v>2005</v>
      </c>
      <c r="L1190" t="str">
        <f t="shared" si="94"/>
        <v>April</v>
      </c>
    </row>
    <row r="1191" spans="1:12" x14ac:dyDescent="0.25">
      <c r="A1191" t="s">
        <v>122</v>
      </c>
      <c r="B1191" t="s">
        <v>258</v>
      </c>
      <c r="C1191" t="s">
        <v>262</v>
      </c>
      <c r="D1191" t="str">
        <f t="shared" si="90"/>
        <v>Classic Cars</v>
      </c>
      <c r="E1191" t="s">
        <v>312</v>
      </c>
      <c r="F1191" s="5">
        <v>5589.14</v>
      </c>
      <c r="G1191" s="5">
        <v>1117.828</v>
      </c>
      <c r="I1191" t="str">
        <f t="shared" si="91"/>
        <v>Low Sales</v>
      </c>
      <c r="J1191" t="str">
        <f t="shared" si="92"/>
        <v>Average Performance</v>
      </c>
      <c r="K1191">
        <f t="shared" si="93"/>
        <v>2005</v>
      </c>
      <c r="L1191" t="str">
        <f t="shared" si="94"/>
        <v>May</v>
      </c>
    </row>
    <row r="1192" spans="1:12" x14ac:dyDescent="0.25">
      <c r="A1192" t="s">
        <v>104</v>
      </c>
      <c r="B1192" t="s">
        <v>260</v>
      </c>
      <c r="C1192" t="s">
        <v>261</v>
      </c>
      <c r="D1192" t="str">
        <f t="shared" si="90"/>
        <v>Motorcycles</v>
      </c>
      <c r="E1192" t="s">
        <v>313</v>
      </c>
      <c r="F1192" s="5">
        <v>2914.11</v>
      </c>
      <c r="G1192" s="5">
        <v>582.822</v>
      </c>
      <c r="I1192" t="str">
        <f t="shared" si="91"/>
        <v>Low Sales</v>
      </c>
      <c r="J1192" t="str">
        <f t="shared" si="92"/>
        <v>Average Performance</v>
      </c>
      <c r="K1192">
        <f t="shared" si="93"/>
        <v>2003</v>
      </c>
      <c r="L1192" t="str">
        <f t="shared" si="94"/>
        <v>March</v>
      </c>
    </row>
    <row r="1193" spans="1:12" x14ac:dyDescent="0.25">
      <c r="A1193" t="s">
        <v>105</v>
      </c>
      <c r="B1193" t="s">
        <v>258</v>
      </c>
      <c r="C1193" t="s">
        <v>261</v>
      </c>
      <c r="D1193" t="str">
        <f t="shared" si="90"/>
        <v>Motorcycles</v>
      </c>
      <c r="E1193" t="s">
        <v>313</v>
      </c>
      <c r="F1193" s="5">
        <v>1740.9</v>
      </c>
      <c r="G1193" s="5">
        <v>348.18000000000012</v>
      </c>
      <c r="I1193" t="str">
        <f t="shared" si="91"/>
        <v>Low Sales</v>
      </c>
      <c r="J1193" t="str">
        <f t="shared" si="92"/>
        <v>Average Performance</v>
      </c>
      <c r="K1193">
        <f t="shared" si="93"/>
        <v>2003</v>
      </c>
      <c r="L1193" t="str">
        <f t="shared" si="94"/>
        <v>May</v>
      </c>
    </row>
    <row r="1194" spans="1:12" x14ac:dyDescent="0.25">
      <c r="A1194" t="s">
        <v>106</v>
      </c>
      <c r="C1194" t="s">
        <v>261</v>
      </c>
      <c r="D1194" t="str">
        <f t="shared" si="90"/>
        <v>Motorcycles</v>
      </c>
      <c r="E1194" t="s">
        <v>313</v>
      </c>
      <c r="F1194" s="5">
        <v>2266.1999999999998</v>
      </c>
      <c r="G1194" s="5">
        <v>453.24</v>
      </c>
      <c r="I1194" t="str">
        <f t="shared" si="91"/>
        <v>Low Sales</v>
      </c>
      <c r="J1194" t="str">
        <f t="shared" si="92"/>
        <v>Average Performance</v>
      </c>
      <c r="K1194">
        <f t="shared" si="93"/>
        <v>2003</v>
      </c>
      <c r="L1194" t="str">
        <f t="shared" si="94"/>
        <v>July</v>
      </c>
    </row>
    <row r="1195" spans="1:12" x14ac:dyDescent="0.25">
      <c r="A1195" t="s">
        <v>235</v>
      </c>
      <c r="C1195" t="s">
        <v>261</v>
      </c>
      <c r="D1195" t="str">
        <f t="shared" si="90"/>
        <v>Motorcycles</v>
      </c>
      <c r="E1195" t="s">
        <v>313</v>
      </c>
      <c r="F1195" s="5">
        <v>3155.58</v>
      </c>
      <c r="G1195" s="5">
        <v>631.11599999999999</v>
      </c>
      <c r="I1195" t="str">
        <f t="shared" si="91"/>
        <v>Low Sales</v>
      </c>
      <c r="J1195" t="str">
        <f t="shared" si="92"/>
        <v>Average Performance</v>
      </c>
      <c r="K1195">
        <f t="shared" si="93"/>
        <v>2003</v>
      </c>
      <c r="L1195" t="str">
        <f t="shared" si="94"/>
        <v>September</v>
      </c>
    </row>
    <row r="1196" spans="1:12" x14ac:dyDescent="0.25">
      <c r="A1196" t="s">
        <v>10</v>
      </c>
      <c r="C1196" t="s">
        <v>261</v>
      </c>
      <c r="D1196" t="str">
        <f t="shared" si="90"/>
        <v>Motorcycles</v>
      </c>
      <c r="E1196" t="s">
        <v>313</v>
      </c>
      <c r="F1196" s="5">
        <v>1357.86</v>
      </c>
      <c r="G1196" s="5">
        <v>271.572</v>
      </c>
      <c r="I1196" t="str">
        <f t="shared" si="91"/>
        <v>Low Sales</v>
      </c>
      <c r="J1196" t="str">
        <f t="shared" si="92"/>
        <v>Average Performance</v>
      </c>
      <c r="K1196">
        <f t="shared" si="93"/>
        <v>2003</v>
      </c>
      <c r="L1196" t="str">
        <f t="shared" si="94"/>
        <v>October</v>
      </c>
    </row>
    <row r="1197" spans="1:12" x14ac:dyDescent="0.25">
      <c r="A1197" t="s">
        <v>108</v>
      </c>
      <c r="B1197" t="s">
        <v>259</v>
      </c>
      <c r="C1197" t="s">
        <v>261</v>
      </c>
      <c r="D1197" t="str">
        <f t="shared" si="90"/>
        <v>Motorcycles</v>
      </c>
      <c r="E1197" t="s">
        <v>313</v>
      </c>
      <c r="F1197" s="5">
        <v>2598.8200000000002</v>
      </c>
      <c r="G1197" s="5">
        <v>519.76400000000001</v>
      </c>
      <c r="I1197" t="str">
        <f t="shared" si="91"/>
        <v>Low Sales</v>
      </c>
      <c r="J1197" t="str">
        <f t="shared" si="92"/>
        <v>Average Performance</v>
      </c>
      <c r="K1197">
        <f t="shared" si="93"/>
        <v>2003</v>
      </c>
      <c r="L1197" t="str">
        <f t="shared" si="94"/>
        <v>November</v>
      </c>
    </row>
    <row r="1198" spans="1:12" x14ac:dyDescent="0.25">
      <c r="A1198" t="s">
        <v>12</v>
      </c>
      <c r="B1198" t="s">
        <v>258</v>
      </c>
      <c r="C1198" t="s">
        <v>261</v>
      </c>
      <c r="D1198" t="str">
        <f t="shared" si="90"/>
        <v>Motorcycles</v>
      </c>
      <c r="E1198" t="s">
        <v>313</v>
      </c>
      <c r="F1198" s="5">
        <v>1057.56</v>
      </c>
      <c r="G1198" s="5">
        <v>211.512</v>
      </c>
      <c r="I1198" t="str">
        <f t="shared" si="91"/>
        <v>Low Sales</v>
      </c>
      <c r="J1198" t="str">
        <f t="shared" si="92"/>
        <v>Average Performance</v>
      </c>
      <c r="K1198">
        <f t="shared" si="93"/>
        <v>2003</v>
      </c>
      <c r="L1198" t="str">
        <f t="shared" si="94"/>
        <v>November</v>
      </c>
    </row>
    <row r="1199" spans="1:12" x14ac:dyDescent="0.25">
      <c r="A1199" t="s">
        <v>110</v>
      </c>
      <c r="B1199" t="s">
        <v>258</v>
      </c>
      <c r="C1199" t="s">
        <v>261</v>
      </c>
      <c r="D1199" t="str">
        <f t="shared" si="90"/>
        <v>Motorcycles</v>
      </c>
      <c r="E1199" t="s">
        <v>313</v>
      </c>
      <c r="F1199" s="5">
        <v>3127.82</v>
      </c>
      <c r="G1199" s="5">
        <v>625.56400000000008</v>
      </c>
      <c r="I1199" t="str">
        <f t="shared" si="91"/>
        <v>Low Sales</v>
      </c>
      <c r="J1199" t="str">
        <f t="shared" si="92"/>
        <v>Average Performance</v>
      </c>
      <c r="K1199">
        <f t="shared" si="93"/>
        <v>2003</v>
      </c>
      <c r="L1199" t="str">
        <f t="shared" si="94"/>
        <v>November</v>
      </c>
    </row>
    <row r="1200" spans="1:12" x14ac:dyDescent="0.25">
      <c r="A1200" t="s">
        <v>15</v>
      </c>
      <c r="B1200" t="s">
        <v>258</v>
      </c>
      <c r="C1200" t="s">
        <v>261</v>
      </c>
      <c r="D1200" t="str">
        <f t="shared" si="90"/>
        <v>Motorcycles</v>
      </c>
      <c r="E1200" t="s">
        <v>313</v>
      </c>
      <c r="F1200" s="5">
        <v>2488.14</v>
      </c>
      <c r="G1200" s="5">
        <v>497.62799999999999</v>
      </c>
      <c r="I1200" t="str">
        <f t="shared" si="91"/>
        <v>Low Sales</v>
      </c>
      <c r="J1200" t="str">
        <f t="shared" si="92"/>
        <v>Average Performance</v>
      </c>
      <c r="K1200">
        <f t="shared" si="93"/>
        <v>2004</v>
      </c>
      <c r="L1200" t="str">
        <f t="shared" si="94"/>
        <v>January</v>
      </c>
    </row>
    <row r="1201" spans="1:12" x14ac:dyDescent="0.25">
      <c r="A1201" t="s">
        <v>139</v>
      </c>
      <c r="B1201" t="s">
        <v>258</v>
      </c>
      <c r="C1201" t="s">
        <v>261</v>
      </c>
      <c r="D1201" t="str">
        <f t="shared" si="90"/>
        <v>Motorcycles</v>
      </c>
      <c r="E1201" t="s">
        <v>313</v>
      </c>
      <c r="F1201" s="5">
        <v>2220.7199999999998</v>
      </c>
      <c r="G1201" s="5">
        <v>444.14400000000001</v>
      </c>
      <c r="I1201" t="str">
        <f t="shared" si="91"/>
        <v>Low Sales</v>
      </c>
      <c r="J1201" t="str">
        <f t="shared" si="92"/>
        <v>Average Performance</v>
      </c>
      <c r="K1201">
        <f t="shared" si="93"/>
        <v>2004</v>
      </c>
      <c r="L1201" t="str">
        <f t="shared" si="94"/>
        <v>February</v>
      </c>
    </row>
    <row r="1202" spans="1:12" x14ac:dyDescent="0.25">
      <c r="A1202" t="s">
        <v>17</v>
      </c>
      <c r="C1202" t="s">
        <v>261</v>
      </c>
      <c r="D1202" t="str">
        <f t="shared" si="90"/>
        <v>Motorcycles</v>
      </c>
      <c r="E1202" t="s">
        <v>313</v>
      </c>
      <c r="F1202" s="5">
        <v>1357.72</v>
      </c>
      <c r="G1202" s="5">
        <v>271.54399999999998</v>
      </c>
      <c r="I1202" t="str">
        <f t="shared" si="91"/>
        <v>Low Sales</v>
      </c>
      <c r="J1202" t="str">
        <f t="shared" si="92"/>
        <v>Average Performance</v>
      </c>
      <c r="K1202">
        <f t="shared" si="93"/>
        <v>2004</v>
      </c>
      <c r="L1202" t="str">
        <f t="shared" si="94"/>
        <v>April</v>
      </c>
    </row>
    <row r="1203" spans="1:12" x14ac:dyDescent="0.25">
      <c r="A1203" t="s">
        <v>230</v>
      </c>
      <c r="B1203" t="s">
        <v>258</v>
      </c>
      <c r="C1203" t="s">
        <v>261</v>
      </c>
      <c r="D1203" t="str">
        <f t="shared" si="90"/>
        <v>Motorcycles</v>
      </c>
      <c r="E1203" t="s">
        <v>313</v>
      </c>
      <c r="F1203" s="5">
        <v>1638.04</v>
      </c>
      <c r="G1203" s="5">
        <v>327.608</v>
      </c>
      <c r="I1203" t="str">
        <f t="shared" si="91"/>
        <v>Low Sales</v>
      </c>
      <c r="J1203" t="str">
        <f t="shared" si="92"/>
        <v>Average Performance</v>
      </c>
      <c r="K1203">
        <f t="shared" si="93"/>
        <v>2004</v>
      </c>
      <c r="L1203" t="str">
        <f t="shared" si="94"/>
        <v>May</v>
      </c>
    </row>
    <row r="1204" spans="1:12" x14ac:dyDescent="0.25">
      <c r="A1204" t="s">
        <v>236</v>
      </c>
      <c r="C1204" t="s">
        <v>261</v>
      </c>
      <c r="D1204" t="str">
        <f t="shared" si="90"/>
        <v>Motorcycles</v>
      </c>
      <c r="E1204" t="s">
        <v>313</v>
      </c>
      <c r="F1204" s="5">
        <v>2626.08</v>
      </c>
      <c r="G1204" s="5">
        <v>525.21600000000001</v>
      </c>
      <c r="I1204" t="str">
        <f t="shared" si="91"/>
        <v>Low Sales</v>
      </c>
      <c r="J1204" t="str">
        <f t="shared" si="92"/>
        <v>Average Performance</v>
      </c>
      <c r="K1204">
        <f t="shared" si="93"/>
        <v>2004</v>
      </c>
      <c r="L1204" t="str">
        <f t="shared" si="94"/>
        <v>June</v>
      </c>
    </row>
    <row r="1205" spans="1:12" x14ac:dyDescent="0.25">
      <c r="A1205" t="s">
        <v>116</v>
      </c>
      <c r="C1205" t="s">
        <v>261</v>
      </c>
      <c r="D1205" t="str">
        <f t="shared" si="90"/>
        <v>Motorcycles</v>
      </c>
      <c r="E1205" t="s">
        <v>313</v>
      </c>
      <c r="F1205" s="5">
        <v>1661.88</v>
      </c>
      <c r="G1205" s="5">
        <v>332.37599999999998</v>
      </c>
      <c r="I1205" t="str">
        <f t="shared" si="91"/>
        <v>Low Sales</v>
      </c>
      <c r="J1205" t="str">
        <f t="shared" si="92"/>
        <v>Average Performance</v>
      </c>
      <c r="K1205">
        <f t="shared" si="93"/>
        <v>2004</v>
      </c>
      <c r="L1205" t="str">
        <f t="shared" si="94"/>
        <v>August</v>
      </c>
    </row>
    <row r="1206" spans="1:12" x14ac:dyDescent="0.25">
      <c r="A1206" t="s">
        <v>237</v>
      </c>
      <c r="B1206" t="s">
        <v>258</v>
      </c>
      <c r="C1206" t="s">
        <v>261</v>
      </c>
      <c r="D1206" t="str">
        <f t="shared" si="90"/>
        <v>Motorcycles</v>
      </c>
      <c r="E1206" t="s">
        <v>313</v>
      </c>
      <c r="F1206" s="5">
        <v>2173.6</v>
      </c>
      <c r="G1206" s="5">
        <v>434.72</v>
      </c>
      <c r="I1206" t="str">
        <f t="shared" si="91"/>
        <v>Low Sales</v>
      </c>
      <c r="J1206" t="str">
        <f t="shared" si="92"/>
        <v>Average Performance</v>
      </c>
      <c r="K1206">
        <f t="shared" si="93"/>
        <v>2004</v>
      </c>
      <c r="L1206" t="str">
        <f t="shared" si="94"/>
        <v>August</v>
      </c>
    </row>
    <row r="1207" spans="1:12" x14ac:dyDescent="0.25">
      <c r="A1207" t="s">
        <v>22</v>
      </c>
      <c r="B1207" t="s">
        <v>258</v>
      </c>
      <c r="C1207" t="s">
        <v>261</v>
      </c>
      <c r="D1207" t="str">
        <f t="shared" si="90"/>
        <v>Motorcycles</v>
      </c>
      <c r="E1207" t="s">
        <v>313</v>
      </c>
      <c r="F1207" s="5">
        <v>2182.0500000000002</v>
      </c>
      <c r="G1207" s="5">
        <v>436.41000000000008</v>
      </c>
      <c r="I1207" t="str">
        <f t="shared" si="91"/>
        <v>Low Sales</v>
      </c>
      <c r="J1207" t="str">
        <f t="shared" si="92"/>
        <v>Average Performance</v>
      </c>
      <c r="K1207">
        <f t="shared" si="93"/>
        <v>2004</v>
      </c>
      <c r="L1207" t="str">
        <f t="shared" si="94"/>
        <v>September</v>
      </c>
    </row>
    <row r="1208" spans="1:12" x14ac:dyDescent="0.25">
      <c r="A1208" t="s">
        <v>119</v>
      </c>
      <c r="B1208" t="s">
        <v>258</v>
      </c>
      <c r="C1208" t="s">
        <v>261</v>
      </c>
      <c r="D1208" t="str">
        <f t="shared" si="90"/>
        <v>Motorcycles</v>
      </c>
      <c r="E1208" t="s">
        <v>313</v>
      </c>
      <c r="F1208" s="5">
        <v>2819.88</v>
      </c>
      <c r="G1208" s="5">
        <v>563.976</v>
      </c>
      <c r="I1208" t="str">
        <f t="shared" si="91"/>
        <v>Low Sales</v>
      </c>
      <c r="J1208" t="str">
        <f t="shared" si="92"/>
        <v>Average Performance</v>
      </c>
      <c r="K1208">
        <f t="shared" si="93"/>
        <v>2004</v>
      </c>
      <c r="L1208" t="str">
        <f t="shared" si="94"/>
        <v>October</v>
      </c>
    </row>
    <row r="1209" spans="1:12" x14ac:dyDescent="0.25">
      <c r="A1209" t="s">
        <v>120</v>
      </c>
      <c r="C1209" t="s">
        <v>261</v>
      </c>
      <c r="D1209" t="str">
        <f t="shared" si="90"/>
        <v>Motorcycles</v>
      </c>
      <c r="E1209" t="s">
        <v>313</v>
      </c>
      <c r="F1209" s="5">
        <v>2598.64</v>
      </c>
      <c r="G1209" s="5">
        <v>519.72799999999995</v>
      </c>
      <c r="I1209" t="str">
        <f t="shared" si="91"/>
        <v>Low Sales</v>
      </c>
      <c r="J1209" t="str">
        <f t="shared" si="92"/>
        <v>Average Performance</v>
      </c>
      <c r="K1209">
        <f t="shared" si="93"/>
        <v>2004</v>
      </c>
      <c r="L1209" t="str">
        <f t="shared" si="94"/>
        <v>November</v>
      </c>
    </row>
    <row r="1210" spans="1:12" x14ac:dyDescent="0.25">
      <c r="A1210" t="s">
        <v>233</v>
      </c>
      <c r="B1210" t="s">
        <v>260</v>
      </c>
      <c r="C1210" t="s">
        <v>261</v>
      </c>
      <c r="D1210" t="str">
        <f t="shared" si="90"/>
        <v>Motorcycles</v>
      </c>
      <c r="E1210" t="s">
        <v>313</v>
      </c>
      <c r="F1210" s="5">
        <v>2019.27</v>
      </c>
      <c r="G1210" s="5">
        <v>403.85399999999998</v>
      </c>
      <c r="I1210" t="str">
        <f t="shared" si="91"/>
        <v>Low Sales</v>
      </c>
      <c r="J1210" t="str">
        <f t="shared" si="92"/>
        <v>Average Performance</v>
      </c>
      <c r="K1210">
        <f t="shared" si="93"/>
        <v>2004</v>
      </c>
      <c r="L1210" t="str">
        <f t="shared" si="94"/>
        <v>November</v>
      </c>
    </row>
    <row r="1211" spans="1:12" x14ac:dyDescent="0.25">
      <c r="A1211" t="s">
        <v>26</v>
      </c>
      <c r="B1211" t="s">
        <v>259</v>
      </c>
      <c r="C1211" t="s">
        <v>261</v>
      </c>
      <c r="D1211" t="str">
        <f t="shared" si="90"/>
        <v>Motorcycles</v>
      </c>
      <c r="E1211" t="s">
        <v>313</v>
      </c>
      <c r="F1211" s="5">
        <v>1454.7</v>
      </c>
      <c r="G1211" s="5">
        <v>290.94</v>
      </c>
      <c r="I1211" t="str">
        <f t="shared" si="91"/>
        <v>Low Sales</v>
      </c>
      <c r="J1211" t="str">
        <f t="shared" si="92"/>
        <v>Average Performance</v>
      </c>
      <c r="K1211">
        <f t="shared" si="93"/>
        <v>2004</v>
      </c>
      <c r="L1211" t="str">
        <f t="shared" si="94"/>
        <v>November</v>
      </c>
    </row>
    <row r="1212" spans="1:12" x14ac:dyDescent="0.25">
      <c r="A1212" t="s">
        <v>234</v>
      </c>
      <c r="B1212" t="s">
        <v>258</v>
      </c>
      <c r="C1212" t="s">
        <v>261</v>
      </c>
      <c r="D1212" t="str">
        <f t="shared" si="90"/>
        <v>Motorcycles</v>
      </c>
      <c r="E1212" t="s">
        <v>313</v>
      </c>
      <c r="F1212" s="5">
        <v>1657.57</v>
      </c>
      <c r="G1212" s="5">
        <v>331.51400000000001</v>
      </c>
      <c r="I1212" t="str">
        <f t="shared" si="91"/>
        <v>Low Sales</v>
      </c>
      <c r="J1212" t="str">
        <f t="shared" si="92"/>
        <v>Average Performance</v>
      </c>
      <c r="K1212">
        <f t="shared" si="93"/>
        <v>2004</v>
      </c>
      <c r="L1212" t="str">
        <f t="shared" si="94"/>
        <v>December</v>
      </c>
    </row>
    <row r="1213" spans="1:12" x14ac:dyDescent="0.25">
      <c r="A1213" t="s">
        <v>121</v>
      </c>
      <c r="B1213" t="s">
        <v>258</v>
      </c>
      <c r="C1213" t="s">
        <v>261</v>
      </c>
      <c r="D1213" t="str">
        <f t="shared" si="90"/>
        <v>Motorcycles</v>
      </c>
      <c r="E1213" t="s">
        <v>313</v>
      </c>
      <c r="F1213" s="5">
        <v>2851.84</v>
      </c>
      <c r="G1213" s="5">
        <v>570.36800000000005</v>
      </c>
      <c r="I1213" t="str">
        <f t="shared" si="91"/>
        <v>Low Sales</v>
      </c>
      <c r="J1213" t="str">
        <f t="shared" si="92"/>
        <v>Average Performance</v>
      </c>
      <c r="K1213">
        <f t="shared" si="93"/>
        <v>2005</v>
      </c>
      <c r="L1213" t="str">
        <f t="shared" si="94"/>
        <v>January</v>
      </c>
    </row>
    <row r="1214" spans="1:12" x14ac:dyDescent="0.25">
      <c r="A1214" t="s">
        <v>190</v>
      </c>
      <c r="B1214" t="s">
        <v>258</v>
      </c>
      <c r="C1214" t="s">
        <v>261</v>
      </c>
      <c r="D1214" t="str">
        <f t="shared" si="90"/>
        <v>Motorcycles</v>
      </c>
      <c r="E1214" t="s">
        <v>313</v>
      </c>
      <c r="F1214" s="5">
        <v>4609.6400000000003</v>
      </c>
      <c r="G1214" s="5">
        <v>921.92800000000011</v>
      </c>
      <c r="I1214" t="str">
        <f t="shared" si="91"/>
        <v>Low Sales</v>
      </c>
      <c r="J1214" t="str">
        <f t="shared" si="92"/>
        <v>Average Performance</v>
      </c>
      <c r="K1214">
        <f t="shared" si="93"/>
        <v>2005</v>
      </c>
      <c r="L1214" t="str">
        <f t="shared" si="94"/>
        <v>February</v>
      </c>
    </row>
    <row r="1215" spans="1:12" x14ac:dyDescent="0.25">
      <c r="A1215" t="s">
        <v>168</v>
      </c>
      <c r="C1215" t="s">
        <v>261</v>
      </c>
      <c r="D1215" t="str">
        <f t="shared" si="90"/>
        <v>Motorcycles</v>
      </c>
      <c r="E1215" t="s">
        <v>313</v>
      </c>
      <c r="F1215" s="5">
        <v>5079.96</v>
      </c>
      <c r="G1215" s="5">
        <v>1015.992</v>
      </c>
      <c r="I1215" t="str">
        <f t="shared" si="91"/>
        <v>Low Sales</v>
      </c>
      <c r="J1215" t="str">
        <f t="shared" si="92"/>
        <v>Average Performance</v>
      </c>
      <c r="K1215">
        <f t="shared" si="93"/>
        <v>2005</v>
      </c>
      <c r="L1215" t="str">
        <f t="shared" si="94"/>
        <v>March</v>
      </c>
    </row>
    <row r="1216" spans="1:12" x14ac:dyDescent="0.25">
      <c r="A1216" t="s">
        <v>30</v>
      </c>
      <c r="B1216" t="s">
        <v>258</v>
      </c>
      <c r="C1216" t="s">
        <v>261</v>
      </c>
      <c r="D1216" t="str">
        <f t="shared" si="90"/>
        <v>Motorcycles</v>
      </c>
      <c r="E1216" t="s">
        <v>313</v>
      </c>
      <c r="F1216" s="5">
        <v>1879.92</v>
      </c>
      <c r="G1216" s="5">
        <v>375.98399999999998</v>
      </c>
      <c r="I1216" t="str">
        <f t="shared" si="91"/>
        <v>Low Sales</v>
      </c>
      <c r="J1216" t="str">
        <f t="shared" si="92"/>
        <v>Average Performance</v>
      </c>
      <c r="K1216">
        <f t="shared" si="93"/>
        <v>2005</v>
      </c>
      <c r="L1216" t="str">
        <f t="shared" si="94"/>
        <v>April</v>
      </c>
    </row>
    <row r="1217" spans="1:12" x14ac:dyDescent="0.25">
      <c r="A1217" t="s">
        <v>192</v>
      </c>
      <c r="B1217" t="s">
        <v>258</v>
      </c>
      <c r="C1217" t="s">
        <v>264</v>
      </c>
      <c r="D1217" t="str">
        <f t="shared" si="90"/>
        <v>Vintage Cars</v>
      </c>
      <c r="E1217" t="s">
        <v>314</v>
      </c>
      <c r="F1217" s="5">
        <v>4774.8599999999997</v>
      </c>
      <c r="G1217" s="5">
        <v>954.97199999999998</v>
      </c>
      <c r="I1217" t="str">
        <f t="shared" si="91"/>
        <v>Low Sales</v>
      </c>
      <c r="J1217" t="str">
        <f t="shared" si="92"/>
        <v>Average Performance</v>
      </c>
      <c r="K1217">
        <f t="shared" si="93"/>
        <v>2003</v>
      </c>
      <c r="L1217" t="str">
        <f t="shared" si="94"/>
        <v>February</v>
      </c>
    </row>
    <row r="1218" spans="1:12" x14ac:dyDescent="0.25">
      <c r="A1218" t="s">
        <v>69</v>
      </c>
      <c r="B1218" t="s">
        <v>258</v>
      </c>
      <c r="C1218" t="s">
        <v>264</v>
      </c>
      <c r="D1218" t="str">
        <f t="shared" si="90"/>
        <v>Vintage Cars</v>
      </c>
      <c r="E1218" t="s">
        <v>314</v>
      </c>
      <c r="F1218" s="5">
        <v>2687.04</v>
      </c>
      <c r="G1218" s="5">
        <v>537.40800000000002</v>
      </c>
      <c r="I1218" t="str">
        <f t="shared" si="91"/>
        <v>Low Sales</v>
      </c>
      <c r="J1218" t="str">
        <f t="shared" si="92"/>
        <v>Average Performance</v>
      </c>
      <c r="K1218">
        <f t="shared" si="93"/>
        <v>2003</v>
      </c>
      <c r="L1218" t="str">
        <f t="shared" si="94"/>
        <v>April</v>
      </c>
    </row>
    <row r="1219" spans="1:12" x14ac:dyDescent="0.25">
      <c r="A1219" t="s">
        <v>193</v>
      </c>
      <c r="C1219" t="s">
        <v>264</v>
      </c>
      <c r="D1219" t="str">
        <f t="shared" ref="D1219:D1282" si="95">PROPER(TRIM(C1219))</f>
        <v>Vintage Cars</v>
      </c>
      <c r="E1219" t="s">
        <v>314</v>
      </c>
      <c r="F1219" s="5">
        <v>3423.75</v>
      </c>
      <c r="G1219" s="5">
        <v>684.75</v>
      </c>
      <c r="I1219" t="str">
        <f t="shared" ref="I1219:I1282" si="96">IF(F1219&gt;50000,"High Sales","Low Sales")</f>
        <v>Low Sales</v>
      </c>
      <c r="J1219" t="str">
        <f t="shared" ref="J1219:J1282" si="97">IF(AND(F1219&gt;30000,G1219&gt;5000),"Good Performance","Average Performance")</f>
        <v>Average Performance</v>
      </c>
      <c r="K1219">
        <f t="shared" ref="K1219:K1282" si="98">YEAR(A1219)</f>
        <v>2003</v>
      </c>
      <c r="L1219" t="str">
        <f t="shared" ref="L1219:L1282" si="99">TEXT(A1219,"mmmm")</f>
        <v>June</v>
      </c>
    </row>
    <row r="1220" spans="1:12" x14ac:dyDescent="0.25">
      <c r="A1220" t="s">
        <v>71</v>
      </c>
      <c r="C1220" t="s">
        <v>264</v>
      </c>
      <c r="D1220" t="str">
        <f t="shared" si="95"/>
        <v>Vintage Cars</v>
      </c>
      <c r="E1220" t="s">
        <v>314</v>
      </c>
      <c r="F1220" s="5">
        <v>3455.76</v>
      </c>
      <c r="G1220" s="5">
        <v>691.15200000000004</v>
      </c>
      <c r="I1220" t="str">
        <f t="shared" si="96"/>
        <v>Low Sales</v>
      </c>
      <c r="J1220" t="str">
        <f t="shared" si="97"/>
        <v>Average Performance</v>
      </c>
      <c r="K1220">
        <f t="shared" si="98"/>
        <v>2003</v>
      </c>
      <c r="L1220" t="str">
        <f t="shared" si="99"/>
        <v>August</v>
      </c>
    </row>
    <row r="1221" spans="1:12" x14ac:dyDescent="0.25">
      <c r="A1221" t="s">
        <v>72</v>
      </c>
      <c r="B1221" t="s">
        <v>258</v>
      </c>
      <c r="C1221" t="s">
        <v>264</v>
      </c>
      <c r="D1221" t="str">
        <f t="shared" si="95"/>
        <v>Vintage Cars</v>
      </c>
      <c r="E1221" t="s">
        <v>314</v>
      </c>
      <c r="F1221" s="5">
        <v>3622.97</v>
      </c>
      <c r="G1221" s="5">
        <v>724.59400000000005</v>
      </c>
      <c r="I1221" t="str">
        <f t="shared" si="96"/>
        <v>Low Sales</v>
      </c>
      <c r="J1221" t="str">
        <f t="shared" si="97"/>
        <v>Average Performance</v>
      </c>
      <c r="K1221">
        <f t="shared" si="98"/>
        <v>2003</v>
      </c>
      <c r="L1221" t="str">
        <f t="shared" si="99"/>
        <v>October</v>
      </c>
    </row>
    <row r="1222" spans="1:12" x14ac:dyDescent="0.25">
      <c r="A1222" t="s">
        <v>73</v>
      </c>
      <c r="B1222" t="s">
        <v>258</v>
      </c>
      <c r="C1222" t="s">
        <v>264</v>
      </c>
      <c r="D1222" t="str">
        <f t="shared" si="95"/>
        <v>Vintage Cars</v>
      </c>
      <c r="E1222" t="s">
        <v>314</v>
      </c>
      <c r="F1222" s="5">
        <v>3599.58</v>
      </c>
      <c r="G1222" s="5">
        <v>719.91600000000005</v>
      </c>
      <c r="I1222" t="str">
        <f t="shared" si="96"/>
        <v>Low Sales</v>
      </c>
      <c r="J1222" t="str">
        <f t="shared" si="97"/>
        <v>Average Performance</v>
      </c>
      <c r="K1222">
        <f t="shared" si="98"/>
        <v>2003</v>
      </c>
      <c r="L1222" t="str">
        <f t="shared" si="99"/>
        <v>October</v>
      </c>
    </row>
    <row r="1223" spans="1:12" x14ac:dyDescent="0.25">
      <c r="A1223" t="s">
        <v>74</v>
      </c>
      <c r="B1223" t="s">
        <v>258</v>
      </c>
      <c r="C1223" t="s">
        <v>264</v>
      </c>
      <c r="D1223" t="str">
        <f t="shared" si="95"/>
        <v>Vintage Cars</v>
      </c>
      <c r="E1223" t="s">
        <v>314</v>
      </c>
      <c r="F1223" s="5">
        <v>5386.56</v>
      </c>
      <c r="G1223" s="5">
        <v>1077.3119999999999</v>
      </c>
      <c r="I1223" t="str">
        <f t="shared" si="96"/>
        <v>Low Sales</v>
      </c>
      <c r="J1223" t="str">
        <f t="shared" si="97"/>
        <v>Average Performance</v>
      </c>
      <c r="K1223">
        <f t="shared" si="98"/>
        <v>2003</v>
      </c>
      <c r="L1223" t="str">
        <f t="shared" si="99"/>
        <v>November</v>
      </c>
    </row>
    <row r="1224" spans="1:12" x14ac:dyDescent="0.25">
      <c r="A1224" t="s">
        <v>75</v>
      </c>
      <c r="B1224" t="s">
        <v>258</v>
      </c>
      <c r="C1224" t="s">
        <v>264</v>
      </c>
      <c r="D1224" t="str">
        <f t="shared" si="95"/>
        <v>Vintage Cars</v>
      </c>
      <c r="E1224" t="s">
        <v>314</v>
      </c>
      <c r="F1224" s="5">
        <v>4918.78</v>
      </c>
      <c r="G1224" s="5">
        <v>983.75599999999997</v>
      </c>
      <c r="I1224" t="str">
        <f t="shared" si="96"/>
        <v>Low Sales</v>
      </c>
      <c r="J1224" t="str">
        <f t="shared" si="97"/>
        <v>Average Performance</v>
      </c>
      <c r="K1224">
        <f t="shared" si="98"/>
        <v>2003</v>
      </c>
      <c r="L1224" t="str">
        <f t="shared" si="99"/>
        <v>November</v>
      </c>
    </row>
    <row r="1225" spans="1:12" x14ac:dyDescent="0.25">
      <c r="A1225" t="s">
        <v>76</v>
      </c>
      <c r="B1225" t="s">
        <v>258</v>
      </c>
      <c r="C1225" t="s">
        <v>264</v>
      </c>
      <c r="D1225" t="str">
        <f t="shared" si="95"/>
        <v>Vintage Cars</v>
      </c>
      <c r="E1225" t="s">
        <v>314</v>
      </c>
      <c r="F1225" s="5">
        <v>2538.8000000000002</v>
      </c>
      <c r="G1225" s="5">
        <v>507.76</v>
      </c>
      <c r="I1225" t="str">
        <f t="shared" si="96"/>
        <v>Low Sales</v>
      </c>
      <c r="J1225" t="str">
        <f t="shared" si="97"/>
        <v>Average Performance</v>
      </c>
      <c r="K1225">
        <f t="shared" si="98"/>
        <v>2003</v>
      </c>
      <c r="L1225" t="str">
        <f t="shared" si="99"/>
        <v>November</v>
      </c>
    </row>
    <row r="1226" spans="1:12" x14ac:dyDescent="0.25">
      <c r="A1226" t="s">
        <v>77</v>
      </c>
      <c r="C1226" t="s">
        <v>264</v>
      </c>
      <c r="D1226" t="str">
        <f t="shared" si="95"/>
        <v>Vintage Cars</v>
      </c>
      <c r="E1226" t="s">
        <v>314</v>
      </c>
      <c r="F1226" s="5">
        <v>2498.6</v>
      </c>
      <c r="G1226" s="5">
        <v>499.72</v>
      </c>
      <c r="I1226" t="str">
        <f t="shared" si="96"/>
        <v>Low Sales</v>
      </c>
      <c r="J1226" t="str">
        <f t="shared" si="97"/>
        <v>Average Performance</v>
      </c>
      <c r="K1226">
        <f t="shared" si="98"/>
        <v>2004</v>
      </c>
      <c r="L1226" t="str">
        <f t="shared" si="99"/>
        <v>January</v>
      </c>
    </row>
    <row r="1227" spans="1:12" x14ac:dyDescent="0.25">
      <c r="A1227" t="s">
        <v>78</v>
      </c>
      <c r="C1227" t="s">
        <v>264</v>
      </c>
      <c r="D1227" t="str">
        <f t="shared" si="95"/>
        <v>Vintage Cars</v>
      </c>
      <c r="E1227" t="s">
        <v>314</v>
      </c>
      <c r="F1227" s="5">
        <v>3858.75</v>
      </c>
      <c r="G1227" s="5">
        <v>771.75</v>
      </c>
      <c r="I1227" t="str">
        <f t="shared" si="96"/>
        <v>Low Sales</v>
      </c>
      <c r="J1227" t="str">
        <f t="shared" si="97"/>
        <v>Average Performance</v>
      </c>
      <c r="K1227">
        <f t="shared" si="98"/>
        <v>2004</v>
      </c>
      <c r="L1227" t="str">
        <f t="shared" si="99"/>
        <v>February</v>
      </c>
    </row>
    <row r="1228" spans="1:12" x14ac:dyDescent="0.25">
      <c r="A1228" t="s">
        <v>238</v>
      </c>
      <c r="C1228" t="s">
        <v>264</v>
      </c>
      <c r="D1228" t="str">
        <f t="shared" si="95"/>
        <v>Vintage Cars</v>
      </c>
      <c r="E1228" t="s">
        <v>314</v>
      </c>
      <c r="F1228" s="5">
        <v>5600.5</v>
      </c>
      <c r="G1228" s="5">
        <v>1120.0999999999999</v>
      </c>
      <c r="I1228" t="str">
        <f t="shared" si="96"/>
        <v>Low Sales</v>
      </c>
      <c r="J1228" t="str">
        <f t="shared" si="97"/>
        <v>Average Performance</v>
      </c>
      <c r="K1228">
        <f t="shared" si="98"/>
        <v>2004</v>
      </c>
      <c r="L1228" t="str">
        <f t="shared" si="99"/>
        <v>May</v>
      </c>
    </row>
    <row r="1229" spans="1:12" x14ac:dyDescent="0.25">
      <c r="A1229" t="s">
        <v>196</v>
      </c>
      <c r="B1229" t="s">
        <v>258</v>
      </c>
      <c r="C1229" t="s">
        <v>264</v>
      </c>
      <c r="D1229" t="str">
        <f t="shared" si="95"/>
        <v>Vintage Cars</v>
      </c>
      <c r="E1229" t="s">
        <v>314</v>
      </c>
      <c r="F1229" s="5">
        <v>4103.46</v>
      </c>
      <c r="G1229" s="5">
        <v>820.69200000000001</v>
      </c>
      <c r="I1229" t="str">
        <f t="shared" si="96"/>
        <v>Low Sales</v>
      </c>
      <c r="J1229" t="str">
        <f t="shared" si="97"/>
        <v>Average Performance</v>
      </c>
      <c r="K1229">
        <f t="shared" si="98"/>
        <v>2004</v>
      </c>
      <c r="L1229" t="str">
        <f t="shared" si="99"/>
        <v>June</v>
      </c>
    </row>
    <row r="1230" spans="1:12" x14ac:dyDescent="0.25">
      <c r="A1230" t="s">
        <v>81</v>
      </c>
      <c r="B1230" t="s">
        <v>258</v>
      </c>
      <c r="C1230" t="s">
        <v>264</v>
      </c>
      <c r="D1230" t="str">
        <f t="shared" si="95"/>
        <v>Vintage Cars</v>
      </c>
      <c r="E1230" t="s">
        <v>314</v>
      </c>
      <c r="F1230" s="5">
        <v>4287.5</v>
      </c>
      <c r="G1230" s="5">
        <v>857.5</v>
      </c>
      <c r="I1230" t="str">
        <f t="shared" si="96"/>
        <v>Low Sales</v>
      </c>
      <c r="J1230" t="str">
        <f t="shared" si="97"/>
        <v>Average Performance</v>
      </c>
      <c r="K1230">
        <f t="shared" si="98"/>
        <v>2004</v>
      </c>
      <c r="L1230" t="str">
        <f t="shared" si="99"/>
        <v>July</v>
      </c>
    </row>
    <row r="1231" spans="1:12" x14ac:dyDescent="0.25">
      <c r="A1231" t="s">
        <v>82</v>
      </c>
      <c r="C1231" t="s">
        <v>264</v>
      </c>
      <c r="D1231" t="str">
        <f t="shared" si="95"/>
        <v>Vintage Cars</v>
      </c>
      <c r="E1231" t="s">
        <v>314</v>
      </c>
      <c r="F1231" s="5">
        <v>5795.54</v>
      </c>
      <c r="G1231" s="5">
        <v>1159.1079999999999</v>
      </c>
      <c r="I1231" t="str">
        <f t="shared" si="96"/>
        <v>Low Sales</v>
      </c>
      <c r="J1231" t="str">
        <f t="shared" si="97"/>
        <v>Average Performance</v>
      </c>
      <c r="K1231">
        <f t="shared" si="98"/>
        <v>2004</v>
      </c>
      <c r="L1231" t="str">
        <f t="shared" si="99"/>
        <v>August</v>
      </c>
    </row>
    <row r="1232" spans="1:12" x14ac:dyDescent="0.25">
      <c r="A1232" t="s">
        <v>198</v>
      </c>
      <c r="B1232" t="s">
        <v>258</v>
      </c>
      <c r="C1232" t="s">
        <v>264</v>
      </c>
      <c r="D1232" t="str">
        <f t="shared" si="95"/>
        <v>Vintage Cars</v>
      </c>
      <c r="E1232" t="s">
        <v>314</v>
      </c>
      <c r="F1232" s="5">
        <v>1863.4</v>
      </c>
      <c r="G1232" s="5">
        <v>372.68000000000012</v>
      </c>
      <c r="I1232" t="str">
        <f t="shared" si="96"/>
        <v>Low Sales</v>
      </c>
      <c r="J1232" t="str">
        <f t="shared" si="97"/>
        <v>Average Performance</v>
      </c>
      <c r="K1232">
        <f t="shared" si="98"/>
        <v>2004</v>
      </c>
      <c r="L1232" t="str">
        <f t="shared" si="99"/>
        <v>September</v>
      </c>
    </row>
    <row r="1233" spans="1:12" x14ac:dyDescent="0.25">
      <c r="A1233" t="s">
        <v>84</v>
      </c>
      <c r="C1233" t="s">
        <v>264</v>
      </c>
      <c r="D1233" t="str">
        <f t="shared" si="95"/>
        <v>Vintage Cars</v>
      </c>
      <c r="E1233" t="s">
        <v>314</v>
      </c>
      <c r="F1233" s="5">
        <v>4166.88</v>
      </c>
      <c r="G1233" s="5">
        <v>833.37600000000009</v>
      </c>
      <c r="I1233" t="str">
        <f t="shared" si="96"/>
        <v>Low Sales</v>
      </c>
      <c r="J1233" t="str">
        <f t="shared" si="97"/>
        <v>Average Performance</v>
      </c>
      <c r="K1233">
        <f t="shared" si="98"/>
        <v>2004</v>
      </c>
      <c r="L1233" t="str">
        <f t="shared" si="99"/>
        <v>October</v>
      </c>
    </row>
    <row r="1234" spans="1:12" x14ac:dyDescent="0.25">
      <c r="A1234" t="s">
        <v>85</v>
      </c>
      <c r="B1234" t="s">
        <v>258</v>
      </c>
      <c r="C1234" t="s">
        <v>264</v>
      </c>
      <c r="D1234" t="str">
        <f t="shared" si="95"/>
        <v>Vintage Cars</v>
      </c>
      <c r="E1234" t="s">
        <v>314</v>
      </c>
      <c r="F1234" s="5">
        <v>4080.07</v>
      </c>
      <c r="G1234" s="5">
        <v>816.01400000000012</v>
      </c>
      <c r="I1234" t="str">
        <f t="shared" si="96"/>
        <v>Low Sales</v>
      </c>
      <c r="J1234" t="str">
        <f t="shared" si="97"/>
        <v>Average Performance</v>
      </c>
      <c r="K1234">
        <f t="shared" si="98"/>
        <v>2004</v>
      </c>
      <c r="L1234" t="str">
        <f t="shared" si="99"/>
        <v>November</v>
      </c>
    </row>
    <row r="1235" spans="1:12" x14ac:dyDescent="0.25">
      <c r="A1235" t="s">
        <v>239</v>
      </c>
      <c r="B1235" t="s">
        <v>258</v>
      </c>
      <c r="C1235" t="s">
        <v>264</v>
      </c>
      <c r="D1235" t="str">
        <f t="shared" si="95"/>
        <v>Vintage Cars</v>
      </c>
      <c r="E1235" t="s">
        <v>314</v>
      </c>
      <c r="F1235" s="5">
        <v>3815.48</v>
      </c>
      <c r="G1235" s="5">
        <v>763.096</v>
      </c>
      <c r="I1235" t="str">
        <f t="shared" si="96"/>
        <v>Low Sales</v>
      </c>
      <c r="J1235" t="str">
        <f t="shared" si="97"/>
        <v>Average Performance</v>
      </c>
      <c r="K1235">
        <f t="shared" si="98"/>
        <v>2004</v>
      </c>
      <c r="L1235" t="str">
        <f t="shared" si="99"/>
        <v>November</v>
      </c>
    </row>
    <row r="1236" spans="1:12" x14ac:dyDescent="0.25">
      <c r="A1236" t="s">
        <v>200</v>
      </c>
      <c r="B1236" t="s">
        <v>258</v>
      </c>
      <c r="C1236" t="s">
        <v>264</v>
      </c>
      <c r="D1236" t="str">
        <f t="shared" si="95"/>
        <v>Vintage Cars</v>
      </c>
      <c r="E1236" t="s">
        <v>314</v>
      </c>
      <c r="F1236" s="5">
        <v>5526.45</v>
      </c>
      <c r="G1236" s="5">
        <v>1105.29</v>
      </c>
      <c r="I1236" t="str">
        <f t="shared" si="96"/>
        <v>Low Sales</v>
      </c>
      <c r="J1236" t="str">
        <f t="shared" si="97"/>
        <v>Average Performance</v>
      </c>
      <c r="K1236">
        <f t="shared" si="98"/>
        <v>2004</v>
      </c>
      <c r="L1236" t="str">
        <f t="shared" si="99"/>
        <v>November</v>
      </c>
    </row>
    <row r="1237" spans="1:12" x14ac:dyDescent="0.25">
      <c r="A1237" t="s">
        <v>201</v>
      </c>
      <c r="B1237" t="s">
        <v>258</v>
      </c>
      <c r="C1237" t="s">
        <v>264</v>
      </c>
      <c r="D1237" t="str">
        <f t="shared" si="95"/>
        <v>Vintage Cars</v>
      </c>
      <c r="E1237" t="s">
        <v>314</v>
      </c>
      <c r="F1237" s="5">
        <v>3374.6</v>
      </c>
      <c r="G1237" s="5">
        <v>674.92000000000007</v>
      </c>
      <c r="I1237" t="str">
        <f t="shared" si="96"/>
        <v>Low Sales</v>
      </c>
      <c r="J1237" t="str">
        <f t="shared" si="97"/>
        <v>Average Performance</v>
      </c>
      <c r="K1237">
        <f t="shared" si="98"/>
        <v>2004</v>
      </c>
      <c r="L1237" t="str">
        <f t="shared" si="99"/>
        <v>December</v>
      </c>
    </row>
    <row r="1238" spans="1:12" x14ac:dyDescent="0.25">
      <c r="A1238" t="s">
        <v>90</v>
      </c>
      <c r="B1238" t="s">
        <v>258</v>
      </c>
      <c r="C1238" t="s">
        <v>264</v>
      </c>
      <c r="D1238" t="str">
        <f t="shared" si="95"/>
        <v>Vintage Cars</v>
      </c>
      <c r="E1238" t="s">
        <v>314</v>
      </c>
      <c r="F1238" s="5">
        <v>3024.5</v>
      </c>
      <c r="G1238" s="5">
        <v>604.9</v>
      </c>
      <c r="I1238" t="str">
        <f t="shared" si="96"/>
        <v>Low Sales</v>
      </c>
      <c r="J1238" t="str">
        <f t="shared" si="97"/>
        <v>Average Performance</v>
      </c>
      <c r="K1238">
        <f t="shared" si="98"/>
        <v>2005</v>
      </c>
      <c r="L1238" t="str">
        <f t="shared" si="99"/>
        <v>January</v>
      </c>
    </row>
    <row r="1239" spans="1:12" x14ac:dyDescent="0.25">
      <c r="A1239" t="s">
        <v>202</v>
      </c>
      <c r="B1239" t="s">
        <v>258</v>
      </c>
      <c r="C1239" t="s">
        <v>264</v>
      </c>
      <c r="D1239" t="str">
        <f t="shared" si="95"/>
        <v>Vintage Cars</v>
      </c>
      <c r="E1239" t="s">
        <v>314</v>
      </c>
      <c r="F1239" s="5">
        <v>1266.0999999999999</v>
      </c>
      <c r="G1239" s="5">
        <v>253.22</v>
      </c>
      <c r="I1239" t="str">
        <f t="shared" si="96"/>
        <v>Low Sales</v>
      </c>
      <c r="J1239" t="str">
        <f t="shared" si="97"/>
        <v>Average Performance</v>
      </c>
      <c r="K1239">
        <f t="shared" si="98"/>
        <v>2005</v>
      </c>
      <c r="L1239" t="str">
        <f t="shared" si="99"/>
        <v>March</v>
      </c>
    </row>
    <row r="1240" spans="1:12" x14ac:dyDescent="0.25">
      <c r="A1240" t="s">
        <v>203</v>
      </c>
      <c r="B1240" t="s">
        <v>258</v>
      </c>
      <c r="C1240" t="s">
        <v>264</v>
      </c>
      <c r="D1240" t="str">
        <f t="shared" si="95"/>
        <v>Vintage Cars</v>
      </c>
      <c r="E1240" t="s">
        <v>314</v>
      </c>
      <c r="F1240" s="5">
        <v>4811.8500000000004</v>
      </c>
      <c r="G1240" s="5">
        <v>962.37000000000012</v>
      </c>
      <c r="I1240" t="str">
        <f t="shared" si="96"/>
        <v>Low Sales</v>
      </c>
      <c r="J1240" t="str">
        <f t="shared" si="97"/>
        <v>Average Performance</v>
      </c>
      <c r="K1240">
        <f t="shared" si="98"/>
        <v>2005</v>
      </c>
      <c r="L1240" t="str">
        <f t="shared" si="99"/>
        <v>March</v>
      </c>
    </row>
    <row r="1241" spans="1:12" x14ac:dyDescent="0.25">
      <c r="A1241" t="s">
        <v>93</v>
      </c>
      <c r="C1241" t="s">
        <v>264</v>
      </c>
      <c r="D1241" t="str">
        <f t="shared" si="95"/>
        <v>Vintage Cars</v>
      </c>
      <c r="E1241" t="s">
        <v>314</v>
      </c>
      <c r="F1241" s="5">
        <v>7307.42</v>
      </c>
      <c r="G1241" s="5">
        <v>1461.4839999999999</v>
      </c>
      <c r="I1241" t="str">
        <f t="shared" si="96"/>
        <v>Low Sales</v>
      </c>
      <c r="J1241" t="str">
        <f t="shared" si="97"/>
        <v>Average Performance</v>
      </c>
      <c r="K1241">
        <f t="shared" si="98"/>
        <v>2005</v>
      </c>
      <c r="L1241" t="str">
        <f t="shared" si="99"/>
        <v>April</v>
      </c>
    </row>
    <row r="1242" spans="1:12" x14ac:dyDescent="0.25">
      <c r="A1242" t="s">
        <v>240</v>
      </c>
      <c r="B1242" t="s">
        <v>259</v>
      </c>
      <c r="C1242" t="s">
        <v>264</v>
      </c>
      <c r="D1242" t="str">
        <f t="shared" si="95"/>
        <v>Vintage Cars</v>
      </c>
      <c r="E1242" t="s">
        <v>314</v>
      </c>
      <c r="F1242" s="5">
        <v>6209.25</v>
      </c>
      <c r="G1242" s="5">
        <v>1241.8499999999999</v>
      </c>
      <c r="I1242" t="str">
        <f t="shared" si="96"/>
        <v>Low Sales</v>
      </c>
      <c r="J1242" t="str">
        <f t="shared" si="97"/>
        <v>Average Performance</v>
      </c>
      <c r="K1242">
        <f t="shared" si="98"/>
        <v>2005</v>
      </c>
      <c r="L1242" t="str">
        <f t="shared" si="99"/>
        <v>May</v>
      </c>
    </row>
    <row r="1243" spans="1:12" x14ac:dyDescent="0.25">
      <c r="A1243" t="s">
        <v>140</v>
      </c>
      <c r="B1243" t="s">
        <v>258</v>
      </c>
      <c r="C1243" t="s">
        <v>262</v>
      </c>
      <c r="D1243" t="str">
        <f t="shared" si="95"/>
        <v>Classic Cars</v>
      </c>
      <c r="E1243" t="s">
        <v>315</v>
      </c>
      <c r="F1243" s="5">
        <v>5348.5</v>
      </c>
      <c r="G1243" s="5">
        <v>1069.7</v>
      </c>
      <c r="I1243" t="str">
        <f t="shared" si="96"/>
        <v>Low Sales</v>
      </c>
      <c r="J1243" t="str">
        <f t="shared" si="97"/>
        <v>Average Performance</v>
      </c>
      <c r="K1243">
        <f t="shared" si="98"/>
        <v>2003</v>
      </c>
      <c r="L1243" t="str">
        <f t="shared" si="99"/>
        <v>January</v>
      </c>
    </row>
    <row r="1244" spans="1:12" x14ac:dyDescent="0.25">
      <c r="A1244" t="s">
        <v>123</v>
      </c>
      <c r="B1244" t="s">
        <v>260</v>
      </c>
      <c r="C1244" t="s">
        <v>262</v>
      </c>
      <c r="D1244" t="str">
        <f t="shared" si="95"/>
        <v>Classic Cars</v>
      </c>
      <c r="E1244" t="s">
        <v>315</v>
      </c>
      <c r="F1244" s="5">
        <v>2780.58</v>
      </c>
      <c r="G1244" s="5">
        <v>556.11599999999999</v>
      </c>
      <c r="I1244" t="str">
        <f t="shared" si="96"/>
        <v>Low Sales</v>
      </c>
      <c r="J1244" t="str">
        <f t="shared" si="97"/>
        <v>Average Performance</v>
      </c>
      <c r="K1244">
        <f t="shared" si="98"/>
        <v>2003</v>
      </c>
      <c r="L1244" t="str">
        <f t="shared" si="99"/>
        <v>April</v>
      </c>
    </row>
    <row r="1245" spans="1:12" x14ac:dyDescent="0.25">
      <c r="A1245" t="s">
        <v>124</v>
      </c>
      <c r="C1245" t="s">
        <v>262</v>
      </c>
      <c r="D1245" t="str">
        <f t="shared" si="95"/>
        <v>Classic Cars</v>
      </c>
      <c r="E1245" t="s">
        <v>315</v>
      </c>
      <c r="F1245" s="5">
        <v>3447</v>
      </c>
      <c r="G1245" s="5">
        <v>689.40000000000009</v>
      </c>
      <c r="I1245" t="str">
        <f t="shared" si="96"/>
        <v>Low Sales</v>
      </c>
      <c r="J1245" t="str">
        <f t="shared" si="97"/>
        <v>Average Performance</v>
      </c>
      <c r="K1245">
        <f t="shared" si="98"/>
        <v>2003</v>
      </c>
      <c r="L1245" t="str">
        <f t="shared" si="99"/>
        <v>June</v>
      </c>
    </row>
    <row r="1246" spans="1:12" x14ac:dyDescent="0.25">
      <c r="A1246" t="s">
        <v>125</v>
      </c>
      <c r="C1246" t="s">
        <v>262</v>
      </c>
      <c r="D1246" t="str">
        <f t="shared" si="95"/>
        <v>Classic Cars</v>
      </c>
      <c r="E1246" t="s">
        <v>315</v>
      </c>
      <c r="F1246" s="5">
        <v>3791.52</v>
      </c>
      <c r="G1246" s="5">
        <v>758.30400000000009</v>
      </c>
      <c r="I1246" t="str">
        <f t="shared" si="96"/>
        <v>Low Sales</v>
      </c>
      <c r="J1246" t="str">
        <f t="shared" si="97"/>
        <v>Average Performance</v>
      </c>
      <c r="K1246">
        <f t="shared" si="98"/>
        <v>2003</v>
      </c>
      <c r="L1246" t="str">
        <f t="shared" si="99"/>
        <v>August</v>
      </c>
    </row>
    <row r="1247" spans="1:12" x14ac:dyDescent="0.25">
      <c r="A1247" t="s">
        <v>241</v>
      </c>
      <c r="B1247" t="s">
        <v>259</v>
      </c>
      <c r="C1247" t="s">
        <v>262</v>
      </c>
      <c r="D1247" t="str">
        <f t="shared" si="95"/>
        <v>Classic Cars</v>
      </c>
      <c r="E1247" t="s">
        <v>315</v>
      </c>
      <c r="F1247" s="5">
        <v>4524.1000000000004</v>
      </c>
      <c r="G1247" s="5">
        <v>904.82000000000016</v>
      </c>
      <c r="I1247" t="str">
        <f t="shared" si="96"/>
        <v>Low Sales</v>
      </c>
      <c r="J1247" t="str">
        <f t="shared" si="97"/>
        <v>Average Performance</v>
      </c>
      <c r="K1247">
        <f t="shared" si="98"/>
        <v>2003</v>
      </c>
      <c r="L1247" t="str">
        <f t="shared" si="99"/>
        <v>September</v>
      </c>
    </row>
    <row r="1248" spans="1:12" x14ac:dyDescent="0.25">
      <c r="A1248" t="s">
        <v>127</v>
      </c>
      <c r="B1248" t="s">
        <v>260</v>
      </c>
      <c r="C1248" t="s">
        <v>262</v>
      </c>
      <c r="D1248" t="str">
        <f t="shared" si="95"/>
        <v>Classic Cars</v>
      </c>
      <c r="E1248" t="s">
        <v>315</v>
      </c>
      <c r="F1248" s="5">
        <v>3337.6</v>
      </c>
      <c r="G1248" s="5">
        <v>667.52</v>
      </c>
      <c r="I1248" t="str">
        <f t="shared" si="96"/>
        <v>Low Sales</v>
      </c>
      <c r="J1248" t="str">
        <f t="shared" si="97"/>
        <v>Average Performance</v>
      </c>
      <c r="K1248">
        <f t="shared" si="98"/>
        <v>2003</v>
      </c>
      <c r="L1248" t="str">
        <f t="shared" si="99"/>
        <v>October</v>
      </c>
    </row>
    <row r="1249" spans="1:12" x14ac:dyDescent="0.25">
      <c r="A1249" t="s">
        <v>38</v>
      </c>
      <c r="B1249" t="s">
        <v>258</v>
      </c>
      <c r="C1249" t="s">
        <v>262</v>
      </c>
      <c r="D1249" t="str">
        <f t="shared" si="95"/>
        <v>Classic Cars</v>
      </c>
      <c r="E1249" t="s">
        <v>315</v>
      </c>
      <c r="F1249" s="5">
        <v>5532.12</v>
      </c>
      <c r="G1249" s="5">
        <v>1106.424</v>
      </c>
      <c r="I1249" t="str">
        <f t="shared" si="96"/>
        <v>Low Sales</v>
      </c>
      <c r="J1249" t="str">
        <f t="shared" si="97"/>
        <v>Average Performance</v>
      </c>
      <c r="K1249">
        <f t="shared" si="98"/>
        <v>2003</v>
      </c>
      <c r="L1249" t="str">
        <f t="shared" si="99"/>
        <v>November</v>
      </c>
    </row>
    <row r="1250" spans="1:12" x14ac:dyDescent="0.25">
      <c r="A1250" t="s">
        <v>75</v>
      </c>
      <c r="C1250" t="s">
        <v>262</v>
      </c>
      <c r="D1250" t="str">
        <f t="shared" si="95"/>
        <v>Classic Cars</v>
      </c>
      <c r="E1250" t="s">
        <v>315</v>
      </c>
      <c r="F1250" s="5">
        <v>5096.91</v>
      </c>
      <c r="G1250" s="5">
        <v>1019.3819999999999</v>
      </c>
      <c r="I1250" t="str">
        <f t="shared" si="96"/>
        <v>Low Sales</v>
      </c>
      <c r="J1250" t="str">
        <f t="shared" si="97"/>
        <v>Average Performance</v>
      </c>
      <c r="K1250">
        <f t="shared" si="98"/>
        <v>2003</v>
      </c>
      <c r="L1250" t="str">
        <f t="shared" si="99"/>
        <v>November</v>
      </c>
    </row>
    <row r="1251" spans="1:12" x14ac:dyDescent="0.25">
      <c r="A1251" t="s">
        <v>76</v>
      </c>
      <c r="C1251" t="s">
        <v>262</v>
      </c>
      <c r="D1251" t="str">
        <f t="shared" si="95"/>
        <v>Classic Cars</v>
      </c>
      <c r="E1251" t="s">
        <v>315</v>
      </c>
      <c r="F1251" s="5">
        <v>4537.08</v>
      </c>
      <c r="G1251" s="5">
        <v>907.41600000000005</v>
      </c>
      <c r="I1251" t="str">
        <f t="shared" si="96"/>
        <v>Low Sales</v>
      </c>
      <c r="J1251" t="str">
        <f t="shared" si="97"/>
        <v>Average Performance</v>
      </c>
      <c r="K1251">
        <f t="shared" si="98"/>
        <v>2003</v>
      </c>
      <c r="L1251" t="str">
        <f t="shared" si="99"/>
        <v>November</v>
      </c>
    </row>
    <row r="1252" spans="1:12" x14ac:dyDescent="0.25">
      <c r="A1252" t="s">
        <v>97</v>
      </c>
      <c r="C1252" t="s">
        <v>262</v>
      </c>
      <c r="D1252" t="str">
        <f t="shared" si="95"/>
        <v>Classic Cars</v>
      </c>
      <c r="E1252" t="s">
        <v>315</v>
      </c>
      <c r="F1252" s="5">
        <v>6146.8</v>
      </c>
      <c r="G1252" s="5">
        <v>1229.3599999999999</v>
      </c>
      <c r="I1252" t="str">
        <f t="shared" si="96"/>
        <v>Low Sales</v>
      </c>
      <c r="J1252" t="str">
        <f t="shared" si="97"/>
        <v>Average Performance</v>
      </c>
      <c r="K1252">
        <f t="shared" si="98"/>
        <v>2003</v>
      </c>
      <c r="L1252" t="str">
        <f t="shared" si="99"/>
        <v>December</v>
      </c>
    </row>
    <row r="1253" spans="1:12" x14ac:dyDescent="0.25">
      <c r="A1253" t="s">
        <v>129</v>
      </c>
      <c r="B1253" t="s">
        <v>258</v>
      </c>
      <c r="C1253" t="s">
        <v>262</v>
      </c>
      <c r="D1253" t="str">
        <f t="shared" si="95"/>
        <v>Classic Cars</v>
      </c>
      <c r="E1253" t="s">
        <v>315</v>
      </c>
      <c r="F1253" s="5">
        <v>8258</v>
      </c>
      <c r="G1253" s="5">
        <v>1651.6</v>
      </c>
      <c r="I1253" t="str">
        <f t="shared" si="96"/>
        <v>Low Sales</v>
      </c>
      <c r="J1253" t="str">
        <f t="shared" si="97"/>
        <v>Average Performance</v>
      </c>
      <c r="K1253">
        <f t="shared" si="98"/>
        <v>2004</v>
      </c>
      <c r="L1253" t="str">
        <f t="shared" si="99"/>
        <v>February</v>
      </c>
    </row>
    <row r="1254" spans="1:12" x14ac:dyDescent="0.25">
      <c r="A1254" t="s">
        <v>141</v>
      </c>
      <c r="B1254" t="s">
        <v>258</v>
      </c>
      <c r="C1254" t="s">
        <v>262</v>
      </c>
      <c r="D1254" t="str">
        <f t="shared" si="95"/>
        <v>Classic Cars</v>
      </c>
      <c r="E1254" t="s">
        <v>315</v>
      </c>
      <c r="F1254" s="5">
        <v>7238.28</v>
      </c>
      <c r="G1254" s="5">
        <v>1447.6559999999999</v>
      </c>
      <c r="I1254" t="str">
        <f t="shared" si="96"/>
        <v>Low Sales</v>
      </c>
      <c r="J1254" t="str">
        <f t="shared" si="97"/>
        <v>Average Performance</v>
      </c>
      <c r="K1254">
        <f t="shared" si="98"/>
        <v>2004</v>
      </c>
      <c r="L1254" t="str">
        <f t="shared" si="99"/>
        <v>March</v>
      </c>
    </row>
    <row r="1255" spans="1:12" x14ac:dyDescent="0.25">
      <c r="A1255" t="s">
        <v>131</v>
      </c>
      <c r="B1255" t="s">
        <v>258</v>
      </c>
      <c r="C1255" t="s">
        <v>262</v>
      </c>
      <c r="D1255" t="str">
        <f t="shared" si="95"/>
        <v>Classic Cars</v>
      </c>
      <c r="E1255" t="s">
        <v>315</v>
      </c>
      <c r="F1255" s="5">
        <v>6756</v>
      </c>
      <c r="G1255" s="5">
        <v>1351.2</v>
      </c>
      <c r="I1255" t="str">
        <f t="shared" si="96"/>
        <v>Low Sales</v>
      </c>
      <c r="J1255" t="str">
        <f t="shared" si="97"/>
        <v>Average Performance</v>
      </c>
      <c r="K1255">
        <f t="shared" si="98"/>
        <v>2004</v>
      </c>
      <c r="L1255" t="str">
        <f t="shared" si="99"/>
        <v>May</v>
      </c>
    </row>
    <row r="1256" spans="1:12" x14ac:dyDescent="0.25">
      <c r="A1256" t="s">
        <v>132</v>
      </c>
      <c r="C1256" t="s">
        <v>262</v>
      </c>
      <c r="D1256" t="str">
        <f t="shared" si="95"/>
        <v>Classic Cars</v>
      </c>
      <c r="E1256" t="s">
        <v>315</v>
      </c>
      <c r="F1256" s="5">
        <v>3734</v>
      </c>
      <c r="G1256" s="5">
        <v>746.80000000000007</v>
      </c>
      <c r="I1256" t="str">
        <f t="shared" si="96"/>
        <v>Low Sales</v>
      </c>
      <c r="J1256" t="str">
        <f t="shared" si="97"/>
        <v>Average Performance</v>
      </c>
      <c r="K1256">
        <f t="shared" si="98"/>
        <v>2004</v>
      </c>
      <c r="L1256" t="str">
        <f t="shared" si="99"/>
        <v>July</v>
      </c>
    </row>
    <row r="1257" spans="1:12" x14ac:dyDescent="0.25">
      <c r="A1257" t="s">
        <v>82</v>
      </c>
      <c r="C1257" t="s">
        <v>262</v>
      </c>
      <c r="D1257" t="str">
        <f t="shared" si="95"/>
        <v>Classic Cars</v>
      </c>
      <c r="E1257" t="s">
        <v>315</v>
      </c>
      <c r="F1257" s="5">
        <v>4674.8</v>
      </c>
      <c r="G1257" s="5">
        <v>934.96</v>
      </c>
      <c r="I1257" t="str">
        <f t="shared" si="96"/>
        <v>Low Sales</v>
      </c>
      <c r="J1257" t="str">
        <f t="shared" si="97"/>
        <v>Average Performance</v>
      </c>
      <c r="K1257">
        <f t="shared" si="98"/>
        <v>2004</v>
      </c>
      <c r="L1257" t="str">
        <f t="shared" si="99"/>
        <v>August</v>
      </c>
    </row>
    <row r="1258" spans="1:12" x14ac:dyDescent="0.25">
      <c r="A1258" t="s">
        <v>48</v>
      </c>
      <c r="C1258" t="s">
        <v>262</v>
      </c>
      <c r="D1258" t="str">
        <f t="shared" si="95"/>
        <v>Classic Cars</v>
      </c>
      <c r="E1258" t="s">
        <v>315</v>
      </c>
      <c r="F1258" s="5">
        <v>7140.76</v>
      </c>
      <c r="G1258" s="5">
        <v>1428.152</v>
      </c>
      <c r="I1258" t="str">
        <f t="shared" si="96"/>
        <v>Low Sales</v>
      </c>
      <c r="J1258" t="str">
        <f t="shared" si="97"/>
        <v>Average Performance</v>
      </c>
      <c r="K1258">
        <f t="shared" si="98"/>
        <v>2004</v>
      </c>
      <c r="L1258" t="str">
        <f t="shared" si="99"/>
        <v>September</v>
      </c>
    </row>
    <row r="1259" spans="1:12" x14ac:dyDescent="0.25">
      <c r="A1259" t="s">
        <v>84</v>
      </c>
      <c r="B1259" t="s">
        <v>258</v>
      </c>
      <c r="C1259" t="s">
        <v>262</v>
      </c>
      <c r="D1259" t="str">
        <f t="shared" si="95"/>
        <v>Classic Cars</v>
      </c>
      <c r="E1259" t="s">
        <v>315</v>
      </c>
      <c r="F1259" s="5">
        <v>3600.65</v>
      </c>
      <c r="G1259" s="5">
        <v>720.13000000000011</v>
      </c>
      <c r="I1259" t="str">
        <f t="shared" si="96"/>
        <v>Low Sales</v>
      </c>
      <c r="J1259" t="str">
        <f t="shared" si="97"/>
        <v>Average Performance</v>
      </c>
      <c r="K1259">
        <f t="shared" si="98"/>
        <v>2004</v>
      </c>
      <c r="L1259" t="str">
        <f t="shared" si="99"/>
        <v>October</v>
      </c>
    </row>
    <row r="1260" spans="1:12" x14ac:dyDescent="0.25">
      <c r="A1260" t="s">
        <v>102</v>
      </c>
      <c r="B1260" t="s">
        <v>258</v>
      </c>
      <c r="C1260" t="s">
        <v>262</v>
      </c>
      <c r="D1260" t="str">
        <f t="shared" si="95"/>
        <v>Classic Cars</v>
      </c>
      <c r="E1260" t="s">
        <v>315</v>
      </c>
      <c r="F1260" s="5">
        <v>4206.74</v>
      </c>
      <c r="G1260" s="5">
        <v>841.34799999999996</v>
      </c>
      <c r="I1260" t="str">
        <f t="shared" si="96"/>
        <v>Low Sales</v>
      </c>
      <c r="J1260" t="str">
        <f t="shared" si="97"/>
        <v>Average Performance</v>
      </c>
      <c r="K1260">
        <f t="shared" si="98"/>
        <v>2004</v>
      </c>
      <c r="L1260" t="str">
        <f t="shared" si="99"/>
        <v>October</v>
      </c>
    </row>
    <row r="1261" spans="1:12" x14ac:dyDescent="0.25">
      <c r="A1261" t="s">
        <v>86</v>
      </c>
      <c r="C1261" t="s">
        <v>262</v>
      </c>
      <c r="D1261" t="str">
        <f t="shared" si="95"/>
        <v>Classic Cars</v>
      </c>
      <c r="E1261" t="s">
        <v>315</v>
      </c>
      <c r="F1261" s="5">
        <v>5379.71</v>
      </c>
      <c r="G1261" s="5">
        <v>1075.942</v>
      </c>
      <c r="I1261" t="str">
        <f t="shared" si="96"/>
        <v>Low Sales</v>
      </c>
      <c r="J1261" t="str">
        <f t="shared" si="97"/>
        <v>Average Performance</v>
      </c>
      <c r="K1261">
        <f t="shared" si="98"/>
        <v>2004</v>
      </c>
      <c r="L1261" t="str">
        <f t="shared" si="99"/>
        <v>November</v>
      </c>
    </row>
    <row r="1262" spans="1:12" x14ac:dyDescent="0.25">
      <c r="A1262" t="s">
        <v>87</v>
      </c>
      <c r="C1262" t="s">
        <v>262</v>
      </c>
      <c r="D1262" t="str">
        <f t="shared" si="95"/>
        <v>Classic Cars</v>
      </c>
      <c r="E1262" t="s">
        <v>315</v>
      </c>
      <c r="F1262" s="5">
        <v>5679.36</v>
      </c>
      <c r="G1262" s="5">
        <v>1135.8720000000001</v>
      </c>
      <c r="I1262" t="str">
        <f t="shared" si="96"/>
        <v>Low Sales</v>
      </c>
      <c r="J1262" t="str">
        <f t="shared" si="97"/>
        <v>Average Performance</v>
      </c>
      <c r="K1262">
        <f t="shared" si="98"/>
        <v>2004</v>
      </c>
      <c r="L1262" t="str">
        <f t="shared" si="99"/>
        <v>November</v>
      </c>
    </row>
    <row r="1263" spans="1:12" x14ac:dyDescent="0.25">
      <c r="A1263" t="s">
        <v>146</v>
      </c>
      <c r="C1263" t="s">
        <v>262</v>
      </c>
      <c r="D1263" t="str">
        <f t="shared" si="95"/>
        <v>Classic Cars</v>
      </c>
      <c r="E1263" t="s">
        <v>315</v>
      </c>
      <c r="F1263" s="5">
        <v>4394.84</v>
      </c>
      <c r="G1263" s="5">
        <v>878.96800000000007</v>
      </c>
      <c r="I1263" t="str">
        <f t="shared" si="96"/>
        <v>Low Sales</v>
      </c>
      <c r="J1263" t="str">
        <f t="shared" si="97"/>
        <v>Average Performance</v>
      </c>
      <c r="K1263">
        <f t="shared" si="98"/>
        <v>2004</v>
      </c>
      <c r="L1263" t="str">
        <f t="shared" si="99"/>
        <v>December</v>
      </c>
    </row>
    <row r="1264" spans="1:12" x14ac:dyDescent="0.25">
      <c r="A1264" t="s">
        <v>54</v>
      </c>
      <c r="B1264" t="s">
        <v>258</v>
      </c>
      <c r="C1264" t="s">
        <v>262</v>
      </c>
      <c r="D1264" t="str">
        <f t="shared" si="95"/>
        <v>Classic Cars</v>
      </c>
      <c r="E1264" t="s">
        <v>315</v>
      </c>
      <c r="F1264" s="5">
        <v>2528.25</v>
      </c>
      <c r="G1264" s="5">
        <v>505.65</v>
      </c>
      <c r="I1264" t="str">
        <f t="shared" si="96"/>
        <v>Low Sales</v>
      </c>
      <c r="J1264" t="str">
        <f t="shared" si="97"/>
        <v>Average Performance</v>
      </c>
      <c r="K1264">
        <f t="shared" si="98"/>
        <v>2004</v>
      </c>
      <c r="L1264" t="str">
        <f t="shared" si="99"/>
        <v>December</v>
      </c>
    </row>
    <row r="1265" spans="1:12" x14ac:dyDescent="0.25">
      <c r="A1265" t="s">
        <v>142</v>
      </c>
      <c r="B1265" t="s">
        <v>260</v>
      </c>
      <c r="C1265" t="s">
        <v>262</v>
      </c>
      <c r="D1265" t="str">
        <f t="shared" si="95"/>
        <v>Classic Cars</v>
      </c>
      <c r="E1265" t="s">
        <v>315</v>
      </c>
      <c r="F1265" s="5">
        <v>7031.52</v>
      </c>
      <c r="G1265" s="5">
        <v>1406.3040000000001</v>
      </c>
      <c r="I1265" t="str">
        <f t="shared" si="96"/>
        <v>Low Sales</v>
      </c>
      <c r="J1265" t="str">
        <f t="shared" si="97"/>
        <v>Average Performance</v>
      </c>
      <c r="K1265">
        <f t="shared" si="98"/>
        <v>2005</v>
      </c>
      <c r="L1265" t="str">
        <f t="shared" si="99"/>
        <v>January</v>
      </c>
    </row>
    <row r="1266" spans="1:12" x14ac:dyDescent="0.25">
      <c r="A1266" t="s">
        <v>211</v>
      </c>
      <c r="B1266" t="s">
        <v>258</v>
      </c>
      <c r="C1266" t="s">
        <v>262</v>
      </c>
      <c r="D1266" t="str">
        <f t="shared" si="95"/>
        <v>Classic Cars</v>
      </c>
      <c r="E1266" t="s">
        <v>315</v>
      </c>
      <c r="F1266" s="5">
        <v>5340.9</v>
      </c>
      <c r="G1266" s="5">
        <v>1068.18</v>
      </c>
      <c r="I1266" t="str">
        <f t="shared" si="96"/>
        <v>Low Sales</v>
      </c>
      <c r="J1266" t="str">
        <f t="shared" si="97"/>
        <v>Average Performance</v>
      </c>
      <c r="K1266">
        <f t="shared" si="98"/>
        <v>2005</v>
      </c>
      <c r="L1266" t="str">
        <f t="shared" si="99"/>
        <v>February</v>
      </c>
    </row>
    <row r="1267" spans="1:12" x14ac:dyDescent="0.25">
      <c r="A1267" t="s">
        <v>228</v>
      </c>
      <c r="B1267" t="s">
        <v>258</v>
      </c>
      <c r="C1267" t="s">
        <v>262</v>
      </c>
      <c r="D1267" t="str">
        <f t="shared" si="95"/>
        <v>Classic Cars</v>
      </c>
      <c r="E1267" t="s">
        <v>315</v>
      </c>
      <c r="F1267" s="5">
        <v>6376.58</v>
      </c>
      <c r="G1267" s="5">
        <v>1275.316</v>
      </c>
      <c r="I1267" t="str">
        <f t="shared" si="96"/>
        <v>Low Sales</v>
      </c>
      <c r="J1267" t="str">
        <f t="shared" si="97"/>
        <v>Average Performance</v>
      </c>
      <c r="K1267">
        <f t="shared" si="98"/>
        <v>2005</v>
      </c>
      <c r="L1267" t="str">
        <f t="shared" si="99"/>
        <v>March</v>
      </c>
    </row>
    <row r="1268" spans="1:12" x14ac:dyDescent="0.25">
      <c r="A1268" t="s">
        <v>136</v>
      </c>
      <c r="C1268" t="s">
        <v>262</v>
      </c>
      <c r="D1268" t="str">
        <f t="shared" si="95"/>
        <v>Classic Cars</v>
      </c>
      <c r="E1268" t="s">
        <v>315</v>
      </c>
      <c r="F1268" s="5">
        <v>6896.75</v>
      </c>
      <c r="G1268" s="5">
        <v>1379.35</v>
      </c>
      <c r="I1268" t="str">
        <f t="shared" si="96"/>
        <v>Low Sales</v>
      </c>
      <c r="J1268" t="str">
        <f t="shared" si="97"/>
        <v>Average Performance</v>
      </c>
      <c r="K1268">
        <f t="shared" si="98"/>
        <v>2005</v>
      </c>
      <c r="L1268" t="str">
        <f t="shared" si="99"/>
        <v>May</v>
      </c>
    </row>
    <row r="1269" spans="1:12" x14ac:dyDescent="0.25">
      <c r="A1269" t="s">
        <v>205</v>
      </c>
      <c r="C1269" t="s">
        <v>264</v>
      </c>
      <c r="D1269" t="str">
        <f t="shared" si="95"/>
        <v>Vintage Cars</v>
      </c>
      <c r="E1269" t="s">
        <v>316</v>
      </c>
      <c r="F1269" s="5">
        <v>1903.22</v>
      </c>
      <c r="G1269" s="5">
        <v>380.64400000000001</v>
      </c>
      <c r="I1269" t="str">
        <f t="shared" si="96"/>
        <v>Low Sales</v>
      </c>
      <c r="J1269" t="str">
        <f t="shared" si="97"/>
        <v>Average Performance</v>
      </c>
      <c r="K1269">
        <f t="shared" si="98"/>
        <v>2003</v>
      </c>
      <c r="L1269" t="str">
        <f t="shared" si="99"/>
        <v>January</v>
      </c>
    </row>
    <row r="1270" spans="1:12" x14ac:dyDescent="0.25">
      <c r="A1270" t="s">
        <v>184</v>
      </c>
      <c r="B1270" t="s">
        <v>258</v>
      </c>
      <c r="C1270" t="s">
        <v>264</v>
      </c>
      <c r="D1270" t="str">
        <f t="shared" si="95"/>
        <v>Vintage Cars</v>
      </c>
      <c r="E1270" t="s">
        <v>316</v>
      </c>
      <c r="F1270" s="5">
        <v>2499.56</v>
      </c>
      <c r="G1270" s="5">
        <v>499.91199999999998</v>
      </c>
      <c r="I1270" t="str">
        <f t="shared" si="96"/>
        <v>Low Sales</v>
      </c>
      <c r="J1270" t="str">
        <f t="shared" si="97"/>
        <v>Average Performance</v>
      </c>
      <c r="K1270">
        <f t="shared" si="98"/>
        <v>2003</v>
      </c>
      <c r="L1270" t="str">
        <f t="shared" si="99"/>
        <v>March</v>
      </c>
    </row>
    <row r="1271" spans="1:12" x14ac:dyDescent="0.25">
      <c r="A1271" t="s">
        <v>172</v>
      </c>
      <c r="C1271" t="s">
        <v>264</v>
      </c>
      <c r="D1271" t="str">
        <f t="shared" si="95"/>
        <v>Vintage Cars</v>
      </c>
      <c r="E1271" t="s">
        <v>316</v>
      </c>
      <c r="F1271" s="5">
        <v>3081.24</v>
      </c>
      <c r="G1271" s="5">
        <v>616.24800000000005</v>
      </c>
      <c r="I1271" t="str">
        <f t="shared" si="96"/>
        <v>Low Sales</v>
      </c>
      <c r="J1271" t="str">
        <f t="shared" si="97"/>
        <v>Average Performance</v>
      </c>
      <c r="K1271">
        <f t="shared" si="98"/>
        <v>2003</v>
      </c>
      <c r="L1271" t="str">
        <f t="shared" si="99"/>
        <v>May</v>
      </c>
    </row>
    <row r="1272" spans="1:12" x14ac:dyDescent="0.25">
      <c r="A1272" t="s">
        <v>159</v>
      </c>
      <c r="B1272" t="s">
        <v>259</v>
      </c>
      <c r="C1272" t="s">
        <v>264</v>
      </c>
      <c r="D1272" t="str">
        <f t="shared" si="95"/>
        <v>Vintage Cars</v>
      </c>
      <c r="E1272" t="s">
        <v>316</v>
      </c>
      <c r="F1272" s="5">
        <v>3598.22</v>
      </c>
      <c r="G1272" s="5">
        <v>719.64400000000001</v>
      </c>
      <c r="I1272" t="str">
        <f t="shared" si="96"/>
        <v>Low Sales</v>
      </c>
      <c r="J1272" t="str">
        <f t="shared" si="97"/>
        <v>Average Performance</v>
      </c>
      <c r="K1272">
        <f t="shared" si="98"/>
        <v>2003</v>
      </c>
      <c r="L1272" t="str">
        <f t="shared" si="99"/>
        <v>September</v>
      </c>
    </row>
    <row r="1273" spans="1:12" x14ac:dyDescent="0.25">
      <c r="A1273" t="s">
        <v>175</v>
      </c>
      <c r="C1273" t="s">
        <v>264</v>
      </c>
      <c r="D1273" t="str">
        <f t="shared" si="95"/>
        <v>Vintage Cars</v>
      </c>
      <c r="E1273" t="s">
        <v>316</v>
      </c>
      <c r="F1273" s="5">
        <v>3912.09</v>
      </c>
      <c r="G1273" s="5">
        <v>782.41800000000012</v>
      </c>
      <c r="I1273" t="str">
        <f t="shared" si="96"/>
        <v>Low Sales</v>
      </c>
      <c r="J1273" t="str">
        <f t="shared" si="97"/>
        <v>Average Performance</v>
      </c>
      <c r="K1273">
        <f t="shared" si="98"/>
        <v>2003</v>
      </c>
      <c r="L1273" t="str">
        <f t="shared" si="99"/>
        <v>October</v>
      </c>
    </row>
    <row r="1274" spans="1:12" x14ac:dyDescent="0.25">
      <c r="A1274" t="s">
        <v>161</v>
      </c>
      <c r="B1274" t="s">
        <v>258</v>
      </c>
      <c r="C1274" t="s">
        <v>264</v>
      </c>
      <c r="D1274" t="str">
        <f t="shared" si="95"/>
        <v>Vintage Cars</v>
      </c>
      <c r="E1274" t="s">
        <v>316</v>
      </c>
      <c r="F1274" s="5">
        <v>1584.66</v>
      </c>
      <c r="G1274" s="5">
        <v>316.93200000000002</v>
      </c>
      <c r="I1274" t="str">
        <f t="shared" si="96"/>
        <v>Low Sales</v>
      </c>
      <c r="J1274" t="str">
        <f t="shared" si="97"/>
        <v>Average Performance</v>
      </c>
      <c r="K1274">
        <f t="shared" si="98"/>
        <v>2003</v>
      </c>
      <c r="L1274" t="str">
        <f t="shared" si="99"/>
        <v>November</v>
      </c>
    </row>
    <row r="1275" spans="1:12" x14ac:dyDescent="0.25">
      <c r="A1275" t="s">
        <v>109</v>
      </c>
      <c r="C1275" t="s">
        <v>264</v>
      </c>
      <c r="D1275" t="str">
        <f t="shared" si="95"/>
        <v>Vintage Cars</v>
      </c>
      <c r="E1275" t="s">
        <v>316</v>
      </c>
      <c r="F1275" s="5">
        <v>3942.72</v>
      </c>
      <c r="G1275" s="5">
        <v>788.54399999999998</v>
      </c>
      <c r="I1275" t="str">
        <f t="shared" si="96"/>
        <v>Low Sales</v>
      </c>
      <c r="J1275" t="str">
        <f t="shared" si="97"/>
        <v>Average Performance</v>
      </c>
      <c r="K1275">
        <f t="shared" si="98"/>
        <v>2003</v>
      </c>
      <c r="L1275" t="str">
        <f t="shared" si="99"/>
        <v>November</v>
      </c>
    </row>
    <row r="1276" spans="1:12" x14ac:dyDescent="0.25">
      <c r="A1276" t="s">
        <v>176</v>
      </c>
      <c r="B1276" t="s">
        <v>259</v>
      </c>
      <c r="C1276" t="s">
        <v>264</v>
      </c>
      <c r="D1276" t="str">
        <f t="shared" si="95"/>
        <v>Vintage Cars</v>
      </c>
      <c r="E1276" t="s">
        <v>316</v>
      </c>
      <c r="F1276" s="5">
        <v>2341.1999999999998</v>
      </c>
      <c r="G1276" s="5">
        <v>468.24</v>
      </c>
      <c r="I1276" t="str">
        <f t="shared" si="96"/>
        <v>Low Sales</v>
      </c>
      <c r="J1276" t="str">
        <f t="shared" si="97"/>
        <v>Average Performance</v>
      </c>
      <c r="K1276">
        <f t="shared" si="98"/>
        <v>2003</v>
      </c>
      <c r="L1276" t="str">
        <f t="shared" si="99"/>
        <v>November</v>
      </c>
    </row>
    <row r="1277" spans="1:12" x14ac:dyDescent="0.25">
      <c r="A1277" t="s">
        <v>111</v>
      </c>
      <c r="C1277" t="s">
        <v>264</v>
      </c>
      <c r="D1277" t="str">
        <f t="shared" si="95"/>
        <v>Vintage Cars</v>
      </c>
      <c r="E1277" t="s">
        <v>316</v>
      </c>
      <c r="F1277" s="5">
        <v>2482.11</v>
      </c>
      <c r="G1277" s="5">
        <v>496.42200000000003</v>
      </c>
      <c r="I1277" t="str">
        <f t="shared" si="96"/>
        <v>Low Sales</v>
      </c>
      <c r="J1277" t="str">
        <f t="shared" si="97"/>
        <v>Average Performance</v>
      </c>
      <c r="K1277">
        <f t="shared" si="98"/>
        <v>2003</v>
      </c>
      <c r="L1277" t="str">
        <f t="shared" si="99"/>
        <v>December</v>
      </c>
    </row>
    <row r="1278" spans="1:12" x14ac:dyDescent="0.25">
      <c r="A1278" t="s">
        <v>242</v>
      </c>
      <c r="B1278" t="s">
        <v>258</v>
      </c>
      <c r="C1278" t="s">
        <v>264</v>
      </c>
      <c r="D1278" t="str">
        <f t="shared" si="95"/>
        <v>Vintage Cars</v>
      </c>
      <c r="E1278" t="s">
        <v>316</v>
      </c>
      <c r="F1278" s="5">
        <v>3602.02</v>
      </c>
      <c r="G1278" s="5">
        <v>720.404</v>
      </c>
      <c r="I1278" t="str">
        <f t="shared" si="96"/>
        <v>Low Sales</v>
      </c>
      <c r="J1278" t="str">
        <f t="shared" si="97"/>
        <v>Average Performance</v>
      </c>
      <c r="K1278">
        <f t="shared" si="98"/>
        <v>2004</v>
      </c>
      <c r="L1278" t="str">
        <f t="shared" si="99"/>
        <v>January</v>
      </c>
    </row>
    <row r="1279" spans="1:12" x14ac:dyDescent="0.25">
      <c r="A1279" t="s">
        <v>178</v>
      </c>
      <c r="B1279" t="s">
        <v>258</v>
      </c>
      <c r="C1279" t="s">
        <v>264</v>
      </c>
      <c r="D1279" t="str">
        <f t="shared" si="95"/>
        <v>Vintage Cars</v>
      </c>
      <c r="E1279" t="s">
        <v>316</v>
      </c>
      <c r="F1279" s="5">
        <v>3566.94</v>
      </c>
      <c r="G1279" s="5">
        <v>713.38800000000003</v>
      </c>
      <c r="I1279" t="str">
        <f t="shared" si="96"/>
        <v>Low Sales</v>
      </c>
      <c r="J1279" t="str">
        <f t="shared" si="97"/>
        <v>Average Performance</v>
      </c>
      <c r="K1279">
        <f t="shared" si="98"/>
        <v>2004</v>
      </c>
      <c r="L1279" t="str">
        <f t="shared" si="99"/>
        <v>March</v>
      </c>
    </row>
    <row r="1280" spans="1:12" x14ac:dyDescent="0.25">
      <c r="A1280" t="s">
        <v>162</v>
      </c>
      <c r="B1280" t="s">
        <v>258</v>
      </c>
      <c r="C1280" t="s">
        <v>264</v>
      </c>
      <c r="D1280" t="str">
        <f t="shared" si="95"/>
        <v>Vintage Cars</v>
      </c>
      <c r="E1280" t="s">
        <v>316</v>
      </c>
      <c r="F1280" s="5">
        <v>3787.98</v>
      </c>
      <c r="G1280" s="5">
        <v>757.596</v>
      </c>
      <c r="I1280" t="str">
        <f t="shared" si="96"/>
        <v>Low Sales</v>
      </c>
      <c r="J1280" t="str">
        <f t="shared" si="97"/>
        <v>Average Performance</v>
      </c>
      <c r="K1280">
        <f t="shared" si="98"/>
        <v>2004</v>
      </c>
      <c r="L1280" t="str">
        <f t="shared" si="99"/>
        <v>April</v>
      </c>
    </row>
    <row r="1281" spans="1:12" x14ac:dyDescent="0.25">
      <c r="A1281" t="s">
        <v>47</v>
      </c>
      <c r="B1281" t="s">
        <v>258</v>
      </c>
      <c r="C1281" t="s">
        <v>264</v>
      </c>
      <c r="D1281" t="str">
        <f t="shared" si="95"/>
        <v>Vintage Cars</v>
      </c>
      <c r="E1281" t="s">
        <v>316</v>
      </c>
      <c r="F1281" s="5">
        <v>3704.05</v>
      </c>
      <c r="G1281" s="5">
        <v>740.81000000000006</v>
      </c>
      <c r="I1281" t="str">
        <f t="shared" si="96"/>
        <v>Low Sales</v>
      </c>
      <c r="J1281" t="str">
        <f t="shared" si="97"/>
        <v>Average Performance</v>
      </c>
      <c r="K1281">
        <f t="shared" si="98"/>
        <v>2004</v>
      </c>
      <c r="L1281" t="str">
        <f t="shared" si="99"/>
        <v>August</v>
      </c>
    </row>
    <row r="1282" spans="1:12" x14ac:dyDescent="0.25">
      <c r="A1282" t="s">
        <v>188</v>
      </c>
      <c r="B1282" t="s">
        <v>259</v>
      </c>
      <c r="C1282" t="s">
        <v>264</v>
      </c>
      <c r="D1282" t="str">
        <f t="shared" si="95"/>
        <v>Vintage Cars</v>
      </c>
      <c r="E1282" t="s">
        <v>316</v>
      </c>
      <c r="F1282" s="5">
        <v>2834.65</v>
      </c>
      <c r="G1282" s="5">
        <v>566.93000000000006</v>
      </c>
      <c r="I1282" t="str">
        <f t="shared" si="96"/>
        <v>Low Sales</v>
      </c>
      <c r="J1282" t="str">
        <f t="shared" si="97"/>
        <v>Average Performance</v>
      </c>
      <c r="K1282">
        <f t="shared" si="98"/>
        <v>2004</v>
      </c>
      <c r="L1282" t="str">
        <f t="shared" si="99"/>
        <v>September</v>
      </c>
    </row>
    <row r="1283" spans="1:12" x14ac:dyDescent="0.25">
      <c r="A1283" t="s">
        <v>72</v>
      </c>
      <c r="B1283" t="s">
        <v>258</v>
      </c>
      <c r="C1283" t="s">
        <v>264</v>
      </c>
      <c r="D1283" t="str">
        <f t="shared" ref="D1283:D1346" si="100">PROPER(TRIM(C1283))</f>
        <v>Vintage Cars</v>
      </c>
      <c r="E1283" t="s">
        <v>316</v>
      </c>
      <c r="F1283" s="5">
        <v>3392.26</v>
      </c>
      <c r="G1283" s="5">
        <v>678.45200000000011</v>
      </c>
      <c r="I1283" t="str">
        <f t="shared" ref="I1283:I1346" si="101">IF(F1283&gt;50000,"High Sales","Low Sales")</f>
        <v>Low Sales</v>
      </c>
      <c r="J1283" t="str">
        <f t="shared" ref="J1283:J1346" si="102">IF(AND(F1283&gt;30000,G1283&gt;5000),"Good Performance","Average Performance")</f>
        <v>Average Performance</v>
      </c>
      <c r="K1283">
        <f t="shared" ref="K1283:K1346" si="103">YEAR(A1283)</f>
        <v>2003</v>
      </c>
      <c r="L1283" t="str">
        <f t="shared" ref="L1283:L1346" si="104">TEXT(A1283,"mmmm")</f>
        <v>October</v>
      </c>
    </row>
    <row r="1284" spans="1:12" x14ac:dyDescent="0.25">
      <c r="A1284" t="s">
        <v>119</v>
      </c>
      <c r="B1284" t="s">
        <v>258</v>
      </c>
      <c r="C1284" t="s">
        <v>264</v>
      </c>
      <c r="D1284" t="str">
        <f t="shared" si="100"/>
        <v>Vintage Cars</v>
      </c>
      <c r="E1284" t="s">
        <v>316</v>
      </c>
      <c r="F1284" s="5">
        <v>3358.31</v>
      </c>
      <c r="G1284" s="5">
        <v>671.66200000000003</v>
      </c>
      <c r="I1284" t="str">
        <f t="shared" si="101"/>
        <v>Low Sales</v>
      </c>
      <c r="J1284" t="str">
        <f t="shared" si="102"/>
        <v>Average Performance</v>
      </c>
      <c r="K1284">
        <f t="shared" si="103"/>
        <v>2004</v>
      </c>
      <c r="L1284" t="str">
        <f t="shared" si="104"/>
        <v>October</v>
      </c>
    </row>
    <row r="1285" spans="1:12" x14ac:dyDescent="0.25">
      <c r="A1285" t="s">
        <v>165</v>
      </c>
      <c r="B1285" t="s">
        <v>258</v>
      </c>
      <c r="C1285" t="s">
        <v>264</v>
      </c>
      <c r="D1285" t="str">
        <f t="shared" si="100"/>
        <v>Vintage Cars</v>
      </c>
      <c r="E1285" t="s">
        <v>316</v>
      </c>
      <c r="F1285" s="5">
        <v>7310</v>
      </c>
      <c r="G1285" s="5">
        <v>1462</v>
      </c>
      <c r="I1285" t="str">
        <f t="shared" si="101"/>
        <v>Low Sales</v>
      </c>
      <c r="J1285" t="str">
        <f t="shared" si="102"/>
        <v>Average Performance</v>
      </c>
      <c r="K1285">
        <f t="shared" si="103"/>
        <v>2004</v>
      </c>
      <c r="L1285" t="str">
        <f t="shared" si="104"/>
        <v>November</v>
      </c>
    </row>
    <row r="1286" spans="1:12" x14ac:dyDescent="0.25">
      <c r="A1286" t="s">
        <v>207</v>
      </c>
      <c r="B1286" t="s">
        <v>258</v>
      </c>
      <c r="C1286" t="s">
        <v>264</v>
      </c>
      <c r="D1286" t="str">
        <f t="shared" si="100"/>
        <v>Vintage Cars</v>
      </c>
      <c r="E1286" t="s">
        <v>316</v>
      </c>
      <c r="F1286" s="5">
        <v>2203.11</v>
      </c>
      <c r="G1286" s="5">
        <v>440.62200000000013</v>
      </c>
      <c r="I1286" t="str">
        <f t="shared" si="101"/>
        <v>Low Sales</v>
      </c>
      <c r="J1286" t="str">
        <f t="shared" si="102"/>
        <v>Average Performance</v>
      </c>
      <c r="K1286">
        <f t="shared" si="103"/>
        <v>2004</v>
      </c>
      <c r="L1286" t="str">
        <f t="shared" si="104"/>
        <v>November</v>
      </c>
    </row>
    <row r="1287" spans="1:12" x14ac:dyDescent="0.25">
      <c r="A1287" t="s">
        <v>189</v>
      </c>
      <c r="C1287" t="s">
        <v>264</v>
      </c>
      <c r="D1287" t="str">
        <f t="shared" si="100"/>
        <v>Vintage Cars</v>
      </c>
      <c r="E1287" t="s">
        <v>316</v>
      </c>
      <c r="F1287" s="5">
        <v>2696.96</v>
      </c>
      <c r="G1287" s="5">
        <v>539.39200000000005</v>
      </c>
      <c r="I1287" t="str">
        <f t="shared" si="101"/>
        <v>Low Sales</v>
      </c>
      <c r="J1287" t="str">
        <f t="shared" si="102"/>
        <v>Average Performance</v>
      </c>
      <c r="K1287">
        <f t="shared" si="103"/>
        <v>2005</v>
      </c>
      <c r="L1287" t="str">
        <f t="shared" si="104"/>
        <v>January</v>
      </c>
    </row>
    <row r="1288" spans="1:12" x14ac:dyDescent="0.25">
      <c r="A1288" t="s">
        <v>182</v>
      </c>
      <c r="B1288" t="s">
        <v>258</v>
      </c>
      <c r="C1288" t="s">
        <v>264</v>
      </c>
      <c r="D1288" t="str">
        <f t="shared" si="100"/>
        <v>Vintage Cars</v>
      </c>
      <c r="E1288" t="s">
        <v>316</v>
      </c>
      <c r="F1288" s="5">
        <v>3376.64</v>
      </c>
      <c r="G1288" s="5">
        <v>675.32799999999997</v>
      </c>
      <c r="I1288" t="str">
        <f t="shared" si="101"/>
        <v>Low Sales</v>
      </c>
      <c r="J1288" t="str">
        <f t="shared" si="102"/>
        <v>Average Performance</v>
      </c>
      <c r="K1288">
        <f t="shared" si="103"/>
        <v>2005</v>
      </c>
      <c r="L1288" t="str">
        <f t="shared" si="104"/>
        <v>February</v>
      </c>
    </row>
    <row r="1289" spans="1:12" x14ac:dyDescent="0.25">
      <c r="A1289" t="s">
        <v>191</v>
      </c>
      <c r="C1289" t="s">
        <v>264</v>
      </c>
      <c r="D1289" t="str">
        <f t="shared" si="100"/>
        <v>Vintage Cars</v>
      </c>
      <c r="E1289" t="s">
        <v>316</v>
      </c>
      <c r="F1289" s="5">
        <v>541.14</v>
      </c>
      <c r="G1289" s="5">
        <v>108.22799999999999</v>
      </c>
      <c r="I1289" t="str">
        <f t="shared" si="101"/>
        <v>Low Sales</v>
      </c>
      <c r="J1289" t="str">
        <f t="shared" si="102"/>
        <v>Average Performance</v>
      </c>
      <c r="K1289">
        <f t="shared" si="103"/>
        <v>2005</v>
      </c>
      <c r="L1289" t="str">
        <f t="shared" si="104"/>
        <v>April</v>
      </c>
    </row>
    <row r="1290" spans="1:12" x14ac:dyDescent="0.25">
      <c r="A1290" t="s">
        <v>208</v>
      </c>
      <c r="B1290" t="s">
        <v>259</v>
      </c>
      <c r="C1290" t="s">
        <v>264</v>
      </c>
      <c r="D1290" t="str">
        <f t="shared" si="100"/>
        <v>Vintage Cars</v>
      </c>
      <c r="E1290" t="s">
        <v>316</v>
      </c>
      <c r="F1290" s="5">
        <v>6134.7</v>
      </c>
      <c r="G1290" s="5">
        <v>1226.94</v>
      </c>
      <c r="I1290" t="str">
        <f t="shared" si="101"/>
        <v>Low Sales</v>
      </c>
      <c r="J1290" t="str">
        <f t="shared" si="102"/>
        <v>Average Performance</v>
      </c>
      <c r="K1290">
        <f t="shared" si="103"/>
        <v>2005</v>
      </c>
      <c r="L1290" t="str">
        <f t="shared" si="104"/>
        <v>May</v>
      </c>
    </row>
    <row r="1291" spans="1:12" x14ac:dyDescent="0.25">
      <c r="A1291" t="s">
        <v>68</v>
      </c>
      <c r="B1291" t="s">
        <v>258</v>
      </c>
      <c r="C1291" t="s">
        <v>264</v>
      </c>
      <c r="D1291" t="str">
        <f t="shared" si="100"/>
        <v>Vintage Cars</v>
      </c>
      <c r="E1291" t="s">
        <v>317</v>
      </c>
      <c r="F1291" s="5">
        <v>3382.5</v>
      </c>
      <c r="G1291" s="5">
        <v>676.5</v>
      </c>
      <c r="I1291" t="str">
        <f t="shared" si="101"/>
        <v>Low Sales</v>
      </c>
      <c r="J1291" t="str">
        <f t="shared" si="102"/>
        <v>Average Performance</v>
      </c>
      <c r="K1291">
        <f t="shared" si="103"/>
        <v>2003</v>
      </c>
      <c r="L1291" t="str">
        <f t="shared" si="104"/>
        <v>February</v>
      </c>
    </row>
    <row r="1292" spans="1:12" x14ac:dyDescent="0.25">
      <c r="A1292" t="s">
        <v>123</v>
      </c>
      <c r="B1292" t="s">
        <v>260</v>
      </c>
      <c r="C1292" t="s">
        <v>264</v>
      </c>
      <c r="D1292" t="str">
        <f t="shared" si="100"/>
        <v>Vintage Cars</v>
      </c>
      <c r="E1292" t="s">
        <v>317</v>
      </c>
      <c r="F1292" s="5">
        <v>2240.66</v>
      </c>
      <c r="G1292" s="5">
        <v>448.13200000000001</v>
      </c>
      <c r="I1292" t="str">
        <f t="shared" si="101"/>
        <v>Low Sales</v>
      </c>
      <c r="J1292" t="str">
        <f t="shared" si="102"/>
        <v>Average Performance</v>
      </c>
      <c r="K1292">
        <f t="shared" si="103"/>
        <v>2003</v>
      </c>
      <c r="L1292" t="str">
        <f t="shared" si="104"/>
        <v>April</v>
      </c>
    </row>
    <row r="1293" spans="1:12" x14ac:dyDescent="0.25">
      <c r="A1293" t="s">
        <v>224</v>
      </c>
      <c r="B1293" t="s">
        <v>258</v>
      </c>
      <c r="C1293" t="s">
        <v>264</v>
      </c>
      <c r="D1293" t="str">
        <f t="shared" si="100"/>
        <v>Vintage Cars</v>
      </c>
      <c r="E1293" t="s">
        <v>317</v>
      </c>
      <c r="F1293" s="5">
        <v>3962.88</v>
      </c>
      <c r="G1293" s="5">
        <v>792.57600000000002</v>
      </c>
      <c r="I1293" t="str">
        <f t="shared" si="101"/>
        <v>Low Sales</v>
      </c>
      <c r="J1293" t="str">
        <f t="shared" si="102"/>
        <v>Average Performance</v>
      </c>
      <c r="K1293">
        <f t="shared" si="103"/>
        <v>2003</v>
      </c>
      <c r="L1293" t="str">
        <f t="shared" si="104"/>
        <v>June</v>
      </c>
    </row>
    <row r="1294" spans="1:12" x14ac:dyDescent="0.25">
      <c r="A1294" t="s">
        <v>125</v>
      </c>
      <c r="C1294" t="s">
        <v>264</v>
      </c>
      <c r="D1294" t="str">
        <f t="shared" si="100"/>
        <v>Vintage Cars</v>
      </c>
      <c r="E1294" t="s">
        <v>317</v>
      </c>
      <c r="F1294" s="5">
        <v>1685.28</v>
      </c>
      <c r="G1294" s="5">
        <v>337.05599999999998</v>
      </c>
      <c r="I1294" t="str">
        <f t="shared" si="101"/>
        <v>Low Sales</v>
      </c>
      <c r="J1294" t="str">
        <f t="shared" si="102"/>
        <v>Average Performance</v>
      </c>
      <c r="K1294">
        <f t="shared" si="103"/>
        <v>2003</v>
      </c>
      <c r="L1294" t="str">
        <f t="shared" si="104"/>
        <v>August</v>
      </c>
    </row>
    <row r="1295" spans="1:12" x14ac:dyDescent="0.25">
      <c r="A1295" t="s">
        <v>126</v>
      </c>
      <c r="B1295" t="s">
        <v>258</v>
      </c>
      <c r="C1295" t="s">
        <v>264</v>
      </c>
      <c r="D1295" t="str">
        <f t="shared" si="100"/>
        <v>Vintage Cars</v>
      </c>
      <c r="E1295" t="s">
        <v>317</v>
      </c>
      <c r="F1295" s="5">
        <v>1834.36</v>
      </c>
      <c r="G1295" s="5">
        <v>366.87200000000001</v>
      </c>
      <c r="I1295" t="str">
        <f t="shared" si="101"/>
        <v>Low Sales</v>
      </c>
      <c r="J1295" t="str">
        <f t="shared" si="102"/>
        <v>Average Performance</v>
      </c>
      <c r="K1295">
        <f t="shared" si="103"/>
        <v>2003</v>
      </c>
      <c r="L1295" t="str">
        <f t="shared" si="104"/>
        <v>September</v>
      </c>
    </row>
    <row r="1296" spans="1:12" x14ac:dyDescent="0.25">
      <c r="A1296" t="s">
        <v>96</v>
      </c>
      <c r="C1296" t="s">
        <v>264</v>
      </c>
      <c r="D1296" t="str">
        <f t="shared" si="100"/>
        <v>Vintage Cars</v>
      </c>
      <c r="E1296" t="s">
        <v>317</v>
      </c>
      <c r="F1296" s="5">
        <v>1916.98</v>
      </c>
      <c r="G1296" s="5">
        <v>383.39600000000002</v>
      </c>
      <c r="I1296" t="str">
        <f t="shared" si="101"/>
        <v>Low Sales</v>
      </c>
      <c r="J1296" t="str">
        <f t="shared" si="102"/>
        <v>Average Performance</v>
      </c>
      <c r="K1296">
        <f t="shared" si="103"/>
        <v>2003</v>
      </c>
      <c r="L1296" t="str">
        <f t="shared" si="104"/>
        <v>October</v>
      </c>
    </row>
    <row r="1297" spans="1:12" x14ac:dyDescent="0.25">
      <c r="A1297" t="s">
        <v>225</v>
      </c>
      <c r="B1297" t="s">
        <v>258</v>
      </c>
      <c r="C1297" t="s">
        <v>264</v>
      </c>
      <c r="D1297" t="str">
        <f t="shared" si="100"/>
        <v>Vintage Cars</v>
      </c>
      <c r="E1297" t="s">
        <v>317</v>
      </c>
      <c r="F1297" s="5">
        <v>2611</v>
      </c>
      <c r="G1297" s="5">
        <v>522.20000000000005</v>
      </c>
      <c r="I1297" t="str">
        <f t="shared" si="101"/>
        <v>Low Sales</v>
      </c>
      <c r="J1297" t="str">
        <f t="shared" si="102"/>
        <v>Average Performance</v>
      </c>
      <c r="K1297">
        <f t="shared" si="103"/>
        <v>2003</v>
      </c>
      <c r="L1297" t="str">
        <f t="shared" si="104"/>
        <v>November</v>
      </c>
    </row>
    <row r="1298" spans="1:12" x14ac:dyDescent="0.25">
      <c r="A1298" t="s">
        <v>75</v>
      </c>
      <c r="C1298" t="s">
        <v>264</v>
      </c>
      <c r="D1298" t="str">
        <f t="shared" si="100"/>
        <v>Vintage Cars</v>
      </c>
      <c r="E1298" t="s">
        <v>317</v>
      </c>
      <c r="F1298" s="5">
        <v>3630.28</v>
      </c>
      <c r="G1298" s="5">
        <v>726.05600000000004</v>
      </c>
      <c r="I1298" t="str">
        <f t="shared" si="101"/>
        <v>Low Sales</v>
      </c>
      <c r="J1298" t="str">
        <f t="shared" si="102"/>
        <v>Average Performance</v>
      </c>
      <c r="K1298">
        <f t="shared" si="103"/>
        <v>2003</v>
      </c>
      <c r="L1298" t="str">
        <f t="shared" si="104"/>
        <v>November</v>
      </c>
    </row>
    <row r="1299" spans="1:12" x14ac:dyDescent="0.25">
      <c r="A1299" t="s">
        <v>76</v>
      </c>
      <c r="B1299" t="s">
        <v>258</v>
      </c>
      <c r="C1299" t="s">
        <v>264</v>
      </c>
      <c r="D1299" t="str">
        <f t="shared" si="100"/>
        <v>Vintage Cars</v>
      </c>
      <c r="E1299" t="s">
        <v>317</v>
      </c>
      <c r="F1299" s="5">
        <v>5090.5</v>
      </c>
      <c r="G1299" s="5">
        <v>1018.1</v>
      </c>
      <c r="I1299" t="str">
        <f t="shared" si="101"/>
        <v>Low Sales</v>
      </c>
      <c r="J1299" t="str">
        <f t="shared" si="102"/>
        <v>Average Performance</v>
      </c>
      <c r="K1299">
        <f t="shared" si="103"/>
        <v>2003</v>
      </c>
      <c r="L1299" t="str">
        <f t="shared" si="104"/>
        <v>November</v>
      </c>
    </row>
    <row r="1300" spans="1:12" x14ac:dyDescent="0.25">
      <c r="A1300" t="s">
        <v>128</v>
      </c>
      <c r="B1300" t="s">
        <v>258</v>
      </c>
      <c r="C1300" t="s">
        <v>264</v>
      </c>
      <c r="D1300" t="str">
        <f t="shared" si="100"/>
        <v>Vintage Cars</v>
      </c>
      <c r="E1300" t="s">
        <v>317</v>
      </c>
      <c r="F1300" s="5">
        <v>3949.65</v>
      </c>
      <c r="G1300" s="5">
        <v>789.93000000000006</v>
      </c>
      <c r="I1300" t="str">
        <f t="shared" si="101"/>
        <v>Low Sales</v>
      </c>
      <c r="J1300" t="str">
        <f t="shared" si="102"/>
        <v>Average Performance</v>
      </c>
      <c r="K1300">
        <f t="shared" si="103"/>
        <v>2004</v>
      </c>
      <c r="L1300" t="str">
        <f t="shared" si="104"/>
        <v>January</v>
      </c>
    </row>
    <row r="1301" spans="1:12" x14ac:dyDescent="0.25">
      <c r="A1301" t="s">
        <v>226</v>
      </c>
      <c r="B1301" t="s">
        <v>258</v>
      </c>
      <c r="C1301" t="s">
        <v>264</v>
      </c>
      <c r="D1301" t="str">
        <f t="shared" si="100"/>
        <v>Vintage Cars</v>
      </c>
      <c r="E1301" t="s">
        <v>317</v>
      </c>
      <c r="F1301" s="5">
        <v>3491.67</v>
      </c>
      <c r="G1301" s="5">
        <v>698.33400000000006</v>
      </c>
      <c r="I1301" t="str">
        <f t="shared" si="101"/>
        <v>Low Sales</v>
      </c>
      <c r="J1301" t="str">
        <f t="shared" si="102"/>
        <v>Average Performance</v>
      </c>
      <c r="K1301">
        <f t="shared" si="103"/>
        <v>2004</v>
      </c>
      <c r="L1301" t="str">
        <f t="shared" si="104"/>
        <v>February</v>
      </c>
    </row>
    <row r="1302" spans="1:12" x14ac:dyDescent="0.25">
      <c r="A1302" t="s">
        <v>227</v>
      </c>
      <c r="B1302" t="s">
        <v>258</v>
      </c>
      <c r="C1302" t="s">
        <v>264</v>
      </c>
      <c r="D1302" t="str">
        <f t="shared" si="100"/>
        <v>Vintage Cars</v>
      </c>
      <c r="E1302" t="s">
        <v>317</v>
      </c>
      <c r="F1302" s="5">
        <v>2059.19</v>
      </c>
      <c r="G1302" s="5">
        <v>411.83800000000002</v>
      </c>
      <c r="I1302" t="str">
        <f t="shared" si="101"/>
        <v>Low Sales</v>
      </c>
      <c r="J1302" t="str">
        <f t="shared" si="102"/>
        <v>Average Performance</v>
      </c>
      <c r="K1302">
        <f t="shared" si="103"/>
        <v>2004</v>
      </c>
      <c r="L1302" t="str">
        <f t="shared" si="104"/>
        <v>March</v>
      </c>
    </row>
    <row r="1303" spans="1:12" x14ac:dyDescent="0.25">
      <c r="A1303" t="s">
        <v>79</v>
      </c>
      <c r="C1303" t="s">
        <v>264</v>
      </c>
      <c r="D1303" t="str">
        <f t="shared" si="100"/>
        <v>Vintage Cars</v>
      </c>
      <c r="E1303" t="s">
        <v>317</v>
      </c>
      <c r="F1303" s="5">
        <v>3170.16</v>
      </c>
      <c r="G1303" s="5">
        <v>634.03200000000004</v>
      </c>
      <c r="I1303" t="str">
        <f t="shared" si="101"/>
        <v>Low Sales</v>
      </c>
      <c r="J1303" t="str">
        <f t="shared" si="102"/>
        <v>Average Performance</v>
      </c>
      <c r="K1303">
        <f t="shared" si="103"/>
        <v>2004</v>
      </c>
      <c r="L1303" t="str">
        <f t="shared" si="104"/>
        <v>May</v>
      </c>
    </row>
    <row r="1304" spans="1:12" x14ac:dyDescent="0.25">
      <c r="A1304" t="s">
        <v>80</v>
      </c>
      <c r="C1304" t="s">
        <v>264</v>
      </c>
      <c r="D1304" t="str">
        <f t="shared" si="100"/>
        <v>Vintage Cars</v>
      </c>
      <c r="E1304" t="s">
        <v>317</v>
      </c>
      <c r="F1304" s="5">
        <v>1790.6</v>
      </c>
      <c r="G1304" s="5">
        <v>358.12</v>
      </c>
      <c r="I1304" t="str">
        <f t="shared" si="101"/>
        <v>Low Sales</v>
      </c>
      <c r="J1304" t="str">
        <f t="shared" si="102"/>
        <v>Average Performance</v>
      </c>
      <c r="K1304">
        <f t="shared" si="103"/>
        <v>2004</v>
      </c>
      <c r="L1304" t="str">
        <f t="shared" si="104"/>
        <v>June</v>
      </c>
    </row>
    <row r="1305" spans="1:12" x14ac:dyDescent="0.25">
      <c r="A1305" t="s">
        <v>81</v>
      </c>
      <c r="B1305" t="s">
        <v>258</v>
      </c>
      <c r="C1305" t="s">
        <v>264</v>
      </c>
      <c r="D1305" t="str">
        <f t="shared" si="100"/>
        <v>Vintage Cars</v>
      </c>
      <c r="E1305" t="s">
        <v>317</v>
      </c>
      <c r="F1305" s="5">
        <v>2345.9699999999998</v>
      </c>
      <c r="G1305" s="5">
        <v>469.19400000000002</v>
      </c>
      <c r="I1305" t="str">
        <f t="shared" si="101"/>
        <v>Low Sales</v>
      </c>
      <c r="J1305" t="str">
        <f t="shared" si="102"/>
        <v>Average Performance</v>
      </c>
      <c r="K1305">
        <f t="shared" si="103"/>
        <v>2004</v>
      </c>
      <c r="L1305" t="str">
        <f t="shared" si="104"/>
        <v>July</v>
      </c>
    </row>
    <row r="1306" spans="1:12" x14ac:dyDescent="0.25">
      <c r="A1306" t="s">
        <v>82</v>
      </c>
      <c r="C1306" t="s">
        <v>264</v>
      </c>
      <c r="D1306" t="str">
        <f t="shared" si="100"/>
        <v>Vintage Cars</v>
      </c>
      <c r="E1306" t="s">
        <v>317</v>
      </c>
      <c r="F1306" s="5">
        <v>3580.88</v>
      </c>
      <c r="G1306" s="5">
        <v>716.17600000000004</v>
      </c>
      <c r="I1306" t="str">
        <f t="shared" si="101"/>
        <v>Low Sales</v>
      </c>
      <c r="J1306" t="str">
        <f t="shared" si="102"/>
        <v>Average Performance</v>
      </c>
      <c r="K1306">
        <f t="shared" si="103"/>
        <v>2004</v>
      </c>
      <c r="L1306" t="str">
        <f t="shared" si="104"/>
        <v>August</v>
      </c>
    </row>
    <row r="1307" spans="1:12" x14ac:dyDescent="0.25">
      <c r="A1307" t="s">
        <v>133</v>
      </c>
      <c r="B1307" t="s">
        <v>258</v>
      </c>
      <c r="C1307" t="s">
        <v>264</v>
      </c>
      <c r="D1307" t="str">
        <f t="shared" si="100"/>
        <v>Vintage Cars</v>
      </c>
      <c r="E1307" t="s">
        <v>317</v>
      </c>
      <c r="F1307" s="5">
        <v>4946.0600000000004</v>
      </c>
      <c r="G1307" s="5">
        <v>989.2120000000001</v>
      </c>
      <c r="I1307" t="str">
        <f t="shared" si="101"/>
        <v>Low Sales</v>
      </c>
      <c r="J1307" t="str">
        <f t="shared" si="102"/>
        <v>Average Performance</v>
      </c>
      <c r="K1307">
        <f t="shared" si="103"/>
        <v>2004</v>
      </c>
      <c r="L1307" t="str">
        <f t="shared" si="104"/>
        <v>September</v>
      </c>
    </row>
    <row r="1308" spans="1:12" x14ac:dyDescent="0.25">
      <c r="A1308" t="s">
        <v>84</v>
      </c>
      <c r="B1308" t="s">
        <v>258</v>
      </c>
      <c r="C1308" t="s">
        <v>264</v>
      </c>
      <c r="D1308" t="str">
        <f t="shared" si="100"/>
        <v>Vintage Cars</v>
      </c>
      <c r="E1308" t="s">
        <v>317</v>
      </c>
      <c r="F1308" s="5">
        <v>3525.6</v>
      </c>
      <c r="G1308" s="5">
        <v>705.12</v>
      </c>
      <c r="I1308" t="str">
        <f t="shared" si="101"/>
        <v>Low Sales</v>
      </c>
      <c r="J1308" t="str">
        <f t="shared" si="102"/>
        <v>Average Performance</v>
      </c>
      <c r="K1308">
        <f t="shared" si="103"/>
        <v>2004</v>
      </c>
      <c r="L1308" t="str">
        <f t="shared" si="104"/>
        <v>October</v>
      </c>
    </row>
    <row r="1309" spans="1:12" x14ac:dyDescent="0.25">
      <c r="A1309" t="s">
        <v>243</v>
      </c>
      <c r="B1309" t="s">
        <v>258</v>
      </c>
      <c r="C1309" t="s">
        <v>264</v>
      </c>
      <c r="D1309" t="str">
        <f t="shared" si="100"/>
        <v>Vintage Cars</v>
      </c>
      <c r="E1309" t="s">
        <v>317</v>
      </c>
      <c r="F1309" s="5">
        <v>3602.16</v>
      </c>
      <c r="G1309" s="5">
        <v>720.43200000000002</v>
      </c>
      <c r="I1309" t="str">
        <f t="shared" si="101"/>
        <v>Low Sales</v>
      </c>
      <c r="J1309" t="str">
        <f t="shared" si="102"/>
        <v>Average Performance</v>
      </c>
      <c r="K1309">
        <f t="shared" si="103"/>
        <v>2004</v>
      </c>
      <c r="L1309" t="str">
        <f t="shared" si="104"/>
        <v>October</v>
      </c>
    </row>
    <row r="1310" spans="1:12" x14ac:dyDescent="0.25">
      <c r="A1310" t="s">
        <v>229</v>
      </c>
      <c r="B1310" t="s">
        <v>258</v>
      </c>
      <c r="C1310" t="s">
        <v>264</v>
      </c>
      <c r="D1310" t="str">
        <f t="shared" si="100"/>
        <v>Vintage Cars</v>
      </c>
      <c r="E1310" t="s">
        <v>317</v>
      </c>
      <c r="F1310" s="5">
        <v>4300.5</v>
      </c>
      <c r="G1310" s="5">
        <v>860.1</v>
      </c>
      <c r="I1310" t="str">
        <f t="shared" si="101"/>
        <v>Low Sales</v>
      </c>
      <c r="J1310" t="str">
        <f t="shared" si="102"/>
        <v>Average Performance</v>
      </c>
      <c r="K1310">
        <f t="shared" si="103"/>
        <v>2004</v>
      </c>
      <c r="L1310" t="str">
        <f t="shared" si="104"/>
        <v>November</v>
      </c>
    </row>
    <row r="1311" spans="1:12" x14ac:dyDescent="0.25">
      <c r="A1311" t="s">
        <v>87</v>
      </c>
      <c r="C1311" t="s">
        <v>264</v>
      </c>
      <c r="D1311" t="str">
        <f t="shared" si="100"/>
        <v>Vintage Cars</v>
      </c>
      <c r="E1311" t="s">
        <v>317</v>
      </c>
      <c r="F1311" s="5">
        <v>4498.1899999999996</v>
      </c>
      <c r="G1311" s="5">
        <v>899.63799999999992</v>
      </c>
      <c r="I1311" t="str">
        <f t="shared" si="101"/>
        <v>Low Sales</v>
      </c>
      <c r="J1311" t="str">
        <f t="shared" si="102"/>
        <v>Average Performance</v>
      </c>
      <c r="K1311">
        <f t="shared" si="103"/>
        <v>2004</v>
      </c>
      <c r="L1311" t="str">
        <f t="shared" si="104"/>
        <v>November</v>
      </c>
    </row>
    <row r="1312" spans="1:12" x14ac:dyDescent="0.25">
      <c r="A1312" t="s">
        <v>88</v>
      </c>
      <c r="B1312" t="s">
        <v>258</v>
      </c>
      <c r="C1312" t="s">
        <v>264</v>
      </c>
      <c r="D1312" t="str">
        <f t="shared" si="100"/>
        <v>Vintage Cars</v>
      </c>
      <c r="E1312" t="s">
        <v>317</v>
      </c>
      <c r="F1312" s="5">
        <v>3023.1</v>
      </c>
      <c r="G1312" s="5">
        <v>604.62</v>
      </c>
      <c r="I1312" t="str">
        <f t="shared" si="101"/>
        <v>Low Sales</v>
      </c>
      <c r="J1312" t="str">
        <f t="shared" si="102"/>
        <v>Average Performance</v>
      </c>
      <c r="K1312">
        <f t="shared" si="103"/>
        <v>2004</v>
      </c>
      <c r="L1312" t="str">
        <f t="shared" si="104"/>
        <v>December</v>
      </c>
    </row>
    <row r="1313" spans="1:12" x14ac:dyDescent="0.25">
      <c r="A1313" t="s">
        <v>142</v>
      </c>
      <c r="B1313" t="s">
        <v>260</v>
      </c>
      <c r="C1313" t="s">
        <v>264</v>
      </c>
      <c r="D1313" t="str">
        <f t="shared" si="100"/>
        <v>Vintage Cars</v>
      </c>
      <c r="E1313" t="s">
        <v>317</v>
      </c>
      <c r="F1313" s="5">
        <v>3562.49</v>
      </c>
      <c r="G1313" s="5">
        <v>712.49800000000005</v>
      </c>
      <c r="I1313" t="str">
        <f t="shared" si="101"/>
        <v>Low Sales</v>
      </c>
      <c r="J1313" t="str">
        <f t="shared" si="102"/>
        <v>Average Performance</v>
      </c>
      <c r="K1313">
        <f t="shared" si="103"/>
        <v>2005</v>
      </c>
      <c r="L1313" t="str">
        <f t="shared" si="104"/>
        <v>January</v>
      </c>
    </row>
    <row r="1314" spans="1:12" x14ac:dyDescent="0.25">
      <c r="A1314" t="s">
        <v>211</v>
      </c>
      <c r="B1314" t="s">
        <v>258</v>
      </c>
      <c r="C1314" t="s">
        <v>264</v>
      </c>
      <c r="D1314" t="str">
        <f t="shared" si="100"/>
        <v>Vintage Cars</v>
      </c>
      <c r="E1314" t="s">
        <v>317</v>
      </c>
      <c r="F1314" s="5">
        <v>1640.24</v>
      </c>
      <c r="G1314" s="5">
        <v>328.048</v>
      </c>
      <c r="I1314" t="str">
        <f t="shared" si="101"/>
        <v>Low Sales</v>
      </c>
      <c r="J1314" t="str">
        <f t="shared" si="102"/>
        <v>Average Performance</v>
      </c>
      <c r="K1314">
        <f t="shared" si="103"/>
        <v>2005</v>
      </c>
      <c r="L1314" t="str">
        <f t="shared" si="104"/>
        <v>February</v>
      </c>
    </row>
    <row r="1315" spans="1:12" x14ac:dyDescent="0.25">
      <c r="A1315" t="s">
        <v>147</v>
      </c>
      <c r="C1315" t="s">
        <v>264</v>
      </c>
      <c r="D1315" t="str">
        <f t="shared" si="100"/>
        <v>Vintage Cars</v>
      </c>
      <c r="E1315" t="s">
        <v>317</v>
      </c>
      <c r="F1315" s="5">
        <v>4739.3999999999996</v>
      </c>
      <c r="G1315" s="5">
        <v>947.88</v>
      </c>
      <c r="I1315" t="str">
        <f t="shared" si="101"/>
        <v>Low Sales</v>
      </c>
      <c r="J1315" t="str">
        <f t="shared" si="102"/>
        <v>Average Performance</v>
      </c>
      <c r="K1315">
        <f t="shared" si="103"/>
        <v>2005</v>
      </c>
      <c r="L1315" t="str">
        <f t="shared" si="104"/>
        <v>March</v>
      </c>
    </row>
    <row r="1316" spans="1:12" x14ac:dyDescent="0.25">
      <c r="A1316" t="s">
        <v>94</v>
      </c>
      <c r="C1316" t="s">
        <v>264</v>
      </c>
      <c r="D1316" t="str">
        <f t="shared" si="100"/>
        <v>Vintage Cars</v>
      </c>
      <c r="E1316" t="s">
        <v>317</v>
      </c>
      <c r="F1316" s="5">
        <v>1207.68</v>
      </c>
      <c r="G1316" s="5">
        <v>241.536</v>
      </c>
      <c r="I1316" t="str">
        <f t="shared" si="101"/>
        <v>Low Sales</v>
      </c>
      <c r="J1316" t="str">
        <f t="shared" si="102"/>
        <v>Average Performance</v>
      </c>
      <c r="K1316">
        <f t="shared" si="103"/>
        <v>2005</v>
      </c>
      <c r="L1316" t="str">
        <f t="shared" si="104"/>
        <v>May</v>
      </c>
    </row>
    <row r="1317" spans="1:12" x14ac:dyDescent="0.25">
      <c r="A1317" t="s">
        <v>32</v>
      </c>
      <c r="B1317" t="s">
        <v>258</v>
      </c>
      <c r="C1317" t="s">
        <v>263</v>
      </c>
      <c r="D1317" t="str">
        <f t="shared" si="100"/>
        <v>Trucks And Buses</v>
      </c>
      <c r="E1317" t="s">
        <v>318</v>
      </c>
      <c r="F1317" s="5">
        <v>4228.2</v>
      </c>
      <c r="G1317" s="5">
        <v>845.64</v>
      </c>
      <c r="I1317" t="str">
        <f t="shared" si="101"/>
        <v>Low Sales</v>
      </c>
      <c r="J1317" t="str">
        <f t="shared" si="102"/>
        <v>Average Performance</v>
      </c>
      <c r="K1317">
        <f t="shared" si="103"/>
        <v>2003</v>
      </c>
      <c r="L1317" t="str">
        <f t="shared" si="104"/>
        <v>January</v>
      </c>
    </row>
    <row r="1318" spans="1:12" x14ac:dyDescent="0.25">
      <c r="A1318" t="s">
        <v>95</v>
      </c>
      <c r="B1318" t="s">
        <v>258</v>
      </c>
      <c r="C1318" t="s">
        <v>263</v>
      </c>
      <c r="D1318" t="str">
        <f t="shared" si="100"/>
        <v>Trucks And Buses</v>
      </c>
      <c r="E1318" t="s">
        <v>318</v>
      </c>
      <c r="F1318" s="5">
        <v>4815.45</v>
      </c>
      <c r="G1318" s="5">
        <v>963.09</v>
      </c>
      <c r="I1318" t="str">
        <f t="shared" si="101"/>
        <v>Low Sales</v>
      </c>
      <c r="J1318" t="str">
        <f t="shared" si="102"/>
        <v>Average Performance</v>
      </c>
      <c r="K1318">
        <f t="shared" si="103"/>
        <v>2003</v>
      </c>
      <c r="L1318" t="str">
        <f t="shared" si="104"/>
        <v>April</v>
      </c>
    </row>
    <row r="1319" spans="1:12" x14ac:dyDescent="0.25">
      <c r="A1319" t="s">
        <v>34</v>
      </c>
      <c r="B1319" t="s">
        <v>258</v>
      </c>
      <c r="C1319" t="s">
        <v>263</v>
      </c>
      <c r="D1319" t="str">
        <f t="shared" si="100"/>
        <v>Trucks And Buses</v>
      </c>
      <c r="E1319" t="s">
        <v>318</v>
      </c>
      <c r="F1319" s="5">
        <v>7083</v>
      </c>
      <c r="G1319" s="5">
        <v>1416.6</v>
      </c>
      <c r="I1319" t="str">
        <f t="shared" si="101"/>
        <v>Low Sales</v>
      </c>
      <c r="J1319" t="str">
        <f t="shared" si="102"/>
        <v>Average Performance</v>
      </c>
      <c r="K1319">
        <f t="shared" si="103"/>
        <v>2003</v>
      </c>
      <c r="L1319" t="str">
        <f t="shared" si="104"/>
        <v>May</v>
      </c>
    </row>
    <row r="1320" spans="1:12" x14ac:dyDescent="0.25">
      <c r="A1320" t="s">
        <v>35</v>
      </c>
      <c r="C1320" t="s">
        <v>263</v>
      </c>
      <c r="D1320" t="str">
        <f t="shared" si="100"/>
        <v>Trucks And Buses</v>
      </c>
      <c r="E1320" t="s">
        <v>318</v>
      </c>
      <c r="F1320" s="5">
        <v>4601.2</v>
      </c>
      <c r="G1320" s="5">
        <v>920.24</v>
      </c>
      <c r="I1320" t="str">
        <f t="shared" si="101"/>
        <v>Low Sales</v>
      </c>
      <c r="J1320" t="str">
        <f t="shared" si="102"/>
        <v>Average Performance</v>
      </c>
      <c r="K1320">
        <f t="shared" si="103"/>
        <v>2003</v>
      </c>
      <c r="L1320" t="str">
        <f t="shared" si="104"/>
        <v>July</v>
      </c>
    </row>
    <row r="1321" spans="1:12" x14ac:dyDescent="0.25">
      <c r="A1321" t="s">
        <v>36</v>
      </c>
      <c r="B1321" t="s">
        <v>260</v>
      </c>
      <c r="C1321" t="s">
        <v>263</v>
      </c>
      <c r="D1321" t="str">
        <f t="shared" si="100"/>
        <v>Trucks And Buses</v>
      </c>
      <c r="E1321" t="s">
        <v>318</v>
      </c>
      <c r="F1321" s="5">
        <v>6467.02</v>
      </c>
      <c r="G1321" s="5">
        <v>1293.404</v>
      </c>
      <c r="I1321" t="str">
        <f t="shared" si="101"/>
        <v>Low Sales</v>
      </c>
      <c r="J1321" t="str">
        <f t="shared" si="102"/>
        <v>Average Performance</v>
      </c>
      <c r="K1321">
        <f t="shared" si="103"/>
        <v>2003</v>
      </c>
      <c r="L1321" t="str">
        <f t="shared" si="104"/>
        <v>September</v>
      </c>
    </row>
    <row r="1322" spans="1:12" x14ac:dyDescent="0.25">
      <c r="A1322" t="s">
        <v>96</v>
      </c>
      <c r="B1322" t="s">
        <v>258</v>
      </c>
      <c r="C1322" t="s">
        <v>263</v>
      </c>
      <c r="D1322" t="str">
        <f t="shared" si="100"/>
        <v>Trucks And Buses</v>
      </c>
      <c r="E1322" t="s">
        <v>318</v>
      </c>
      <c r="F1322" s="5">
        <v>5012.55</v>
      </c>
      <c r="G1322" s="5">
        <v>1002.51</v>
      </c>
      <c r="I1322" t="str">
        <f t="shared" si="101"/>
        <v>Low Sales</v>
      </c>
      <c r="J1322" t="str">
        <f t="shared" si="102"/>
        <v>Average Performance</v>
      </c>
      <c r="K1322">
        <f t="shared" si="103"/>
        <v>2003</v>
      </c>
      <c r="L1322" t="str">
        <f t="shared" si="104"/>
        <v>October</v>
      </c>
    </row>
    <row r="1323" spans="1:12" x14ac:dyDescent="0.25">
      <c r="A1323" t="s">
        <v>38</v>
      </c>
      <c r="B1323" t="s">
        <v>258</v>
      </c>
      <c r="C1323" t="s">
        <v>263</v>
      </c>
      <c r="D1323" t="str">
        <f t="shared" si="100"/>
        <v>Trucks And Buses</v>
      </c>
      <c r="E1323" t="s">
        <v>318</v>
      </c>
      <c r="F1323" s="5">
        <v>5121.59</v>
      </c>
      <c r="G1323" s="5">
        <v>1024.318</v>
      </c>
      <c r="I1323" t="str">
        <f t="shared" si="101"/>
        <v>Low Sales</v>
      </c>
      <c r="J1323" t="str">
        <f t="shared" si="102"/>
        <v>Average Performance</v>
      </c>
      <c r="K1323">
        <f t="shared" si="103"/>
        <v>2003</v>
      </c>
      <c r="L1323" t="str">
        <f t="shared" si="104"/>
        <v>November</v>
      </c>
    </row>
    <row r="1324" spans="1:12" x14ac:dyDescent="0.25">
      <c r="A1324" t="s">
        <v>39</v>
      </c>
      <c r="C1324" t="s">
        <v>263</v>
      </c>
      <c r="D1324" t="str">
        <f t="shared" si="100"/>
        <v>Trucks And Buses</v>
      </c>
      <c r="E1324" t="s">
        <v>318</v>
      </c>
      <c r="F1324" s="5">
        <v>2441.04</v>
      </c>
      <c r="G1324" s="5">
        <v>488.20800000000003</v>
      </c>
      <c r="I1324" t="str">
        <f t="shared" si="101"/>
        <v>Low Sales</v>
      </c>
      <c r="J1324" t="str">
        <f t="shared" si="102"/>
        <v>Average Performance</v>
      </c>
      <c r="K1324">
        <f t="shared" si="103"/>
        <v>2003</v>
      </c>
      <c r="L1324" t="str">
        <f t="shared" si="104"/>
        <v>November</v>
      </c>
    </row>
    <row r="1325" spans="1:12" x14ac:dyDescent="0.25">
      <c r="A1325" t="s">
        <v>40</v>
      </c>
      <c r="B1325" t="s">
        <v>258</v>
      </c>
      <c r="C1325" t="s">
        <v>263</v>
      </c>
      <c r="D1325" t="str">
        <f t="shared" si="100"/>
        <v>Trucks And Buses</v>
      </c>
      <c r="E1325" t="s">
        <v>318</v>
      </c>
      <c r="F1325" s="5">
        <v>4262.08</v>
      </c>
      <c r="G1325" s="5">
        <v>852.41600000000005</v>
      </c>
      <c r="I1325" t="str">
        <f t="shared" si="101"/>
        <v>Low Sales</v>
      </c>
      <c r="J1325" t="str">
        <f t="shared" si="102"/>
        <v>Average Performance</v>
      </c>
      <c r="K1325">
        <f t="shared" si="103"/>
        <v>2003</v>
      </c>
      <c r="L1325" t="str">
        <f t="shared" si="104"/>
        <v>November</v>
      </c>
    </row>
    <row r="1326" spans="1:12" x14ac:dyDescent="0.25">
      <c r="A1326" t="s">
        <v>97</v>
      </c>
      <c r="C1326" t="s">
        <v>263</v>
      </c>
      <c r="D1326" t="str">
        <f t="shared" si="100"/>
        <v>Trucks And Buses</v>
      </c>
      <c r="E1326" t="s">
        <v>318</v>
      </c>
      <c r="F1326" s="5">
        <v>6658.02</v>
      </c>
      <c r="G1326" s="5">
        <v>1331.604</v>
      </c>
      <c r="I1326" t="str">
        <f t="shared" si="101"/>
        <v>Low Sales</v>
      </c>
      <c r="J1326" t="str">
        <f t="shared" si="102"/>
        <v>Average Performance</v>
      </c>
      <c r="K1326">
        <f t="shared" si="103"/>
        <v>2003</v>
      </c>
      <c r="L1326" t="str">
        <f t="shared" si="104"/>
        <v>December</v>
      </c>
    </row>
    <row r="1327" spans="1:12" x14ac:dyDescent="0.25">
      <c r="A1327" t="s">
        <v>98</v>
      </c>
      <c r="B1327" t="s">
        <v>259</v>
      </c>
      <c r="C1327" t="s">
        <v>263</v>
      </c>
      <c r="D1327" t="str">
        <f t="shared" si="100"/>
        <v>Trucks And Buses</v>
      </c>
      <c r="E1327" t="s">
        <v>318</v>
      </c>
      <c r="F1327" s="5">
        <v>4509.08</v>
      </c>
      <c r="G1327" s="5">
        <v>901.81600000000003</v>
      </c>
      <c r="I1327" t="str">
        <f t="shared" si="101"/>
        <v>Low Sales</v>
      </c>
      <c r="J1327" t="str">
        <f t="shared" si="102"/>
        <v>Average Performance</v>
      </c>
      <c r="K1327">
        <f t="shared" si="103"/>
        <v>2004</v>
      </c>
      <c r="L1327" t="str">
        <f t="shared" si="104"/>
        <v>February</v>
      </c>
    </row>
    <row r="1328" spans="1:12" x14ac:dyDescent="0.25">
      <c r="A1328" t="s">
        <v>99</v>
      </c>
      <c r="C1328" t="s">
        <v>263</v>
      </c>
      <c r="D1328" t="str">
        <f t="shared" si="100"/>
        <v>Trucks And Buses</v>
      </c>
      <c r="E1328" t="s">
        <v>318</v>
      </c>
      <c r="F1328" s="5">
        <v>4716.2299999999996</v>
      </c>
      <c r="G1328" s="5">
        <v>943.24599999999998</v>
      </c>
      <c r="I1328" t="str">
        <f t="shared" si="101"/>
        <v>Low Sales</v>
      </c>
      <c r="J1328" t="str">
        <f t="shared" si="102"/>
        <v>Average Performance</v>
      </c>
      <c r="K1328">
        <f t="shared" si="103"/>
        <v>2004</v>
      </c>
      <c r="L1328" t="str">
        <f t="shared" si="104"/>
        <v>March</v>
      </c>
    </row>
    <row r="1329" spans="1:12" x14ac:dyDescent="0.25">
      <c r="A1329" t="s">
        <v>44</v>
      </c>
      <c r="C1329" t="s">
        <v>263</v>
      </c>
      <c r="D1329" t="str">
        <f t="shared" si="100"/>
        <v>Trucks And Buses</v>
      </c>
      <c r="E1329" t="s">
        <v>318</v>
      </c>
      <c r="F1329" s="5">
        <v>2390.2199999999998</v>
      </c>
      <c r="G1329" s="5">
        <v>478.04399999999998</v>
      </c>
      <c r="I1329" t="str">
        <f t="shared" si="101"/>
        <v>Low Sales</v>
      </c>
      <c r="J1329" t="str">
        <f t="shared" si="102"/>
        <v>Average Performance</v>
      </c>
      <c r="K1329">
        <f t="shared" si="103"/>
        <v>2004</v>
      </c>
      <c r="L1329" t="str">
        <f t="shared" si="104"/>
        <v>May</v>
      </c>
    </row>
    <row r="1330" spans="1:12" x14ac:dyDescent="0.25">
      <c r="A1330" t="s">
        <v>45</v>
      </c>
      <c r="B1330" t="s">
        <v>259</v>
      </c>
      <c r="C1330" t="s">
        <v>263</v>
      </c>
      <c r="D1330" t="str">
        <f t="shared" si="100"/>
        <v>Trucks And Buses</v>
      </c>
      <c r="E1330" t="s">
        <v>318</v>
      </c>
      <c r="F1330" s="5">
        <v>4666.62</v>
      </c>
      <c r="G1330" s="5">
        <v>933.32400000000007</v>
      </c>
      <c r="I1330" t="str">
        <f t="shared" si="101"/>
        <v>Low Sales</v>
      </c>
      <c r="J1330" t="str">
        <f t="shared" si="102"/>
        <v>Average Performance</v>
      </c>
      <c r="K1330">
        <f t="shared" si="103"/>
        <v>2004</v>
      </c>
      <c r="L1330" t="str">
        <f t="shared" si="104"/>
        <v>June</v>
      </c>
    </row>
    <row r="1331" spans="1:12" x14ac:dyDescent="0.25">
      <c r="A1331" t="s">
        <v>46</v>
      </c>
      <c r="B1331" t="s">
        <v>259</v>
      </c>
      <c r="C1331" t="s">
        <v>263</v>
      </c>
      <c r="D1331" t="str">
        <f t="shared" si="100"/>
        <v>Trucks And Buses</v>
      </c>
      <c r="E1331" t="s">
        <v>318</v>
      </c>
      <c r="F1331" s="5">
        <v>5383.08</v>
      </c>
      <c r="G1331" s="5">
        <v>1076.616</v>
      </c>
      <c r="I1331" t="str">
        <f t="shared" si="101"/>
        <v>Low Sales</v>
      </c>
      <c r="J1331" t="str">
        <f t="shared" si="102"/>
        <v>Average Performance</v>
      </c>
      <c r="K1331">
        <f t="shared" si="103"/>
        <v>2004</v>
      </c>
      <c r="L1331" t="str">
        <f t="shared" si="104"/>
        <v>July</v>
      </c>
    </row>
    <row r="1332" spans="1:12" x14ac:dyDescent="0.25">
      <c r="A1332" t="s">
        <v>100</v>
      </c>
      <c r="C1332" t="s">
        <v>263</v>
      </c>
      <c r="D1332" t="str">
        <f t="shared" si="100"/>
        <v>Trucks And Buses</v>
      </c>
      <c r="E1332" t="s">
        <v>318</v>
      </c>
      <c r="F1332" s="5">
        <v>2482.25</v>
      </c>
      <c r="G1332" s="5">
        <v>496.45</v>
      </c>
      <c r="I1332" t="str">
        <f t="shared" si="101"/>
        <v>Low Sales</v>
      </c>
      <c r="J1332" t="str">
        <f t="shared" si="102"/>
        <v>Average Performance</v>
      </c>
      <c r="K1332">
        <f t="shared" si="103"/>
        <v>2004</v>
      </c>
      <c r="L1332" t="str">
        <f t="shared" si="104"/>
        <v>August</v>
      </c>
    </row>
    <row r="1333" spans="1:12" x14ac:dyDescent="0.25">
      <c r="A1333" t="s">
        <v>48</v>
      </c>
      <c r="B1333" t="s">
        <v>258</v>
      </c>
      <c r="C1333" t="s">
        <v>263</v>
      </c>
      <c r="D1333" t="str">
        <f t="shared" si="100"/>
        <v>Trucks And Buses</v>
      </c>
      <c r="E1333" t="s">
        <v>318</v>
      </c>
      <c r="F1333" s="5">
        <v>5288.64</v>
      </c>
      <c r="G1333" s="5">
        <v>1057.7280000000001</v>
      </c>
      <c r="I1333" t="str">
        <f t="shared" si="101"/>
        <v>Low Sales</v>
      </c>
      <c r="J1333" t="str">
        <f t="shared" si="102"/>
        <v>Average Performance</v>
      </c>
      <c r="K1333">
        <f t="shared" si="103"/>
        <v>2004</v>
      </c>
      <c r="L1333" t="str">
        <f t="shared" si="104"/>
        <v>September</v>
      </c>
    </row>
    <row r="1334" spans="1:12" x14ac:dyDescent="0.25">
      <c r="A1334" t="s">
        <v>101</v>
      </c>
      <c r="C1334" t="s">
        <v>263</v>
      </c>
      <c r="D1334" t="str">
        <f t="shared" si="100"/>
        <v>Trucks And Buses</v>
      </c>
      <c r="E1334" t="s">
        <v>318</v>
      </c>
      <c r="F1334" s="5">
        <v>2184.38</v>
      </c>
      <c r="G1334" s="5">
        <v>436.87599999999998</v>
      </c>
      <c r="I1334" t="str">
        <f t="shared" si="101"/>
        <v>Low Sales</v>
      </c>
      <c r="J1334" t="str">
        <f t="shared" si="102"/>
        <v>Average Performance</v>
      </c>
      <c r="K1334">
        <f t="shared" si="103"/>
        <v>2004</v>
      </c>
      <c r="L1334" t="str">
        <f t="shared" si="104"/>
        <v>October</v>
      </c>
    </row>
    <row r="1335" spans="1:12" x14ac:dyDescent="0.25">
      <c r="A1335" t="s">
        <v>102</v>
      </c>
      <c r="C1335" t="s">
        <v>263</v>
      </c>
      <c r="D1335" t="str">
        <f t="shared" si="100"/>
        <v>Trucks And Buses</v>
      </c>
      <c r="E1335" t="s">
        <v>318</v>
      </c>
      <c r="F1335" s="5">
        <v>2881.76</v>
      </c>
      <c r="G1335" s="5">
        <v>576.35200000000009</v>
      </c>
      <c r="I1335" t="str">
        <f t="shared" si="101"/>
        <v>Low Sales</v>
      </c>
      <c r="J1335" t="str">
        <f t="shared" si="102"/>
        <v>Average Performance</v>
      </c>
      <c r="K1335">
        <f t="shared" si="103"/>
        <v>2004</v>
      </c>
      <c r="L1335" t="str">
        <f t="shared" si="104"/>
        <v>October</v>
      </c>
    </row>
    <row r="1336" spans="1:12" x14ac:dyDescent="0.25">
      <c r="A1336" t="s">
        <v>86</v>
      </c>
      <c r="B1336" t="s">
        <v>258</v>
      </c>
      <c r="C1336" t="s">
        <v>263</v>
      </c>
      <c r="D1336" t="str">
        <f t="shared" si="100"/>
        <v>Trucks And Buses</v>
      </c>
      <c r="E1336" t="s">
        <v>318</v>
      </c>
      <c r="F1336" s="5">
        <v>6203.06</v>
      </c>
      <c r="G1336" s="5">
        <v>1240.6120000000001</v>
      </c>
      <c r="I1336" t="str">
        <f t="shared" si="101"/>
        <v>Low Sales</v>
      </c>
      <c r="J1336" t="str">
        <f t="shared" si="102"/>
        <v>Average Performance</v>
      </c>
      <c r="K1336">
        <f t="shared" si="103"/>
        <v>2004</v>
      </c>
      <c r="L1336" t="str">
        <f t="shared" si="104"/>
        <v>November</v>
      </c>
    </row>
    <row r="1337" spans="1:12" x14ac:dyDescent="0.25">
      <c r="A1337" t="s">
        <v>103</v>
      </c>
      <c r="B1337" t="s">
        <v>258</v>
      </c>
      <c r="C1337" t="s">
        <v>263</v>
      </c>
      <c r="D1337" t="str">
        <f t="shared" si="100"/>
        <v>Trucks And Buses</v>
      </c>
      <c r="E1337" t="s">
        <v>318</v>
      </c>
      <c r="F1337" s="5">
        <v>6763.47</v>
      </c>
      <c r="G1337" s="5">
        <v>1352.694</v>
      </c>
      <c r="I1337" t="str">
        <f t="shared" si="101"/>
        <v>Low Sales</v>
      </c>
      <c r="J1337" t="str">
        <f t="shared" si="102"/>
        <v>Average Performance</v>
      </c>
      <c r="K1337">
        <f t="shared" si="103"/>
        <v>2004</v>
      </c>
      <c r="L1337" t="str">
        <f t="shared" si="104"/>
        <v>November</v>
      </c>
    </row>
    <row r="1338" spans="1:12" x14ac:dyDescent="0.25">
      <c r="A1338" t="s">
        <v>53</v>
      </c>
      <c r="B1338" t="s">
        <v>259</v>
      </c>
      <c r="C1338" t="s">
        <v>263</v>
      </c>
      <c r="D1338" t="str">
        <f t="shared" si="100"/>
        <v>Trucks And Buses</v>
      </c>
      <c r="E1338" t="s">
        <v>318</v>
      </c>
      <c r="F1338" s="5">
        <v>5884.65</v>
      </c>
      <c r="G1338" s="5">
        <v>1176.93</v>
      </c>
      <c r="I1338" t="str">
        <f t="shared" si="101"/>
        <v>Low Sales</v>
      </c>
      <c r="J1338" t="str">
        <f t="shared" si="102"/>
        <v>Average Performance</v>
      </c>
      <c r="K1338">
        <f t="shared" si="103"/>
        <v>2004</v>
      </c>
      <c r="L1338" t="str">
        <f t="shared" si="104"/>
        <v>November</v>
      </c>
    </row>
    <row r="1339" spans="1:12" x14ac:dyDescent="0.25">
      <c r="A1339" t="s">
        <v>54</v>
      </c>
      <c r="C1339" t="s">
        <v>263</v>
      </c>
      <c r="D1339" t="str">
        <f t="shared" si="100"/>
        <v>Trucks And Buses</v>
      </c>
      <c r="E1339" t="s">
        <v>318</v>
      </c>
      <c r="F1339" s="5">
        <v>3559.64</v>
      </c>
      <c r="G1339" s="5">
        <v>711.928</v>
      </c>
      <c r="I1339" t="str">
        <f t="shared" si="101"/>
        <v>Low Sales</v>
      </c>
      <c r="J1339" t="str">
        <f t="shared" si="102"/>
        <v>Average Performance</v>
      </c>
      <c r="K1339">
        <f t="shared" si="103"/>
        <v>2004</v>
      </c>
      <c r="L1339" t="str">
        <f t="shared" si="104"/>
        <v>December</v>
      </c>
    </row>
    <row r="1340" spans="1:12" x14ac:dyDescent="0.25">
      <c r="A1340" t="s">
        <v>55</v>
      </c>
      <c r="B1340" t="s">
        <v>259</v>
      </c>
      <c r="C1340" t="s">
        <v>263</v>
      </c>
      <c r="D1340" t="str">
        <f t="shared" si="100"/>
        <v>Trucks And Buses</v>
      </c>
      <c r="E1340" t="s">
        <v>318</v>
      </c>
      <c r="F1340" s="5">
        <v>1668.37</v>
      </c>
      <c r="G1340" s="5">
        <v>333.67399999999998</v>
      </c>
      <c r="I1340" t="str">
        <f t="shared" si="101"/>
        <v>Low Sales</v>
      </c>
      <c r="J1340" t="str">
        <f t="shared" si="102"/>
        <v>Average Performance</v>
      </c>
      <c r="K1340">
        <f t="shared" si="103"/>
        <v>2005</v>
      </c>
      <c r="L1340" t="str">
        <f t="shared" si="104"/>
        <v>January</v>
      </c>
    </row>
    <row r="1341" spans="1:12" x14ac:dyDescent="0.25">
      <c r="A1341" t="s">
        <v>56</v>
      </c>
      <c r="C1341" t="s">
        <v>263</v>
      </c>
      <c r="D1341" t="str">
        <f t="shared" si="100"/>
        <v>Trucks And Buses</v>
      </c>
      <c r="E1341" t="s">
        <v>318</v>
      </c>
      <c r="F1341" s="5">
        <v>4890.6000000000004</v>
      </c>
      <c r="G1341" s="5">
        <v>978.12000000000012</v>
      </c>
      <c r="I1341" t="str">
        <f t="shared" si="101"/>
        <v>Low Sales</v>
      </c>
      <c r="J1341" t="str">
        <f t="shared" si="102"/>
        <v>Average Performance</v>
      </c>
      <c r="K1341">
        <f t="shared" si="103"/>
        <v>2005</v>
      </c>
      <c r="L1341" t="str">
        <f t="shared" si="104"/>
        <v>February</v>
      </c>
    </row>
    <row r="1342" spans="1:12" x14ac:dyDescent="0.25">
      <c r="A1342" t="s">
        <v>58</v>
      </c>
      <c r="C1342" t="s">
        <v>263</v>
      </c>
      <c r="D1342" t="str">
        <f t="shared" si="100"/>
        <v>Trucks And Buses</v>
      </c>
      <c r="E1342" t="s">
        <v>318</v>
      </c>
      <c r="F1342" s="5">
        <v>5235.72</v>
      </c>
      <c r="G1342" s="5">
        <v>1047.144</v>
      </c>
      <c r="I1342" t="str">
        <f t="shared" si="101"/>
        <v>Low Sales</v>
      </c>
      <c r="J1342" t="str">
        <f t="shared" si="102"/>
        <v>Average Performance</v>
      </c>
      <c r="K1342">
        <f t="shared" si="103"/>
        <v>2005</v>
      </c>
      <c r="L1342" t="str">
        <f t="shared" si="104"/>
        <v>May</v>
      </c>
    </row>
    <row r="1343" spans="1:12" x14ac:dyDescent="0.25">
      <c r="A1343" t="s">
        <v>59</v>
      </c>
      <c r="B1343" t="s">
        <v>258</v>
      </c>
      <c r="C1343" t="s">
        <v>263</v>
      </c>
      <c r="D1343" t="str">
        <f t="shared" si="100"/>
        <v>Trucks And Buses</v>
      </c>
      <c r="E1343" t="s">
        <v>318</v>
      </c>
      <c r="F1343" s="5">
        <v>4325.16</v>
      </c>
      <c r="G1343" s="5">
        <v>865.03200000000004</v>
      </c>
      <c r="I1343" t="str">
        <f t="shared" si="101"/>
        <v>Low Sales</v>
      </c>
      <c r="J1343" t="str">
        <f t="shared" si="102"/>
        <v>Average Performance</v>
      </c>
      <c r="K1343">
        <f t="shared" si="103"/>
        <v>2005</v>
      </c>
      <c r="L1343" t="str">
        <f t="shared" si="104"/>
        <v>May</v>
      </c>
    </row>
    <row r="1344" spans="1:12" x14ac:dyDescent="0.25">
      <c r="A1344" t="s">
        <v>32</v>
      </c>
      <c r="B1344" t="s">
        <v>258</v>
      </c>
      <c r="C1344" t="s">
        <v>264</v>
      </c>
      <c r="D1344" t="str">
        <f t="shared" si="100"/>
        <v>Vintage Cars</v>
      </c>
      <c r="E1344" t="s">
        <v>319</v>
      </c>
      <c r="F1344" s="5">
        <v>1938.89</v>
      </c>
      <c r="G1344" s="5">
        <v>387.77800000000002</v>
      </c>
      <c r="I1344" t="str">
        <f t="shared" si="101"/>
        <v>Low Sales</v>
      </c>
      <c r="J1344" t="str">
        <f t="shared" si="102"/>
        <v>Average Performance</v>
      </c>
      <c r="K1344">
        <f t="shared" si="103"/>
        <v>2003</v>
      </c>
      <c r="L1344" t="str">
        <f t="shared" si="104"/>
        <v>January</v>
      </c>
    </row>
    <row r="1345" spans="1:12" x14ac:dyDescent="0.25">
      <c r="A1345" t="s">
        <v>137</v>
      </c>
      <c r="C1345" t="s">
        <v>264</v>
      </c>
      <c r="D1345" t="str">
        <f t="shared" si="100"/>
        <v>Vintage Cars</v>
      </c>
      <c r="E1345" t="s">
        <v>319</v>
      </c>
      <c r="F1345" s="5">
        <v>2490.5</v>
      </c>
      <c r="G1345" s="5">
        <v>498.1</v>
      </c>
      <c r="I1345" t="str">
        <f t="shared" si="101"/>
        <v>Low Sales</v>
      </c>
      <c r="J1345" t="str">
        <f t="shared" si="102"/>
        <v>Average Performance</v>
      </c>
      <c r="K1345">
        <f t="shared" si="103"/>
        <v>2003</v>
      </c>
      <c r="L1345" t="str">
        <f t="shared" si="104"/>
        <v>March</v>
      </c>
    </row>
    <row r="1346" spans="1:12" x14ac:dyDescent="0.25">
      <c r="A1346" t="s">
        <v>34</v>
      </c>
      <c r="B1346" t="s">
        <v>258</v>
      </c>
      <c r="C1346" t="s">
        <v>264</v>
      </c>
      <c r="D1346" t="str">
        <f t="shared" si="100"/>
        <v>Vintage Cars</v>
      </c>
      <c r="E1346" t="s">
        <v>319</v>
      </c>
      <c r="F1346" s="5">
        <v>2314.69</v>
      </c>
      <c r="G1346" s="5">
        <v>462.93799999999999</v>
      </c>
      <c r="I1346" t="str">
        <f t="shared" si="101"/>
        <v>Low Sales</v>
      </c>
      <c r="J1346" t="str">
        <f t="shared" si="102"/>
        <v>Average Performance</v>
      </c>
      <c r="K1346">
        <f t="shared" si="103"/>
        <v>2003</v>
      </c>
      <c r="L1346" t="str">
        <f t="shared" si="104"/>
        <v>May</v>
      </c>
    </row>
    <row r="1347" spans="1:12" x14ac:dyDescent="0.25">
      <c r="A1347" t="s">
        <v>35</v>
      </c>
      <c r="C1347" t="s">
        <v>264</v>
      </c>
      <c r="D1347" t="str">
        <f t="shared" ref="D1347:D1410" si="105">PROPER(TRIM(C1347))</f>
        <v>Vintage Cars</v>
      </c>
      <c r="E1347" t="s">
        <v>319</v>
      </c>
      <c r="F1347" s="5">
        <v>1254.83</v>
      </c>
      <c r="G1347" s="5">
        <v>250.96600000000001</v>
      </c>
      <c r="I1347" t="str">
        <f t="shared" ref="I1347:I1410" si="106">IF(F1347&gt;50000,"High Sales","Low Sales")</f>
        <v>Low Sales</v>
      </c>
      <c r="J1347" t="str">
        <f t="shared" ref="J1347:J1410" si="107">IF(AND(F1347&gt;30000,G1347&gt;5000),"Good Performance","Average Performance")</f>
        <v>Average Performance</v>
      </c>
      <c r="K1347">
        <f t="shared" ref="K1347:K1410" si="108">YEAR(A1347)</f>
        <v>2003</v>
      </c>
      <c r="L1347" t="str">
        <f t="shared" ref="L1347:L1410" si="109">TEXT(A1347,"mmmm")</f>
        <v>July</v>
      </c>
    </row>
    <row r="1348" spans="1:12" x14ac:dyDescent="0.25">
      <c r="A1348" t="s">
        <v>36</v>
      </c>
      <c r="B1348" t="s">
        <v>260</v>
      </c>
      <c r="C1348" t="s">
        <v>264</v>
      </c>
      <c r="D1348" t="str">
        <f t="shared" si="105"/>
        <v>Vintage Cars</v>
      </c>
      <c r="E1348" t="s">
        <v>319</v>
      </c>
      <c r="F1348" s="5">
        <v>1282.8</v>
      </c>
      <c r="G1348" s="5">
        <v>256.56</v>
      </c>
      <c r="I1348" t="str">
        <f t="shared" si="106"/>
        <v>Low Sales</v>
      </c>
      <c r="J1348" t="str">
        <f t="shared" si="107"/>
        <v>Average Performance</v>
      </c>
      <c r="K1348">
        <f t="shared" si="108"/>
        <v>2003</v>
      </c>
      <c r="L1348" t="str">
        <f t="shared" si="109"/>
        <v>September</v>
      </c>
    </row>
    <row r="1349" spans="1:12" x14ac:dyDescent="0.25">
      <c r="A1349" t="s">
        <v>96</v>
      </c>
      <c r="B1349" t="s">
        <v>258</v>
      </c>
      <c r="C1349" t="s">
        <v>264</v>
      </c>
      <c r="D1349" t="str">
        <f t="shared" si="105"/>
        <v>Vintage Cars</v>
      </c>
      <c r="E1349" t="s">
        <v>319</v>
      </c>
      <c r="F1349" s="5">
        <v>1345.75</v>
      </c>
      <c r="G1349" s="5">
        <v>269.14999999999998</v>
      </c>
      <c r="I1349" t="str">
        <f t="shared" si="106"/>
        <v>Low Sales</v>
      </c>
      <c r="J1349" t="str">
        <f t="shared" si="107"/>
        <v>Average Performance</v>
      </c>
      <c r="K1349">
        <f t="shared" si="108"/>
        <v>2003</v>
      </c>
      <c r="L1349" t="str">
        <f t="shared" si="109"/>
        <v>October</v>
      </c>
    </row>
    <row r="1350" spans="1:12" x14ac:dyDescent="0.25">
      <c r="A1350" t="s">
        <v>38</v>
      </c>
      <c r="B1350" t="s">
        <v>259</v>
      </c>
      <c r="C1350" t="s">
        <v>264</v>
      </c>
      <c r="D1350" t="str">
        <f t="shared" si="105"/>
        <v>Vintage Cars</v>
      </c>
      <c r="E1350" t="s">
        <v>319</v>
      </c>
      <c r="F1350" s="5">
        <v>2194.2199999999998</v>
      </c>
      <c r="G1350" s="5">
        <v>438.84399999999999</v>
      </c>
      <c r="I1350" t="str">
        <f t="shared" si="106"/>
        <v>Low Sales</v>
      </c>
      <c r="J1350" t="str">
        <f t="shared" si="107"/>
        <v>Average Performance</v>
      </c>
      <c r="K1350">
        <f t="shared" si="108"/>
        <v>2003</v>
      </c>
      <c r="L1350" t="str">
        <f t="shared" si="109"/>
        <v>November</v>
      </c>
    </row>
    <row r="1351" spans="1:12" x14ac:dyDescent="0.25">
      <c r="A1351" t="s">
        <v>39</v>
      </c>
      <c r="C1351" t="s">
        <v>264</v>
      </c>
      <c r="D1351" t="str">
        <f t="shared" si="105"/>
        <v>Vintage Cars</v>
      </c>
      <c r="E1351" t="s">
        <v>319</v>
      </c>
      <c r="F1351" s="5">
        <v>1972</v>
      </c>
      <c r="G1351" s="5">
        <v>394.4</v>
      </c>
      <c r="I1351" t="str">
        <f t="shared" si="106"/>
        <v>Low Sales</v>
      </c>
      <c r="J1351" t="str">
        <f t="shared" si="107"/>
        <v>Average Performance</v>
      </c>
      <c r="K1351">
        <f t="shared" si="108"/>
        <v>2003</v>
      </c>
      <c r="L1351" t="str">
        <f t="shared" si="109"/>
        <v>November</v>
      </c>
    </row>
    <row r="1352" spans="1:12" x14ac:dyDescent="0.25">
      <c r="A1352" t="s">
        <v>40</v>
      </c>
      <c r="B1352" t="s">
        <v>258</v>
      </c>
      <c r="C1352" t="s">
        <v>264</v>
      </c>
      <c r="D1352" t="str">
        <f t="shared" si="105"/>
        <v>Vintage Cars</v>
      </c>
      <c r="E1352" t="s">
        <v>319</v>
      </c>
      <c r="F1352" s="5">
        <v>1835.98</v>
      </c>
      <c r="G1352" s="5">
        <v>367.19600000000003</v>
      </c>
      <c r="I1352" t="str">
        <f t="shared" si="106"/>
        <v>Low Sales</v>
      </c>
      <c r="J1352" t="str">
        <f t="shared" si="107"/>
        <v>Average Performance</v>
      </c>
      <c r="K1352">
        <f t="shared" si="108"/>
        <v>2003</v>
      </c>
      <c r="L1352" t="str">
        <f t="shared" si="109"/>
        <v>November</v>
      </c>
    </row>
    <row r="1353" spans="1:12" x14ac:dyDescent="0.25">
      <c r="A1353" t="s">
        <v>41</v>
      </c>
      <c r="C1353" t="s">
        <v>264</v>
      </c>
      <c r="D1353" t="str">
        <f t="shared" si="105"/>
        <v>Vintage Cars</v>
      </c>
      <c r="E1353" t="s">
        <v>319</v>
      </c>
      <c r="F1353" s="5">
        <v>1119.93</v>
      </c>
      <c r="G1353" s="5">
        <v>223.98599999999999</v>
      </c>
      <c r="I1353" t="str">
        <f t="shared" si="106"/>
        <v>Low Sales</v>
      </c>
      <c r="J1353" t="str">
        <f t="shared" si="107"/>
        <v>Average Performance</v>
      </c>
      <c r="K1353">
        <f t="shared" si="108"/>
        <v>2003</v>
      </c>
      <c r="L1353" t="str">
        <f t="shared" si="109"/>
        <v>December</v>
      </c>
    </row>
    <row r="1354" spans="1:12" x14ac:dyDescent="0.25">
      <c r="A1354" t="s">
        <v>42</v>
      </c>
      <c r="C1354" t="s">
        <v>264</v>
      </c>
      <c r="D1354" t="str">
        <f t="shared" si="105"/>
        <v>Vintage Cars</v>
      </c>
      <c r="E1354" t="s">
        <v>319</v>
      </c>
      <c r="F1354" s="5">
        <v>2082.88</v>
      </c>
      <c r="G1354" s="5">
        <v>416.57600000000002</v>
      </c>
      <c r="I1354" t="str">
        <f t="shared" si="106"/>
        <v>Low Sales</v>
      </c>
      <c r="J1354" t="str">
        <f t="shared" si="107"/>
        <v>Average Performance</v>
      </c>
      <c r="K1354">
        <f t="shared" si="108"/>
        <v>2004</v>
      </c>
      <c r="L1354" t="str">
        <f t="shared" si="109"/>
        <v>January</v>
      </c>
    </row>
    <row r="1355" spans="1:12" x14ac:dyDescent="0.25">
      <c r="A1355" t="s">
        <v>99</v>
      </c>
      <c r="C1355" t="s">
        <v>264</v>
      </c>
      <c r="D1355" t="str">
        <f t="shared" si="105"/>
        <v>Vintage Cars</v>
      </c>
      <c r="E1355" t="s">
        <v>319</v>
      </c>
      <c r="F1355" s="5">
        <v>1569.75</v>
      </c>
      <c r="G1355" s="5">
        <v>313.95</v>
      </c>
      <c r="I1355" t="str">
        <f t="shared" si="106"/>
        <v>Low Sales</v>
      </c>
      <c r="J1355" t="str">
        <f t="shared" si="107"/>
        <v>Average Performance</v>
      </c>
      <c r="K1355">
        <f t="shared" si="108"/>
        <v>2004</v>
      </c>
      <c r="L1355" t="str">
        <f t="shared" si="109"/>
        <v>March</v>
      </c>
    </row>
    <row r="1356" spans="1:12" x14ac:dyDescent="0.25">
      <c r="A1356" t="s">
        <v>44</v>
      </c>
      <c r="C1356" t="s">
        <v>264</v>
      </c>
      <c r="D1356" t="str">
        <f t="shared" si="105"/>
        <v>Vintage Cars</v>
      </c>
      <c r="E1356" t="s">
        <v>319</v>
      </c>
      <c r="F1356" s="5">
        <v>2694.15</v>
      </c>
      <c r="G1356" s="5">
        <v>538.83000000000004</v>
      </c>
      <c r="I1356" t="str">
        <f t="shared" si="106"/>
        <v>Low Sales</v>
      </c>
      <c r="J1356" t="str">
        <f t="shared" si="107"/>
        <v>Average Performance</v>
      </c>
      <c r="K1356">
        <f t="shared" si="108"/>
        <v>2004</v>
      </c>
      <c r="L1356" t="str">
        <f t="shared" si="109"/>
        <v>May</v>
      </c>
    </row>
    <row r="1357" spans="1:12" x14ac:dyDescent="0.25">
      <c r="A1357" t="s">
        <v>45</v>
      </c>
      <c r="B1357" t="s">
        <v>260</v>
      </c>
      <c r="C1357" t="s">
        <v>264</v>
      </c>
      <c r="D1357" t="str">
        <f t="shared" si="105"/>
        <v>Vintage Cars</v>
      </c>
      <c r="E1357" t="s">
        <v>319</v>
      </c>
      <c r="F1357" s="5">
        <v>1257.27</v>
      </c>
      <c r="G1357" s="5">
        <v>251.45400000000001</v>
      </c>
      <c r="I1357" t="str">
        <f t="shared" si="106"/>
        <v>Low Sales</v>
      </c>
      <c r="J1357" t="str">
        <f t="shared" si="107"/>
        <v>Average Performance</v>
      </c>
      <c r="K1357">
        <f t="shared" si="108"/>
        <v>2004</v>
      </c>
      <c r="L1357" t="str">
        <f t="shared" si="109"/>
        <v>June</v>
      </c>
    </row>
    <row r="1358" spans="1:12" x14ac:dyDescent="0.25">
      <c r="A1358" t="s">
        <v>46</v>
      </c>
      <c r="B1358" t="s">
        <v>259</v>
      </c>
      <c r="C1358" t="s">
        <v>264</v>
      </c>
      <c r="D1358" t="str">
        <f t="shared" si="105"/>
        <v>Vintage Cars</v>
      </c>
      <c r="E1358" t="s">
        <v>319</v>
      </c>
      <c r="F1358" s="5">
        <v>2567.84</v>
      </c>
      <c r="G1358" s="5">
        <v>513.5680000000001</v>
      </c>
      <c r="I1358" t="str">
        <f t="shared" si="106"/>
        <v>Low Sales</v>
      </c>
      <c r="J1358" t="str">
        <f t="shared" si="107"/>
        <v>Average Performance</v>
      </c>
      <c r="K1358">
        <f t="shared" si="108"/>
        <v>2004</v>
      </c>
      <c r="L1358" t="str">
        <f t="shared" si="109"/>
        <v>July</v>
      </c>
    </row>
    <row r="1359" spans="1:12" x14ac:dyDescent="0.25">
      <c r="A1359" t="s">
        <v>100</v>
      </c>
      <c r="C1359" t="s">
        <v>264</v>
      </c>
      <c r="D1359" t="str">
        <f t="shared" si="105"/>
        <v>Vintage Cars</v>
      </c>
      <c r="E1359" t="s">
        <v>319</v>
      </c>
      <c r="F1359" s="5">
        <v>2634.28</v>
      </c>
      <c r="G1359" s="5">
        <v>526.85600000000011</v>
      </c>
      <c r="I1359" t="str">
        <f t="shared" si="106"/>
        <v>Low Sales</v>
      </c>
      <c r="J1359" t="str">
        <f t="shared" si="107"/>
        <v>Average Performance</v>
      </c>
      <c r="K1359">
        <f t="shared" si="108"/>
        <v>2004</v>
      </c>
      <c r="L1359" t="str">
        <f t="shared" si="109"/>
        <v>August</v>
      </c>
    </row>
    <row r="1360" spans="1:12" x14ac:dyDescent="0.25">
      <c r="A1360" t="s">
        <v>48</v>
      </c>
      <c r="B1360" t="s">
        <v>258</v>
      </c>
      <c r="C1360" t="s">
        <v>264</v>
      </c>
      <c r="D1360" t="str">
        <f t="shared" si="105"/>
        <v>Vintage Cars</v>
      </c>
      <c r="E1360" t="s">
        <v>319</v>
      </c>
      <c r="F1360" s="5">
        <v>1502.78</v>
      </c>
      <c r="G1360" s="5">
        <v>300.55599999999998</v>
      </c>
      <c r="I1360" t="str">
        <f t="shared" si="106"/>
        <v>Low Sales</v>
      </c>
      <c r="J1360" t="str">
        <f t="shared" si="107"/>
        <v>Average Performance</v>
      </c>
      <c r="K1360">
        <f t="shared" si="108"/>
        <v>2004</v>
      </c>
      <c r="L1360" t="str">
        <f t="shared" si="109"/>
        <v>September</v>
      </c>
    </row>
    <row r="1361" spans="1:12" x14ac:dyDescent="0.25">
      <c r="A1361" t="s">
        <v>49</v>
      </c>
      <c r="B1361" t="s">
        <v>258</v>
      </c>
      <c r="C1361" t="s">
        <v>264</v>
      </c>
      <c r="D1361" t="str">
        <f t="shared" si="105"/>
        <v>Vintage Cars</v>
      </c>
      <c r="E1361" t="s">
        <v>319</v>
      </c>
      <c r="F1361" s="5">
        <v>1676.2</v>
      </c>
      <c r="G1361" s="5">
        <v>335.24</v>
      </c>
      <c r="I1361" t="str">
        <f t="shared" si="106"/>
        <v>Low Sales</v>
      </c>
      <c r="J1361" t="str">
        <f t="shared" si="107"/>
        <v>Average Performance</v>
      </c>
      <c r="K1361">
        <f t="shared" si="108"/>
        <v>2004</v>
      </c>
      <c r="L1361" t="str">
        <f t="shared" si="109"/>
        <v>October</v>
      </c>
    </row>
    <row r="1362" spans="1:12" x14ac:dyDescent="0.25">
      <c r="A1362" t="s">
        <v>50</v>
      </c>
      <c r="C1362" t="s">
        <v>264</v>
      </c>
      <c r="D1362" t="str">
        <f t="shared" si="105"/>
        <v>Vintage Cars</v>
      </c>
      <c r="E1362" t="s">
        <v>319</v>
      </c>
      <c r="F1362" s="5">
        <v>2217.15</v>
      </c>
      <c r="G1362" s="5">
        <v>443.43000000000012</v>
      </c>
      <c r="I1362" t="str">
        <f t="shared" si="106"/>
        <v>Low Sales</v>
      </c>
      <c r="J1362" t="str">
        <f t="shared" si="107"/>
        <v>Average Performance</v>
      </c>
      <c r="K1362">
        <f t="shared" si="108"/>
        <v>2004</v>
      </c>
      <c r="L1362" t="str">
        <f t="shared" si="109"/>
        <v>October</v>
      </c>
    </row>
    <row r="1363" spans="1:12" x14ac:dyDescent="0.25">
      <c r="A1363" t="s">
        <v>86</v>
      </c>
      <c r="C1363" t="s">
        <v>264</v>
      </c>
      <c r="D1363" t="str">
        <f t="shared" si="105"/>
        <v>Vintage Cars</v>
      </c>
      <c r="E1363" t="s">
        <v>319</v>
      </c>
      <c r="F1363" s="5">
        <v>6832.02</v>
      </c>
      <c r="G1363" s="5">
        <v>1366.404</v>
      </c>
      <c r="I1363" t="str">
        <f t="shared" si="106"/>
        <v>Low Sales</v>
      </c>
      <c r="J1363" t="str">
        <f t="shared" si="107"/>
        <v>Average Performance</v>
      </c>
      <c r="K1363">
        <f t="shared" si="108"/>
        <v>2004</v>
      </c>
      <c r="L1363" t="str">
        <f t="shared" si="109"/>
        <v>November</v>
      </c>
    </row>
    <row r="1364" spans="1:12" x14ac:dyDescent="0.25">
      <c r="A1364" t="s">
        <v>52</v>
      </c>
      <c r="C1364" t="s">
        <v>264</v>
      </c>
      <c r="D1364" t="str">
        <f t="shared" si="105"/>
        <v>Vintage Cars</v>
      </c>
      <c r="E1364" t="s">
        <v>319</v>
      </c>
      <c r="F1364" s="5">
        <v>1916.64</v>
      </c>
      <c r="G1364" s="5">
        <v>383.32799999999997</v>
      </c>
      <c r="I1364" t="str">
        <f t="shared" si="106"/>
        <v>Low Sales</v>
      </c>
      <c r="J1364" t="str">
        <f t="shared" si="107"/>
        <v>Average Performance</v>
      </c>
      <c r="K1364">
        <f t="shared" si="108"/>
        <v>2004</v>
      </c>
      <c r="L1364" t="str">
        <f t="shared" si="109"/>
        <v>November</v>
      </c>
    </row>
    <row r="1365" spans="1:12" x14ac:dyDescent="0.25">
      <c r="A1365" t="s">
        <v>85</v>
      </c>
      <c r="B1365" t="s">
        <v>258</v>
      </c>
      <c r="C1365" t="s">
        <v>264</v>
      </c>
      <c r="D1365" t="str">
        <f t="shared" si="105"/>
        <v>Vintage Cars</v>
      </c>
      <c r="E1365" t="s">
        <v>319</v>
      </c>
      <c r="F1365" s="5">
        <v>7110.8</v>
      </c>
      <c r="G1365" s="5">
        <v>1422.16</v>
      </c>
      <c r="I1365" t="str">
        <f t="shared" si="106"/>
        <v>Low Sales</v>
      </c>
      <c r="J1365" t="str">
        <f t="shared" si="107"/>
        <v>Average Performance</v>
      </c>
      <c r="K1365">
        <f t="shared" si="108"/>
        <v>2004</v>
      </c>
      <c r="L1365" t="str">
        <f t="shared" si="109"/>
        <v>November</v>
      </c>
    </row>
    <row r="1366" spans="1:12" x14ac:dyDescent="0.25">
      <c r="A1366" t="s">
        <v>54</v>
      </c>
      <c r="B1366" t="s">
        <v>258</v>
      </c>
      <c r="C1366" t="s">
        <v>264</v>
      </c>
      <c r="D1366" t="str">
        <f t="shared" si="105"/>
        <v>Vintage Cars</v>
      </c>
      <c r="E1366" t="s">
        <v>319</v>
      </c>
      <c r="F1366" s="5">
        <v>5302.8</v>
      </c>
      <c r="G1366" s="5">
        <v>1060.56</v>
      </c>
      <c r="I1366" t="str">
        <f t="shared" si="106"/>
        <v>Low Sales</v>
      </c>
      <c r="J1366" t="str">
        <f t="shared" si="107"/>
        <v>Average Performance</v>
      </c>
      <c r="K1366">
        <f t="shared" si="108"/>
        <v>2004</v>
      </c>
      <c r="L1366" t="str">
        <f t="shared" si="109"/>
        <v>December</v>
      </c>
    </row>
    <row r="1367" spans="1:12" x14ac:dyDescent="0.25">
      <c r="A1367" t="s">
        <v>55</v>
      </c>
      <c r="B1367" t="s">
        <v>259</v>
      </c>
      <c r="C1367" t="s">
        <v>264</v>
      </c>
      <c r="D1367" t="str">
        <f t="shared" si="105"/>
        <v>Vintage Cars</v>
      </c>
      <c r="E1367" t="s">
        <v>319</v>
      </c>
      <c r="F1367" s="5">
        <v>2730</v>
      </c>
      <c r="G1367" s="5">
        <v>546</v>
      </c>
      <c r="I1367" t="str">
        <f t="shared" si="106"/>
        <v>Low Sales</v>
      </c>
      <c r="J1367" t="str">
        <f t="shared" si="107"/>
        <v>Average Performance</v>
      </c>
      <c r="K1367">
        <f t="shared" si="108"/>
        <v>2005</v>
      </c>
      <c r="L1367" t="str">
        <f t="shared" si="109"/>
        <v>January</v>
      </c>
    </row>
    <row r="1368" spans="1:12" x14ac:dyDescent="0.25">
      <c r="A1368" t="s">
        <v>56</v>
      </c>
      <c r="C1368" t="s">
        <v>264</v>
      </c>
      <c r="D1368" t="str">
        <f t="shared" si="105"/>
        <v>Vintage Cars</v>
      </c>
      <c r="E1368" t="s">
        <v>319</v>
      </c>
      <c r="F1368" s="5">
        <v>7827.3</v>
      </c>
      <c r="G1368" s="5">
        <v>1565.46</v>
      </c>
      <c r="I1368" t="str">
        <f t="shared" si="106"/>
        <v>Low Sales</v>
      </c>
      <c r="J1368" t="str">
        <f t="shared" si="107"/>
        <v>Average Performance</v>
      </c>
      <c r="K1368">
        <f t="shared" si="108"/>
        <v>2005</v>
      </c>
      <c r="L1368" t="str">
        <f t="shared" si="109"/>
        <v>February</v>
      </c>
    </row>
    <row r="1369" spans="1:12" x14ac:dyDescent="0.25">
      <c r="A1369" t="s">
        <v>58</v>
      </c>
      <c r="C1369" t="s">
        <v>264</v>
      </c>
      <c r="D1369" t="str">
        <f t="shared" si="105"/>
        <v>Vintage Cars</v>
      </c>
      <c r="E1369" t="s">
        <v>319</v>
      </c>
      <c r="F1369" s="5">
        <v>2095.4499999999998</v>
      </c>
      <c r="G1369" s="5">
        <v>419.09</v>
      </c>
      <c r="I1369" t="str">
        <f t="shared" si="106"/>
        <v>Low Sales</v>
      </c>
      <c r="J1369" t="str">
        <f t="shared" si="107"/>
        <v>Average Performance</v>
      </c>
      <c r="K1369">
        <f t="shared" si="108"/>
        <v>2005</v>
      </c>
      <c r="L1369" t="str">
        <f t="shared" si="109"/>
        <v>May</v>
      </c>
    </row>
    <row r="1370" spans="1:12" x14ac:dyDescent="0.25">
      <c r="A1370" t="s">
        <v>59</v>
      </c>
      <c r="B1370" t="s">
        <v>258</v>
      </c>
      <c r="C1370" t="s">
        <v>264</v>
      </c>
      <c r="D1370" t="str">
        <f t="shared" si="105"/>
        <v>Vintage Cars</v>
      </c>
      <c r="E1370" t="s">
        <v>319</v>
      </c>
      <c r="F1370" s="5">
        <v>1556.62</v>
      </c>
      <c r="G1370" s="5">
        <v>311.32400000000001</v>
      </c>
      <c r="I1370" t="str">
        <f t="shared" si="106"/>
        <v>Low Sales</v>
      </c>
      <c r="J1370" t="str">
        <f t="shared" si="107"/>
        <v>Average Performance</v>
      </c>
      <c r="K1370">
        <f t="shared" si="108"/>
        <v>2005</v>
      </c>
      <c r="L1370" t="str">
        <f t="shared" si="109"/>
        <v>May</v>
      </c>
    </row>
    <row r="1371" spans="1:12" x14ac:dyDescent="0.25">
      <c r="A1371" t="s">
        <v>104</v>
      </c>
      <c r="B1371" t="s">
        <v>260</v>
      </c>
      <c r="C1371" t="s">
        <v>262</v>
      </c>
      <c r="D1371" t="str">
        <f t="shared" si="105"/>
        <v>Classic Cars</v>
      </c>
      <c r="E1371" t="s">
        <v>320</v>
      </c>
      <c r="F1371" s="5">
        <v>5565.12</v>
      </c>
      <c r="G1371" s="5">
        <v>1113.0239999999999</v>
      </c>
      <c r="I1371" t="str">
        <f t="shared" si="106"/>
        <v>Low Sales</v>
      </c>
      <c r="J1371" t="str">
        <f t="shared" si="107"/>
        <v>Average Performance</v>
      </c>
      <c r="K1371">
        <f t="shared" si="108"/>
        <v>2003</v>
      </c>
      <c r="L1371" t="str">
        <f t="shared" si="109"/>
        <v>March</v>
      </c>
    </row>
    <row r="1372" spans="1:12" x14ac:dyDescent="0.25">
      <c r="A1372" t="s">
        <v>105</v>
      </c>
      <c r="B1372" t="s">
        <v>258</v>
      </c>
      <c r="C1372" t="s">
        <v>262</v>
      </c>
      <c r="D1372" t="str">
        <f t="shared" si="105"/>
        <v>Classic Cars</v>
      </c>
      <c r="E1372" t="s">
        <v>320</v>
      </c>
      <c r="F1372" s="5">
        <v>3583.16</v>
      </c>
      <c r="G1372" s="5">
        <v>716.63200000000006</v>
      </c>
      <c r="I1372" t="str">
        <f t="shared" si="106"/>
        <v>Low Sales</v>
      </c>
      <c r="J1372" t="str">
        <f t="shared" si="107"/>
        <v>Average Performance</v>
      </c>
      <c r="K1372">
        <f t="shared" si="108"/>
        <v>2003</v>
      </c>
      <c r="L1372" t="str">
        <f t="shared" si="109"/>
        <v>May</v>
      </c>
    </row>
    <row r="1373" spans="1:12" x14ac:dyDescent="0.25">
      <c r="A1373" t="s">
        <v>106</v>
      </c>
      <c r="C1373" t="s">
        <v>262</v>
      </c>
      <c r="D1373" t="str">
        <f t="shared" si="105"/>
        <v>Classic Cars</v>
      </c>
      <c r="E1373" t="s">
        <v>320</v>
      </c>
      <c r="F1373" s="5">
        <v>4705.18</v>
      </c>
      <c r="G1373" s="5">
        <v>941.03600000000006</v>
      </c>
      <c r="I1373" t="str">
        <f t="shared" si="106"/>
        <v>Low Sales</v>
      </c>
      <c r="J1373" t="str">
        <f t="shared" si="107"/>
        <v>Average Performance</v>
      </c>
      <c r="K1373">
        <f t="shared" si="108"/>
        <v>2003</v>
      </c>
      <c r="L1373" t="str">
        <f t="shared" si="109"/>
        <v>July</v>
      </c>
    </row>
    <row r="1374" spans="1:12" x14ac:dyDescent="0.25">
      <c r="A1374" t="s">
        <v>235</v>
      </c>
      <c r="C1374" t="s">
        <v>262</v>
      </c>
      <c r="D1374" t="str">
        <f t="shared" si="105"/>
        <v>Classic Cars</v>
      </c>
      <c r="E1374" t="s">
        <v>320</v>
      </c>
      <c r="F1374" s="5">
        <v>4444.54</v>
      </c>
      <c r="G1374" s="5">
        <v>888.90800000000002</v>
      </c>
      <c r="I1374" t="str">
        <f t="shared" si="106"/>
        <v>Low Sales</v>
      </c>
      <c r="J1374" t="str">
        <f t="shared" si="107"/>
        <v>Average Performance</v>
      </c>
      <c r="K1374">
        <f t="shared" si="108"/>
        <v>2003</v>
      </c>
      <c r="L1374" t="str">
        <f t="shared" si="109"/>
        <v>September</v>
      </c>
    </row>
    <row r="1375" spans="1:12" x14ac:dyDescent="0.25">
      <c r="A1375" t="s">
        <v>10</v>
      </c>
      <c r="C1375" t="s">
        <v>262</v>
      </c>
      <c r="D1375" t="str">
        <f t="shared" si="105"/>
        <v>Classic Cars</v>
      </c>
      <c r="E1375" t="s">
        <v>320</v>
      </c>
      <c r="F1375" s="5">
        <v>4618.88</v>
      </c>
      <c r="G1375" s="5">
        <v>923.77600000000007</v>
      </c>
      <c r="I1375" t="str">
        <f t="shared" si="106"/>
        <v>Low Sales</v>
      </c>
      <c r="J1375" t="str">
        <f t="shared" si="107"/>
        <v>Average Performance</v>
      </c>
      <c r="K1375">
        <f t="shared" si="108"/>
        <v>2003</v>
      </c>
      <c r="L1375" t="str">
        <f t="shared" si="109"/>
        <v>October</v>
      </c>
    </row>
    <row r="1376" spans="1:12" x14ac:dyDescent="0.25">
      <c r="A1376" t="s">
        <v>108</v>
      </c>
      <c r="B1376" t="s">
        <v>259</v>
      </c>
      <c r="C1376" t="s">
        <v>262</v>
      </c>
      <c r="D1376" t="str">
        <f t="shared" si="105"/>
        <v>Classic Cars</v>
      </c>
      <c r="E1376" t="s">
        <v>320</v>
      </c>
      <c r="F1376" s="5">
        <v>4910.3999999999996</v>
      </c>
      <c r="G1376" s="5">
        <v>982.07999999999993</v>
      </c>
      <c r="I1376" t="str">
        <f t="shared" si="106"/>
        <v>Low Sales</v>
      </c>
      <c r="J1376" t="str">
        <f t="shared" si="107"/>
        <v>Average Performance</v>
      </c>
      <c r="K1376">
        <f t="shared" si="108"/>
        <v>2003</v>
      </c>
      <c r="L1376" t="str">
        <f t="shared" si="109"/>
        <v>November</v>
      </c>
    </row>
    <row r="1377" spans="1:12" x14ac:dyDescent="0.25">
      <c r="A1377" t="s">
        <v>12</v>
      </c>
      <c r="B1377" t="s">
        <v>258</v>
      </c>
      <c r="C1377" t="s">
        <v>262</v>
      </c>
      <c r="D1377" t="str">
        <f t="shared" si="105"/>
        <v>Classic Cars</v>
      </c>
      <c r="E1377" t="s">
        <v>320</v>
      </c>
      <c r="F1377" s="5">
        <v>5565.12</v>
      </c>
      <c r="G1377" s="5">
        <v>1113.0239999999999</v>
      </c>
      <c r="I1377" t="str">
        <f t="shared" si="106"/>
        <v>Low Sales</v>
      </c>
      <c r="J1377" t="str">
        <f t="shared" si="107"/>
        <v>Average Performance</v>
      </c>
      <c r="K1377">
        <f t="shared" si="108"/>
        <v>2003</v>
      </c>
      <c r="L1377" t="str">
        <f t="shared" si="109"/>
        <v>November</v>
      </c>
    </row>
    <row r="1378" spans="1:12" x14ac:dyDescent="0.25">
      <c r="A1378" t="s">
        <v>110</v>
      </c>
      <c r="B1378" t="s">
        <v>258</v>
      </c>
      <c r="C1378" t="s">
        <v>262</v>
      </c>
      <c r="D1378" t="str">
        <f t="shared" si="105"/>
        <v>Classic Cars</v>
      </c>
      <c r="E1378" t="s">
        <v>320</v>
      </c>
      <c r="F1378" s="5">
        <v>4237.76</v>
      </c>
      <c r="G1378" s="5">
        <v>847.55200000000013</v>
      </c>
      <c r="I1378" t="str">
        <f t="shared" si="106"/>
        <v>Low Sales</v>
      </c>
      <c r="J1378" t="str">
        <f t="shared" si="107"/>
        <v>Average Performance</v>
      </c>
      <c r="K1378">
        <f t="shared" si="108"/>
        <v>2003</v>
      </c>
      <c r="L1378" t="str">
        <f t="shared" si="109"/>
        <v>November</v>
      </c>
    </row>
    <row r="1379" spans="1:12" x14ac:dyDescent="0.25">
      <c r="A1379" t="s">
        <v>15</v>
      </c>
      <c r="B1379" t="s">
        <v>258</v>
      </c>
      <c r="C1379" t="s">
        <v>262</v>
      </c>
      <c r="D1379" t="str">
        <f t="shared" si="105"/>
        <v>Classic Cars</v>
      </c>
      <c r="E1379" t="s">
        <v>320</v>
      </c>
      <c r="F1379" s="5">
        <v>5673.58</v>
      </c>
      <c r="G1379" s="5">
        <v>1134.7159999999999</v>
      </c>
      <c r="I1379" t="str">
        <f t="shared" si="106"/>
        <v>Low Sales</v>
      </c>
      <c r="J1379" t="str">
        <f t="shared" si="107"/>
        <v>Average Performance</v>
      </c>
      <c r="K1379">
        <f t="shared" si="108"/>
        <v>2004</v>
      </c>
      <c r="L1379" t="str">
        <f t="shared" si="109"/>
        <v>January</v>
      </c>
    </row>
    <row r="1380" spans="1:12" x14ac:dyDescent="0.25">
      <c r="A1380" t="s">
        <v>112</v>
      </c>
      <c r="B1380" t="s">
        <v>258</v>
      </c>
      <c r="C1380" t="s">
        <v>262</v>
      </c>
      <c r="D1380" t="str">
        <f t="shared" si="105"/>
        <v>Classic Cars</v>
      </c>
      <c r="E1380" t="s">
        <v>320</v>
      </c>
      <c r="F1380" s="5">
        <v>5260.15</v>
      </c>
      <c r="G1380" s="5">
        <v>1052.03</v>
      </c>
      <c r="I1380" t="str">
        <f t="shared" si="106"/>
        <v>Low Sales</v>
      </c>
      <c r="J1380" t="str">
        <f t="shared" si="107"/>
        <v>Average Performance</v>
      </c>
      <c r="K1380">
        <f t="shared" si="108"/>
        <v>2004</v>
      </c>
      <c r="L1380" t="str">
        <f t="shared" si="109"/>
        <v>February</v>
      </c>
    </row>
    <row r="1381" spans="1:12" x14ac:dyDescent="0.25">
      <c r="A1381" t="s">
        <v>113</v>
      </c>
      <c r="B1381" t="s">
        <v>258</v>
      </c>
      <c r="C1381" t="s">
        <v>262</v>
      </c>
      <c r="D1381" t="str">
        <f t="shared" si="105"/>
        <v>Classic Cars</v>
      </c>
      <c r="E1381" t="s">
        <v>320</v>
      </c>
      <c r="F1381" s="5">
        <v>6350.96</v>
      </c>
      <c r="G1381" s="5">
        <v>1270.192</v>
      </c>
      <c r="I1381" t="str">
        <f t="shared" si="106"/>
        <v>Low Sales</v>
      </c>
      <c r="J1381" t="str">
        <f t="shared" si="107"/>
        <v>Average Performance</v>
      </c>
      <c r="K1381">
        <f t="shared" si="108"/>
        <v>2004</v>
      </c>
      <c r="L1381" t="str">
        <f t="shared" si="109"/>
        <v>April</v>
      </c>
    </row>
    <row r="1382" spans="1:12" x14ac:dyDescent="0.25">
      <c r="A1382" t="s">
        <v>230</v>
      </c>
      <c r="B1382" t="s">
        <v>258</v>
      </c>
      <c r="C1382" t="s">
        <v>262</v>
      </c>
      <c r="D1382" t="str">
        <f t="shared" si="105"/>
        <v>Classic Cars</v>
      </c>
      <c r="E1382" t="s">
        <v>320</v>
      </c>
      <c r="F1382" s="5">
        <v>3559.4</v>
      </c>
      <c r="G1382" s="5">
        <v>711.88000000000011</v>
      </c>
      <c r="I1382" t="str">
        <f t="shared" si="106"/>
        <v>Low Sales</v>
      </c>
      <c r="J1382" t="str">
        <f t="shared" si="107"/>
        <v>Average Performance</v>
      </c>
      <c r="K1382">
        <f t="shared" si="108"/>
        <v>2004</v>
      </c>
      <c r="L1382" t="str">
        <f t="shared" si="109"/>
        <v>May</v>
      </c>
    </row>
    <row r="1383" spans="1:12" x14ac:dyDescent="0.25">
      <c r="A1383" t="s">
        <v>236</v>
      </c>
      <c r="C1383" t="s">
        <v>262</v>
      </c>
      <c r="D1383" t="str">
        <f t="shared" si="105"/>
        <v>Classic Cars</v>
      </c>
      <c r="E1383" t="s">
        <v>320</v>
      </c>
      <c r="F1383" s="5">
        <v>2410.6</v>
      </c>
      <c r="G1383" s="5">
        <v>482.12</v>
      </c>
      <c r="I1383" t="str">
        <f t="shared" si="106"/>
        <v>Low Sales</v>
      </c>
      <c r="J1383" t="str">
        <f t="shared" si="107"/>
        <v>Average Performance</v>
      </c>
      <c r="K1383">
        <f t="shared" si="108"/>
        <v>2004</v>
      </c>
      <c r="L1383" t="str">
        <f t="shared" si="109"/>
        <v>June</v>
      </c>
    </row>
    <row r="1384" spans="1:12" x14ac:dyDescent="0.25">
      <c r="A1384" t="s">
        <v>116</v>
      </c>
      <c r="C1384" t="s">
        <v>262</v>
      </c>
      <c r="D1384" t="str">
        <f t="shared" si="105"/>
        <v>Classic Cars</v>
      </c>
      <c r="E1384" t="s">
        <v>320</v>
      </c>
      <c r="F1384" s="5">
        <v>5713.92</v>
      </c>
      <c r="G1384" s="5">
        <v>1142.7840000000001</v>
      </c>
      <c r="I1384" t="str">
        <f t="shared" si="106"/>
        <v>Low Sales</v>
      </c>
      <c r="J1384" t="str">
        <f t="shared" si="107"/>
        <v>Average Performance</v>
      </c>
      <c r="K1384">
        <f t="shared" si="108"/>
        <v>2004</v>
      </c>
      <c r="L1384" t="str">
        <f t="shared" si="109"/>
        <v>August</v>
      </c>
    </row>
    <row r="1385" spans="1:12" x14ac:dyDescent="0.25">
      <c r="A1385" t="s">
        <v>117</v>
      </c>
      <c r="B1385" t="s">
        <v>258</v>
      </c>
      <c r="C1385" t="s">
        <v>262</v>
      </c>
      <c r="D1385" t="str">
        <f t="shared" si="105"/>
        <v>Classic Cars</v>
      </c>
      <c r="E1385" t="s">
        <v>320</v>
      </c>
      <c r="F1385" s="5">
        <v>4300.32</v>
      </c>
      <c r="G1385" s="5">
        <v>860.06399999999996</v>
      </c>
      <c r="I1385" t="str">
        <f t="shared" si="106"/>
        <v>Low Sales</v>
      </c>
      <c r="J1385" t="str">
        <f t="shared" si="107"/>
        <v>Average Performance</v>
      </c>
      <c r="K1385">
        <f t="shared" si="108"/>
        <v>2004</v>
      </c>
      <c r="L1385" t="str">
        <f t="shared" si="109"/>
        <v>August</v>
      </c>
    </row>
    <row r="1386" spans="1:12" x14ac:dyDescent="0.25">
      <c r="A1386" t="s">
        <v>22</v>
      </c>
      <c r="B1386" t="s">
        <v>258</v>
      </c>
      <c r="C1386" t="s">
        <v>262</v>
      </c>
      <c r="D1386" t="str">
        <f t="shared" si="105"/>
        <v>Classic Cars</v>
      </c>
      <c r="E1386" t="s">
        <v>320</v>
      </c>
      <c r="F1386" s="5">
        <v>7947.31</v>
      </c>
      <c r="G1386" s="5">
        <v>1589.462</v>
      </c>
      <c r="I1386" t="str">
        <f t="shared" si="106"/>
        <v>Low Sales</v>
      </c>
      <c r="J1386" t="str">
        <f t="shared" si="107"/>
        <v>Average Performance</v>
      </c>
      <c r="K1386">
        <f t="shared" si="108"/>
        <v>2004</v>
      </c>
      <c r="L1386" t="str">
        <f t="shared" si="109"/>
        <v>September</v>
      </c>
    </row>
    <row r="1387" spans="1:12" x14ac:dyDescent="0.25">
      <c r="A1387" t="s">
        <v>119</v>
      </c>
      <c r="B1387" t="s">
        <v>258</v>
      </c>
      <c r="C1387" t="s">
        <v>262</v>
      </c>
      <c r="D1387" t="str">
        <f t="shared" si="105"/>
        <v>Classic Cars</v>
      </c>
      <c r="E1387" t="s">
        <v>320</v>
      </c>
      <c r="F1387" s="5">
        <v>5356.8</v>
      </c>
      <c r="G1387" s="5">
        <v>1071.3599999999999</v>
      </c>
      <c r="I1387" t="str">
        <f t="shared" si="106"/>
        <v>Low Sales</v>
      </c>
      <c r="J1387" t="str">
        <f t="shared" si="107"/>
        <v>Average Performance</v>
      </c>
      <c r="K1387">
        <f t="shared" si="108"/>
        <v>2004</v>
      </c>
      <c r="L1387" t="str">
        <f t="shared" si="109"/>
        <v>October</v>
      </c>
    </row>
    <row r="1388" spans="1:12" x14ac:dyDescent="0.25">
      <c r="A1388" t="s">
        <v>120</v>
      </c>
      <c r="C1388" t="s">
        <v>262</v>
      </c>
      <c r="D1388" t="str">
        <f t="shared" si="105"/>
        <v>Classic Cars</v>
      </c>
      <c r="E1388" t="s">
        <v>320</v>
      </c>
      <c r="F1388" s="5">
        <v>7901.1</v>
      </c>
      <c r="G1388" s="5">
        <v>1580.22</v>
      </c>
      <c r="I1388" t="str">
        <f t="shared" si="106"/>
        <v>Low Sales</v>
      </c>
      <c r="J1388" t="str">
        <f t="shared" si="107"/>
        <v>Average Performance</v>
      </c>
      <c r="K1388">
        <f t="shared" si="108"/>
        <v>2004</v>
      </c>
      <c r="L1388" t="str">
        <f t="shared" si="109"/>
        <v>November</v>
      </c>
    </row>
    <row r="1389" spans="1:12" x14ac:dyDescent="0.25">
      <c r="A1389" t="s">
        <v>233</v>
      </c>
      <c r="B1389" t="s">
        <v>260</v>
      </c>
      <c r="C1389" t="s">
        <v>262</v>
      </c>
      <c r="D1389" t="str">
        <f t="shared" si="105"/>
        <v>Classic Cars</v>
      </c>
      <c r="E1389" t="s">
        <v>320</v>
      </c>
      <c r="F1389" s="5">
        <v>6101</v>
      </c>
      <c r="G1389" s="5">
        <v>1220.2</v>
      </c>
      <c r="I1389" t="str">
        <f t="shared" si="106"/>
        <v>Low Sales</v>
      </c>
      <c r="J1389" t="str">
        <f t="shared" si="107"/>
        <v>Average Performance</v>
      </c>
      <c r="K1389">
        <f t="shared" si="108"/>
        <v>2004</v>
      </c>
      <c r="L1389" t="str">
        <f t="shared" si="109"/>
        <v>November</v>
      </c>
    </row>
    <row r="1390" spans="1:12" x14ac:dyDescent="0.25">
      <c r="A1390" t="s">
        <v>26</v>
      </c>
      <c r="B1390" t="s">
        <v>259</v>
      </c>
      <c r="C1390" t="s">
        <v>262</v>
      </c>
      <c r="D1390" t="str">
        <f t="shared" si="105"/>
        <v>Classic Cars</v>
      </c>
      <c r="E1390" t="s">
        <v>320</v>
      </c>
      <c r="F1390" s="5">
        <v>6276.46</v>
      </c>
      <c r="G1390" s="5">
        <v>1255.2919999999999</v>
      </c>
      <c r="I1390" t="str">
        <f t="shared" si="106"/>
        <v>Low Sales</v>
      </c>
      <c r="J1390" t="str">
        <f t="shared" si="107"/>
        <v>Average Performance</v>
      </c>
      <c r="K1390">
        <f t="shared" si="108"/>
        <v>2004</v>
      </c>
      <c r="L1390" t="str">
        <f t="shared" si="109"/>
        <v>November</v>
      </c>
    </row>
    <row r="1391" spans="1:12" x14ac:dyDescent="0.25">
      <c r="A1391" t="s">
        <v>234</v>
      </c>
      <c r="B1391" t="s">
        <v>258</v>
      </c>
      <c r="C1391" t="s">
        <v>262</v>
      </c>
      <c r="D1391" t="str">
        <f t="shared" si="105"/>
        <v>Classic Cars</v>
      </c>
      <c r="E1391" t="s">
        <v>320</v>
      </c>
      <c r="F1391" s="5">
        <v>4203.5</v>
      </c>
      <c r="G1391" s="5">
        <v>840.7</v>
      </c>
      <c r="I1391" t="str">
        <f t="shared" si="106"/>
        <v>Low Sales</v>
      </c>
      <c r="J1391" t="str">
        <f t="shared" si="107"/>
        <v>Average Performance</v>
      </c>
      <c r="K1391">
        <f t="shared" si="108"/>
        <v>2004</v>
      </c>
      <c r="L1391" t="str">
        <f t="shared" si="109"/>
        <v>December</v>
      </c>
    </row>
    <row r="1392" spans="1:12" x14ac:dyDescent="0.25">
      <c r="A1392" t="s">
        <v>121</v>
      </c>
      <c r="B1392" t="s">
        <v>258</v>
      </c>
      <c r="C1392" t="s">
        <v>262</v>
      </c>
      <c r="D1392" t="str">
        <f t="shared" si="105"/>
        <v>Classic Cars</v>
      </c>
      <c r="E1392" t="s">
        <v>320</v>
      </c>
      <c r="F1392" s="5">
        <v>1629.04</v>
      </c>
      <c r="G1392" s="5">
        <v>325.80799999999999</v>
      </c>
      <c r="I1392" t="str">
        <f t="shared" si="106"/>
        <v>Low Sales</v>
      </c>
      <c r="J1392" t="str">
        <f t="shared" si="107"/>
        <v>Average Performance</v>
      </c>
      <c r="K1392">
        <f t="shared" si="108"/>
        <v>2005</v>
      </c>
      <c r="L1392" t="str">
        <f t="shared" si="109"/>
        <v>January</v>
      </c>
    </row>
    <row r="1393" spans="1:12" x14ac:dyDescent="0.25">
      <c r="A1393" t="s">
        <v>190</v>
      </c>
      <c r="B1393" t="s">
        <v>258</v>
      </c>
      <c r="C1393" t="s">
        <v>262</v>
      </c>
      <c r="D1393" t="str">
        <f t="shared" si="105"/>
        <v>Classic Cars</v>
      </c>
      <c r="E1393" t="s">
        <v>320</v>
      </c>
      <c r="F1393" s="5">
        <v>3289.86</v>
      </c>
      <c r="G1393" s="5">
        <v>657.97200000000009</v>
      </c>
      <c r="I1393" t="str">
        <f t="shared" si="106"/>
        <v>Low Sales</v>
      </c>
      <c r="J1393" t="str">
        <f t="shared" si="107"/>
        <v>Average Performance</v>
      </c>
      <c r="K1393">
        <f t="shared" si="108"/>
        <v>2005</v>
      </c>
      <c r="L1393" t="str">
        <f t="shared" si="109"/>
        <v>February</v>
      </c>
    </row>
    <row r="1394" spans="1:12" x14ac:dyDescent="0.25">
      <c r="A1394" t="s">
        <v>168</v>
      </c>
      <c r="C1394" t="s">
        <v>262</v>
      </c>
      <c r="D1394" t="str">
        <f t="shared" si="105"/>
        <v>Classic Cars</v>
      </c>
      <c r="E1394" t="s">
        <v>320</v>
      </c>
      <c r="F1394" s="5">
        <v>6862.94</v>
      </c>
      <c r="G1394" s="5">
        <v>1372.588</v>
      </c>
      <c r="I1394" t="str">
        <f t="shared" si="106"/>
        <v>Low Sales</v>
      </c>
      <c r="J1394" t="str">
        <f t="shared" si="107"/>
        <v>Average Performance</v>
      </c>
      <c r="K1394">
        <f t="shared" si="108"/>
        <v>2005</v>
      </c>
      <c r="L1394" t="str">
        <f t="shared" si="109"/>
        <v>March</v>
      </c>
    </row>
    <row r="1395" spans="1:12" x14ac:dyDescent="0.25">
      <c r="A1395" t="s">
        <v>184</v>
      </c>
      <c r="B1395" t="s">
        <v>258</v>
      </c>
      <c r="C1395" t="s">
        <v>262</v>
      </c>
      <c r="D1395" t="str">
        <f t="shared" si="105"/>
        <v>Classic Cars</v>
      </c>
      <c r="E1395" t="s">
        <v>321</v>
      </c>
      <c r="F1395" s="5">
        <v>2574.1799999999998</v>
      </c>
      <c r="G1395" s="5">
        <v>514.83600000000001</v>
      </c>
      <c r="I1395" t="str">
        <f t="shared" si="106"/>
        <v>Low Sales</v>
      </c>
      <c r="J1395" t="str">
        <f t="shared" si="107"/>
        <v>Average Performance</v>
      </c>
      <c r="K1395">
        <f t="shared" si="108"/>
        <v>2003</v>
      </c>
      <c r="L1395" t="str">
        <f t="shared" si="109"/>
        <v>March</v>
      </c>
    </row>
    <row r="1396" spans="1:12" x14ac:dyDescent="0.25">
      <c r="A1396" t="s">
        <v>172</v>
      </c>
      <c r="C1396" t="s">
        <v>262</v>
      </c>
      <c r="D1396" t="str">
        <f t="shared" si="105"/>
        <v>Classic Cars</v>
      </c>
      <c r="E1396" t="s">
        <v>321</v>
      </c>
      <c r="F1396" s="5">
        <v>1327.79</v>
      </c>
      <c r="G1396" s="5">
        <v>265.55799999999999</v>
      </c>
      <c r="I1396" t="str">
        <f t="shared" si="106"/>
        <v>Low Sales</v>
      </c>
      <c r="J1396" t="str">
        <f t="shared" si="107"/>
        <v>Average Performance</v>
      </c>
      <c r="K1396">
        <f t="shared" si="108"/>
        <v>2003</v>
      </c>
      <c r="L1396" t="str">
        <f t="shared" si="109"/>
        <v>May</v>
      </c>
    </row>
    <row r="1397" spans="1:12" x14ac:dyDescent="0.25">
      <c r="A1397" t="s">
        <v>159</v>
      </c>
      <c r="B1397" t="s">
        <v>259</v>
      </c>
      <c r="C1397" t="s">
        <v>262</v>
      </c>
      <c r="D1397" t="str">
        <f t="shared" si="105"/>
        <v>Classic Cars</v>
      </c>
      <c r="E1397" t="s">
        <v>321</v>
      </c>
      <c r="F1397" s="5">
        <v>2356.25</v>
      </c>
      <c r="G1397" s="5">
        <v>471.25</v>
      </c>
      <c r="I1397" t="str">
        <f t="shared" si="106"/>
        <v>Low Sales</v>
      </c>
      <c r="J1397" t="str">
        <f t="shared" si="107"/>
        <v>Average Performance</v>
      </c>
      <c r="K1397">
        <f t="shared" si="108"/>
        <v>2003</v>
      </c>
      <c r="L1397" t="str">
        <f t="shared" si="109"/>
        <v>September</v>
      </c>
    </row>
    <row r="1398" spans="1:12" x14ac:dyDescent="0.25">
      <c r="A1398" t="s">
        <v>160</v>
      </c>
      <c r="B1398" t="s">
        <v>258</v>
      </c>
      <c r="C1398" t="s">
        <v>262</v>
      </c>
      <c r="D1398" t="str">
        <f t="shared" si="105"/>
        <v>Classic Cars</v>
      </c>
      <c r="E1398" t="s">
        <v>321</v>
      </c>
      <c r="F1398" s="5">
        <v>2013.5</v>
      </c>
      <c r="G1398" s="5">
        <v>402.7</v>
      </c>
      <c r="I1398" t="str">
        <f t="shared" si="106"/>
        <v>Low Sales</v>
      </c>
      <c r="J1398" t="str">
        <f t="shared" si="107"/>
        <v>Average Performance</v>
      </c>
      <c r="K1398">
        <f t="shared" si="108"/>
        <v>2003</v>
      </c>
      <c r="L1398" t="str">
        <f t="shared" si="109"/>
        <v>October</v>
      </c>
    </row>
    <row r="1399" spans="1:12" x14ac:dyDescent="0.25">
      <c r="A1399" t="s">
        <v>161</v>
      </c>
      <c r="B1399" t="s">
        <v>258</v>
      </c>
      <c r="C1399" t="s">
        <v>262</v>
      </c>
      <c r="D1399" t="str">
        <f t="shared" si="105"/>
        <v>Classic Cars</v>
      </c>
      <c r="E1399" t="s">
        <v>321</v>
      </c>
      <c r="F1399" s="5">
        <v>2807.22</v>
      </c>
      <c r="G1399" s="5">
        <v>561.44399999999996</v>
      </c>
      <c r="I1399" t="str">
        <f t="shared" si="106"/>
        <v>Low Sales</v>
      </c>
      <c r="J1399" t="str">
        <f t="shared" si="107"/>
        <v>Average Performance</v>
      </c>
      <c r="K1399">
        <f t="shared" si="108"/>
        <v>2003</v>
      </c>
      <c r="L1399" t="str">
        <f t="shared" si="109"/>
        <v>November</v>
      </c>
    </row>
    <row r="1400" spans="1:12" x14ac:dyDescent="0.25">
      <c r="A1400" t="s">
        <v>109</v>
      </c>
      <c r="C1400" t="s">
        <v>262</v>
      </c>
      <c r="D1400" t="str">
        <f t="shared" si="105"/>
        <v>Classic Cars</v>
      </c>
      <c r="E1400" t="s">
        <v>321</v>
      </c>
      <c r="F1400" s="5">
        <v>3072.96</v>
      </c>
      <c r="G1400" s="5">
        <v>614.5920000000001</v>
      </c>
      <c r="I1400" t="str">
        <f t="shared" si="106"/>
        <v>Low Sales</v>
      </c>
      <c r="J1400" t="str">
        <f t="shared" si="107"/>
        <v>Average Performance</v>
      </c>
      <c r="K1400">
        <f t="shared" si="108"/>
        <v>2003</v>
      </c>
      <c r="L1400" t="str">
        <f t="shared" si="109"/>
        <v>November</v>
      </c>
    </row>
    <row r="1401" spans="1:12" x14ac:dyDescent="0.25">
      <c r="A1401" t="s">
        <v>176</v>
      </c>
      <c r="B1401" t="s">
        <v>259</v>
      </c>
      <c r="C1401" t="s">
        <v>262</v>
      </c>
      <c r="D1401" t="str">
        <f t="shared" si="105"/>
        <v>Classic Cars</v>
      </c>
      <c r="E1401" t="s">
        <v>321</v>
      </c>
      <c r="F1401" s="5">
        <v>1906.5</v>
      </c>
      <c r="G1401" s="5">
        <v>381.3</v>
      </c>
      <c r="I1401" t="str">
        <f t="shared" si="106"/>
        <v>Low Sales</v>
      </c>
      <c r="J1401" t="str">
        <f t="shared" si="107"/>
        <v>Average Performance</v>
      </c>
      <c r="K1401">
        <f t="shared" si="108"/>
        <v>2003</v>
      </c>
      <c r="L1401" t="str">
        <f t="shared" si="109"/>
        <v>November</v>
      </c>
    </row>
    <row r="1402" spans="1:12" x14ac:dyDescent="0.25">
      <c r="A1402" t="s">
        <v>111</v>
      </c>
      <c r="C1402" t="s">
        <v>262</v>
      </c>
      <c r="D1402" t="str">
        <f t="shared" si="105"/>
        <v>Classic Cars</v>
      </c>
      <c r="E1402" t="s">
        <v>321</v>
      </c>
      <c r="F1402" s="5">
        <v>3431.7</v>
      </c>
      <c r="G1402" s="5">
        <v>686.34</v>
      </c>
      <c r="I1402" t="str">
        <f t="shared" si="106"/>
        <v>Low Sales</v>
      </c>
      <c r="J1402" t="str">
        <f t="shared" si="107"/>
        <v>Average Performance</v>
      </c>
      <c r="K1402">
        <f t="shared" si="108"/>
        <v>2003</v>
      </c>
      <c r="L1402" t="str">
        <f t="shared" si="109"/>
        <v>December</v>
      </c>
    </row>
    <row r="1403" spans="1:12" x14ac:dyDescent="0.25">
      <c r="A1403" t="s">
        <v>242</v>
      </c>
      <c r="B1403" t="s">
        <v>258</v>
      </c>
      <c r="C1403" t="s">
        <v>262</v>
      </c>
      <c r="D1403" t="str">
        <f t="shared" si="105"/>
        <v>Classic Cars</v>
      </c>
      <c r="E1403" t="s">
        <v>321</v>
      </c>
      <c r="F1403" s="5">
        <v>2084.75</v>
      </c>
      <c r="G1403" s="5">
        <v>416.95</v>
      </c>
      <c r="I1403" t="str">
        <f t="shared" si="106"/>
        <v>Low Sales</v>
      </c>
      <c r="J1403" t="str">
        <f t="shared" si="107"/>
        <v>Average Performance</v>
      </c>
      <c r="K1403">
        <f t="shared" si="108"/>
        <v>2004</v>
      </c>
      <c r="L1403" t="str">
        <f t="shared" si="109"/>
        <v>January</v>
      </c>
    </row>
    <row r="1404" spans="1:12" x14ac:dyDescent="0.25">
      <c r="A1404" t="s">
        <v>178</v>
      </c>
      <c r="B1404" t="s">
        <v>258</v>
      </c>
      <c r="C1404" t="s">
        <v>262</v>
      </c>
      <c r="D1404" t="str">
        <f t="shared" si="105"/>
        <v>Classic Cars</v>
      </c>
      <c r="E1404" t="s">
        <v>321</v>
      </c>
      <c r="F1404" s="5">
        <v>2136.0100000000002</v>
      </c>
      <c r="G1404" s="5">
        <v>427.20200000000011</v>
      </c>
      <c r="I1404" t="str">
        <f t="shared" si="106"/>
        <v>Low Sales</v>
      </c>
      <c r="J1404" t="str">
        <f t="shared" si="107"/>
        <v>Average Performance</v>
      </c>
      <c r="K1404">
        <f t="shared" si="108"/>
        <v>2004</v>
      </c>
      <c r="L1404" t="str">
        <f t="shared" si="109"/>
        <v>March</v>
      </c>
    </row>
    <row r="1405" spans="1:12" x14ac:dyDescent="0.25">
      <c r="A1405" t="s">
        <v>162</v>
      </c>
      <c r="B1405" t="s">
        <v>258</v>
      </c>
      <c r="C1405" t="s">
        <v>262</v>
      </c>
      <c r="D1405" t="str">
        <f t="shared" si="105"/>
        <v>Classic Cars</v>
      </c>
      <c r="E1405" t="s">
        <v>321</v>
      </c>
      <c r="F1405" s="5">
        <v>2009.7</v>
      </c>
      <c r="G1405" s="5">
        <v>401.94000000000011</v>
      </c>
      <c r="I1405" t="str">
        <f t="shared" si="106"/>
        <v>Low Sales</v>
      </c>
      <c r="J1405" t="str">
        <f t="shared" si="107"/>
        <v>Average Performance</v>
      </c>
      <c r="K1405">
        <f t="shared" si="108"/>
        <v>2004</v>
      </c>
      <c r="L1405" t="str">
        <f t="shared" si="109"/>
        <v>April</v>
      </c>
    </row>
    <row r="1406" spans="1:12" x14ac:dyDescent="0.25">
      <c r="A1406" t="s">
        <v>244</v>
      </c>
      <c r="C1406" t="s">
        <v>262</v>
      </c>
      <c r="D1406" t="str">
        <f t="shared" si="105"/>
        <v>Classic Cars</v>
      </c>
      <c r="E1406" t="s">
        <v>321</v>
      </c>
      <c r="F1406" s="5">
        <v>2719.8</v>
      </c>
      <c r="G1406" s="5">
        <v>543.96</v>
      </c>
      <c r="I1406" t="str">
        <f t="shared" si="106"/>
        <v>Low Sales</v>
      </c>
      <c r="J1406" t="str">
        <f t="shared" si="107"/>
        <v>Average Performance</v>
      </c>
      <c r="K1406">
        <f t="shared" si="108"/>
        <v>2004</v>
      </c>
      <c r="L1406" t="str">
        <f t="shared" si="109"/>
        <v>July</v>
      </c>
    </row>
    <row r="1407" spans="1:12" x14ac:dyDescent="0.25">
      <c r="A1407" t="s">
        <v>245</v>
      </c>
      <c r="B1407" t="s">
        <v>258</v>
      </c>
      <c r="C1407" t="s">
        <v>262</v>
      </c>
      <c r="D1407" t="str">
        <f t="shared" si="105"/>
        <v>Classic Cars</v>
      </c>
      <c r="E1407" t="s">
        <v>321</v>
      </c>
      <c r="F1407" s="5">
        <v>1575.08</v>
      </c>
      <c r="G1407" s="5">
        <v>315.01600000000002</v>
      </c>
      <c r="I1407" t="str">
        <f t="shared" si="106"/>
        <v>Low Sales</v>
      </c>
      <c r="J1407" t="str">
        <f t="shared" si="107"/>
        <v>Average Performance</v>
      </c>
      <c r="K1407">
        <f t="shared" si="108"/>
        <v>2004</v>
      </c>
      <c r="L1407" t="str">
        <f t="shared" si="109"/>
        <v>August</v>
      </c>
    </row>
    <row r="1408" spans="1:12" x14ac:dyDescent="0.25">
      <c r="A1408" t="s">
        <v>188</v>
      </c>
      <c r="B1408" t="s">
        <v>259</v>
      </c>
      <c r="C1408" t="s">
        <v>262</v>
      </c>
      <c r="D1408" t="str">
        <f t="shared" si="105"/>
        <v>Classic Cars</v>
      </c>
      <c r="E1408" t="s">
        <v>321</v>
      </c>
      <c r="F1408" s="5">
        <v>1688.43</v>
      </c>
      <c r="G1408" s="5">
        <v>337.68599999999998</v>
      </c>
      <c r="I1408" t="str">
        <f t="shared" si="106"/>
        <v>Low Sales</v>
      </c>
      <c r="J1408" t="str">
        <f t="shared" si="107"/>
        <v>Average Performance</v>
      </c>
      <c r="K1408">
        <f t="shared" si="108"/>
        <v>2004</v>
      </c>
      <c r="L1408" t="str">
        <f t="shared" si="109"/>
        <v>September</v>
      </c>
    </row>
    <row r="1409" spans="1:12" x14ac:dyDescent="0.25">
      <c r="A1409" t="s">
        <v>72</v>
      </c>
      <c r="B1409" t="s">
        <v>258</v>
      </c>
      <c r="C1409" t="s">
        <v>262</v>
      </c>
      <c r="D1409" t="str">
        <f t="shared" si="105"/>
        <v>Classic Cars</v>
      </c>
      <c r="E1409" t="s">
        <v>321</v>
      </c>
      <c r="F1409" s="5">
        <v>1672.1</v>
      </c>
      <c r="G1409" s="5">
        <v>334.42</v>
      </c>
      <c r="I1409" t="str">
        <f t="shared" si="106"/>
        <v>Low Sales</v>
      </c>
      <c r="J1409" t="str">
        <f t="shared" si="107"/>
        <v>Average Performance</v>
      </c>
      <c r="K1409">
        <f t="shared" si="108"/>
        <v>2003</v>
      </c>
      <c r="L1409" t="str">
        <f t="shared" si="109"/>
        <v>October</v>
      </c>
    </row>
    <row r="1410" spans="1:12" x14ac:dyDescent="0.25">
      <c r="A1410" t="s">
        <v>119</v>
      </c>
      <c r="B1410" t="s">
        <v>258</v>
      </c>
      <c r="C1410" t="s">
        <v>262</v>
      </c>
      <c r="D1410" t="str">
        <f t="shared" si="105"/>
        <v>Classic Cars</v>
      </c>
      <c r="E1410" t="s">
        <v>321</v>
      </c>
      <c r="F1410" s="5">
        <v>1674.75</v>
      </c>
      <c r="G1410" s="5">
        <v>334.95</v>
      </c>
      <c r="I1410" t="str">
        <f t="shared" si="106"/>
        <v>Low Sales</v>
      </c>
      <c r="J1410" t="str">
        <f t="shared" si="107"/>
        <v>Average Performance</v>
      </c>
      <c r="K1410">
        <f t="shared" si="108"/>
        <v>2004</v>
      </c>
      <c r="L1410" t="str">
        <f t="shared" si="109"/>
        <v>October</v>
      </c>
    </row>
    <row r="1411" spans="1:12" x14ac:dyDescent="0.25">
      <c r="A1411" t="s">
        <v>165</v>
      </c>
      <c r="B1411" t="s">
        <v>258</v>
      </c>
      <c r="C1411" t="s">
        <v>262</v>
      </c>
      <c r="D1411" t="str">
        <f t="shared" ref="D1411:D1474" si="110">PROPER(TRIM(C1411))</f>
        <v>Classic Cars</v>
      </c>
      <c r="E1411" t="s">
        <v>321</v>
      </c>
      <c r="F1411" s="5">
        <v>3472.98</v>
      </c>
      <c r="G1411" s="5">
        <v>694.596</v>
      </c>
      <c r="I1411" t="str">
        <f t="shared" ref="I1411:I1474" si="111">IF(F1411&gt;50000,"High Sales","Low Sales")</f>
        <v>Low Sales</v>
      </c>
      <c r="J1411" t="str">
        <f t="shared" ref="J1411:J1474" si="112">IF(AND(F1411&gt;30000,G1411&gt;5000),"Good Performance","Average Performance")</f>
        <v>Average Performance</v>
      </c>
      <c r="K1411">
        <f t="shared" ref="K1411:K1474" si="113">YEAR(A1411)</f>
        <v>2004</v>
      </c>
      <c r="L1411" t="str">
        <f t="shared" ref="L1411:L1474" si="114">TEXT(A1411,"mmmm")</f>
        <v>November</v>
      </c>
    </row>
    <row r="1412" spans="1:12" x14ac:dyDescent="0.25">
      <c r="A1412" t="s">
        <v>207</v>
      </c>
      <c r="B1412" t="s">
        <v>258</v>
      </c>
      <c r="C1412" t="s">
        <v>262</v>
      </c>
      <c r="D1412" t="str">
        <f t="shared" si="110"/>
        <v>Classic Cars</v>
      </c>
      <c r="E1412" t="s">
        <v>321</v>
      </c>
      <c r="F1412" s="5">
        <v>1649.18</v>
      </c>
      <c r="G1412" s="5">
        <v>329.83600000000001</v>
      </c>
      <c r="I1412" t="str">
        <f t="shared" si="111"/>
        <v>Low Sales</v>
      </c>
      <c r="J1412" t="str">
        <f t="shared" si="112"/>
        <v>Average Performance</v>
      </c>
      <c r="K1412">
        <f t="shared" si="113"/>
        <v>2004</v>
      </c>
      <c r="L1412" t="str">
        <f t="shared" si="114"/>
        <v>November</v>
      </c>
    </row>
    <row r="1413" spans="1:12" x14ac:dyDescent="0.25">
      <c r="A1413" t="s">
        <v>189</v>
      </c>
      <c r="C1413" t="s">
        <v>262</v>
      </c>
      <c r="D1413" t="str">
        <f t="shared" si="110"/>
        <v>Classic Cars</v>
      </c>
      <c r="E1413" t="s">
        <v>321</v>
      </c>
      <c r="F1413" s="5">
        <v>3751</v>
      </c>
      <c r="G1413" s="5">
        <v>750.2</v>
      </c>
      <c r="I1413" t="str">
        <f t="shared" si="111"/>
        <v>Low Sales</v>
      </c>
      <c r="J1413" t="str">
        <f t="shared" si="112"/>
        <v>Average Performance</v>
      </c>
      <c r="K1413">
        <f t="shared" si="113"/>
        <v>2005</v>
      </c>
      <c r="L1413" t="str">
        <f t="shared" si="114"/>
        <v>January</v>
      </c>
    </row>
    <row r="1414" spans="1:12" x14ac:dyDescent="0.25">
      <c r="A1414" t="s">
        <v>182</v>
      </c>
      <c r="B1414" t="s">
        <v>258</v>
      </c>
      <c r="C1414" t="s">
        <v>262</v>
      </c>
      <c r="D1414" t="str">
        <f t="shared" si="110"/>
        <v>Classic Cars</v>
      </c>
      <c r="E1414" t="s">
        <v>321</v>
      </c>
      <c r="F1414" s="5">
        <v>4536</v>
      </c>
      <c r="G1414" s="5">
        <v>907.2</v>
      </c>
      <c r="I1414" t="str">
        <f t="shared" si="111"/>
        <v>Low Sales</v>
      </c>
      <c r="J1414" t="str">
        <f t="shared" si="112"/>
        <v>Average Performance</v>
      </c>
      <c r="K1414">
        <f t="shared" si="113"/>
        <v>2005</v>
      </c>
      <c r="L1414" t="str">
        <f t="shared" si="114"/>
        <v>February</v>
      </c>
    </row>
    <row r="1415" spans="1:12" x14ac:dyDescent="0.25">
      <c r="A1415" t="s">
        <v>191</v>
      </c>
      <c r="C1415" t="s">
        <v>262</v>
      </c>
      <c r="D1415" t="str">
        <f t="shared" si="110"/>
        <v>Classic Cars</v>
      </c>
      <c r="E1415" t="s">
        <v>321</v>
      </c>
      <c r="F1415" s="5">
        <v>4421.34</v>
      </c>
      <c r="G1415" s="5">
        <v>884.26800000000003</v>
      </c>
      <c r="I1415" t="str">
        <f t="shared" si="111"/>
        <v>Low Sales</v>
      </c>
      <c r="J1415" t="str">
        <f t="shared" si="112"/>
        <v>Average Performance</v>
      </c>
      <c r="K1415">
        <f t="shared" si="113"/>
        <v>2005</v>
      </c>
      <c r="L1415" t="str">
        <f t="shared" si="114"/>
        <v>April</v>
      </c>
    </row>
    <row r="1416" spans="1:12" x14ac:dyDescent="0.25">
      <c r="A1416" t="s">
        <v>208</v>
      </c>
      <c r="B1416" t="s">
        <v>259</v>
      </c>
      <c r="C1416" t="s">
        <v>262</v>
      </c>
      <c r="D1416" t="str">
        <f t="shared" si="110"/>
        <v>Classic Cars</v>
      </c>
      <c r="E1416" t="s">
        <v>321</v>
      </c>
      <c r="F1416" s="5">
        <v>2078.2800000000002</v>
      </c>
      <c r="G1416" s="5">
        <v>415.65600000000012</v>
      </c>
      <c r="I1416" t="str">
        <f t="shared" si="111"/>
        <v>Low Sales</v>
      </c>
      <c r="J1416" t="str">
        <f t="shared" si="112"/>
        <v>Average Performance</v>
      </c>
      <c r="K1416">
        <f t="shared" si="113"/>
        <v>2005</v>
      </c>
      <c r="L1416" t="str">
        <f t="shared" si="114"/>
        <v>May</v>
      </c>
    </row>
    <row r="1417" spans="1:12" x14ac:dyDescent="0.25">
      <c r="A1417" t="s">
        <v>184</v>
      </c>
      <c r="B1417" t="s">
        <v>258</v>
      </c>
      <c r="C1417" t="s">
        <v>262</v>
      </c>
      <c r="D1417" t="str">
        <f t="shared" si="110"/>
        <v>Classic Cars</v>
      </c>
      <c r="E1417" t="s">
        <v>322</v>
      </c>
      <c r="F1417" s="5">
        <v>3069</v>
      </c>
      <c r="G1417" s="5">
        <v>613.80000000000007</v>
      </c>
      <c r="I1417" t="str">
        <f t="shared" si="111"/>
        <v>Low Sales</v>
      </c>
      <c r="J1417" t="str">
        <f t="shared" si="112"/>
        <v>Average Performance</v>
      </c>
      <c r="K1417">
        <f t="shared" si="113"/>
        <v>2003</v>
      </c>
      <c r="L1417" t="str">
        <f t="shared" si="114"/>
        <v>March</v>
      </c>
    </row>
    <row r="1418" spans="1:12" x14ac:dyDescent="0.25">
      <c r="A1418" t="s">
        <v>172</v>
      </c>
      <c r="C1418" t="s">
        <v>262</v>
      </c>
      <c r="D1418" t="str">
        <f t="shared" si="110"/>
        <v>Classic Cars</v>
      </c>
      <c r="E1418" t="s">
        <v>322</v>
      </c>
      <c r="F1418" s="5">
        <v>1713.8</v>
      </c>
      <c r="G1418" s="5">
        <v>342.76</v>
      </c>
      <c r="I1418" t="str">
        <f t="shared" si="111"/>
        <v>Low Sales</v>
      </c>
      <c r="J1418" t="str">
        <f t="shared" si="112"/>
        <v>Average Performance</v>
      </c>
      <c r="K1418">
        <f t="shared" si="113"/>
        <v>2003</v>
      </c>
      <c r="L1418" t="str">
        <f t="shared" si="114"/>
        <v>May</v>
      </c>
    </row>
    <row r="1419" spans="1:12" x14ac:dyDescent="0.25">
      <c r="A1419" t="s">
        <v>159</v>
      </c>
      <c r="B1419" t="s">
        <v>259</v>
      </c>
      <c r="C1419" t="s">
        <v>262</v>
      </c>
      <c r="D1419" t="str">
        <f t="shared" si="110"/>
        <v>Classic Cars</v>
      </c>
      <c r="E1419" t="s">
        <v>322</v>
      </c>
      <c r="F1419" s="5">
        <v>1506.5</v>
      </c>
      <c r="G1419" s="5">
        <v>301.3</v>
      </c>
      <c r="I1419" t="str">
        <f t="shared" si="111"/>
        <v>Low Sales</v>
      </c>
      <c r="J1419" t="str">
        <f t="shared" si="112"/>
        <v>Average Performance</v>
      </c>
      <c r="K1419">
        <f t="shared" si="113"/>
        <v>2003</v>
      </c>
      <c r="L1419" t="str">
        <f t="shared" si="114"/>
        <v>September</v>
      </c>
    </row>
    <row r="1420" spans="1:12" x14ac:dyDescent="0.25">
      <c r="A1420" t="s">
        <v>160</v>
      </c>
      <c r="B1420" t="s">
        <v>258</v>
      </c>
      <c r="C1420" t="s">
        <v>262</v>
      </c>
      <c r="D1420" t="str">
        <f t="shared" si="110"/>
        <v>Classic Cars</v>
      </c>
      <c r="E1420" t="s">
        <v>322</v>
      </c>
      <c r="F1420" s="5">
        <v>2692.12</v>
      </c>
      <c r="G1420" s="5">
        <v>538.42399999999998</v>
      </c>
      <c r="I1420" t="str">
        <f t="shared" si="111"/>
        <v>Low Sales</v>
      </c>
      <c r="J1420" t="str">
        <f t="shared" si="112"/>
        <v>Average Performance</v>
      </c>
      <c r="K1420">
        <f t="shared" si="113"/>
        <v>2003</v>
      </c>
      <c r="L1420" t="str">
        <f t="shared" si="114"/>
        <v>October</v>
      </c>
    </row>
    <row r="1421" spans="1:12" x14ac:dyDescent="0.25">
      <c r="A1421" t="s">
        <v>161</v>
      </c>
      <c r="C1421" t="s">
        <v>262</v>
      </c>
      <c r="D1421" t="str">
        <f t="shared" si="110"/>
        <v>Classic Cars</v>
      </c>
      <c r="E1421" t="s">
        <v>322</v>
      </c>
      <c r="F1421" s="5">
        <v>2422.08</v>
      </c>
      <c r="G1421" s="5">
        <v>484.416</v>
      </c>
      <c r="I1421" t="str">
        <f t="shared" si="111"/>
        <v>Low Sales</v>
      </c>
      <c r="J1421" t="str">
        <f t="shared" si="112"/>
        <v>Average Performance</v>
      </c>
      <c r="K1421">
        <f t="shared" si="113"/>
        <v>2003</v>
      </c>
      <c r="L1421" t="str">
        <f t="shared" si="114"/>
        <v>November</v>
      </c>
    </row>
    <row r="1422" spans="1:12" x14ac:dyDescent="0.25">
      <c r="A1422" t="s">
        <v>109</v>
      </c>
      <c r="C1422" t="s">
        <v>262</v>
      </c>
      <c r="D1422" t="str">
        <f t="shared" si="110"/>
        <v>Classic Cars</v>
      </c>
      <c r="E1422" t="s">
        <v>322</v>
      </c>
      <c r="F1422" s="5">
        <v>3488.34</v>
      </c>
      <c r="G1422" s="5">
        <v>697.66800000000012</v>
      </c>
      <c r="I1422" t="str">
        <f t="shared" si="111"/>
        <v>Low Sales</v>
      </c>
      <c r="J1422" t="str">
        <f t="shared" si="112"/>
        <v>Average Performance</v>
      </c>
      <c r="K1422">
        <f t="shared" si="113"/>
        <v>2003</v>
      </c>
      <c r="L1422" t="str">
        <f t="shared" si="114"/>
        <v>November</v>
      </c>
    </row>
    <row r="1423" spans="1:12" x14ac:dyDescent="0.25">
      <c r="A1423" t="s">
        <v>110</v>
      </c>
      <c r="C1423" t="s">
        <v>262</v>
      </c>
      <c r="D1423" t="str">
        <f t="shared" si="110"/>
        <v>Classic Cars</v>
      </c>
      <c r="E1423" t="s">
        <v>322</v>
      </c>
      <c r="F1423" s="5">
        <v>2583.34</v>
      </c>
      <c r="G1423" s="5">
        <v>516.66800000000001</v>
      </c>
      <c r="I1423" t="str">
        <f t="shared" si="111"/>
        <v>Low Sales</v>
      </c>
      <c r="J1423" t="str">
        <f t="shared" si="112"/>
        <v>Average Performance</v>
      </c>
      <c r="K1423">
        <f t="shared" si="113"/>
        <v>2003</v>
      </c>
      <c r="L1423" t="str">
        <f t="shared" si="114"/>
        <v>November</v>
      </c>
    </row>
    <row r="1424" spans="1:12" x14ac:dyDescent="0.25">
      <c r="A1424" t="s">
        <v>111</v>
      </c>
      <c r="C1424" t="s">
        <v>262</v>
      </c>
      <c r="D1424" t="str">
        <f t="shared" si="110"/>
        <v>Classic Cars</v>
      </c>
      <c r="E1424" t="s">
        <v>322</v>
      </c>
      <c r="F1424" s="5">
        <v>1249.4000000000001</v>
      </c>
      <c r="G1424" s="5">
        <v>249.88</v>
      </c>
      <c r="I1424" t="str">
        <f t="shared" si="111"/>
        <v>Low Sales</v>
      </c>
      <c r="J1424" t="str">
        <f t="shared" si="112"/>
        <v>Average Performance</v>
      </c>
      <c r="K1424">
        <f t="shared" si="113"/>
        <v>2003</v>
      </c>
      <c r="L1424" t="str">
        <f t="shared" si="114"/>
        <v>December</v>
      </c>
    </row>
    <row r="1425" spans="1:12" x14ac:dyDescent="0.25">
      <c r="A1425" t="s">
        <v>144</v>
      </c>
      <c r="B1425" t="s">
        <v>258</v>
      </c>
      <c r="C1425" t="s">
        <v>262</v>
      </c>
      <c r="D1425" t="str">
        <f t="shared" si="110"/>
        <v>Classic Cars</v>
      </c>
      <c r="E1425" t="s">
        <v>322</v>
      </c>
      <c r="F1425" s="5">
        <v>3374.71</v>
      </c>
      <c r="G1425" s="5">
        <v>674.94200000000001</v>
      </c>
      <c r="I1425" t="str">
        <f t="shared" si="111"/>
        <v>Low Sales</v>
      </c>
      <c r="J1425" t="str">
        <f t="shared" si="112"/>
        <v>Average Performance</v>
      </c>
      <c r="K1425">
        <f t="shared" si="113"/>
        <v>2004</v>
      </c>
      <c r="L1425" t="str">
        <f t="shared" si="114"/>
        <v>January</v>
      </c>
    </row>
    <row r="1426" spans="1:12" x14ac:dyDescent="0.25">
      <c r="A1426" t="s">
        <v>187</v>
      </c>
      <c r="C1426" t="s">
        <v>262</v>
      </c>
      <c r="D1426" t="str">
        <f t="shared" si="110"/>
        <v>Classic Cars</v>
      </c>
      <c r="E1426" t="s">
        <v>322</v>
      </c>
      <c r="F1426" s="5">
        <v>1265.46</v>
      </c>
      <c r="G1426" s="5">
        <v>253.09200000000001</v>
      </c>
      <c r="I1426" t="str">
        <f t="shared" si="111"/>
        <v>Low Sales</v>
      </c>
      <c r="J1426" t="str">
        <f t="shared" si="112"/>
        <v>Average Performance</v>
      </c>
      <c r="K1426">
        <f t="shared" si="113"/>
        <v>2004</v>
      </c>
      <c r="L1426" t="str">
        <f t="shared" si="114"/>
        <v>February</v>
      </c>
    </row>
    <row r="1427" spans="1:12" x14ac:dyDescent="0.25">
      <c r="A1427" t="s">
        <v>162</v>
      </c>
      <c r="B1427" t="s">
        <v>258</v>
      </c>
      <c r="C1427" t="s">
        <v>262</v>
      </c>
      <c r="D1427" t="str">
        <f t="shared" si="110"/>
        <v>Classic Cars</v>
      </c>
      <c r="E1427" t="s">
        <v>322</v>
      </c>
      <c r="F1427" s="5">
        <v>1681.46</v>
      </c>
      <c r="G1427" s="5">
        <v>336.29199999999997</v>
      </c>
      <c r="I1427" t="str">
        <f t="shared" si="111"/>
        <v>Low Sales</v>
      </c>
      <c r="J1427" t="str">
        <f t="shared" si="112"/>
        <v>Average Performance</v>
      </c>
      <c r="K1427">
        <f t="shared" si="113"/>
        <v>2004</v>
      </c>
      <c r="L1427" t="str">
        <f t="shared" si="114"/>
        <v>April</v>
      </c>
    </row>
    <row r="1428" spans="1:12" x14ac:dyDescent="0.25">
      <c r="A1428" t="s">
        <v>244</v>
      </c>
      <c r="C1428" t="s">
        <v>262</v>
      </c>
      <c r="D1428" t="str">
        <f t="shared" si="110"/>
        <v>Classic Cars</v>
      </c>
      <c r="E1428" t="s">
        <v>322</v>
      </c>
      <c r="F1428" s="5">
        <v>3204</v>
      </c>
      <c r="G1428" s="5">
        <v>640.80000000000007</v>
      </c>
      <c r="I1428" t="str">
        <f t="shared" si="111"/>
        <v>Low Sales</v>
      </c>
      <c r="J1428" t="str">
        <f t="shared" si="112"/>
        <v>Average Performance</v>
      </c>
      <c r="K1428">
        <f t="shared" si="113"/>
        <v>2004</v>
      </c>
      <c r="L1428" t="str">
        <f t="shared" si="114"/>
        <v>July</v>
      </c>
    </row>
    <row r="1429" spans="1:12" x14ac:dyDescent="0.25">
      <c r="A1429" t="s">
        <v>245</v>
      </c>
      <c r="B1429" t="s">
        <v>258</v>
      </c>
      <c r="C1429" t="s">
        <v>262</v>
      </c>
      <c r="D1429" t="str">
        <f t="shared" si="110"/>
        <v>Classic Cars</v>
      </c>
      <c r="E1429" t="s">
        <v>322</v>
      </c>
      <c r="F1429" s="5">
        <v>2398.7199999999998</v>
      </c>
      <c r="G1429" s="5">
        <v>479.74400000000003</v>
      </c>
      <c r="I1429" t="str">
        <f t="shared" si="111"/>
        <v>Low Sales</v>
      </c>
      <c r="J1429" t="str">
        <f t="shared" si="112"/>
        <v>Average Performance</v>
      </c>
      <c r="K1429">
        <f t="shared" si="113"/>
        <v>2004</v>
      </c>
      <c r="L1429" t="str">
        <f t="shared" si="114"/>
        <v>August</v>
      </c>
    </row>
    <row r="1430" spans="1:12" x14ac:dyDescent="0.25">
      <c r="A1430" t="s">
        <v>188</v>
      </c>
      <c r="B1430" t="s">
        <v>259</v>
      </c>
      <c r="C1430" t="s">
        <v>262</v>
      </c>
      <c r="D1430" t="str">
        <f t="shared" si="110"/>
        <v>Classic Cars</v>
      </c>
      <c r="E1430" t="s">
        <v>322</v>
      </c>
      <c r="F1430" s="5">
        <v>2381.04</v>
      </c>
      <c r="G1430" s="5">
        <v>476.20800000000003</v>
      </c>
      <c r="I1430" t="str">
        <f t="shared" si="111"/>
        <v>Low Sales</v>
      </c>
      <c r="J1430" t="str">
        <f t="shared" si="112"/>
        <v>Average Performance</v>
      </c>
      <c r="K1430">
        <f t="shared" si="113"/>
        <v>2004</v>
      </c>
      <c r="L1430" t="str">
        <f t="shared" si="114"/>
        <v>September</v>
      </c>
    </row>
    <row r="1431" spans="1:12" x14ac:dyDescent="0.25">
      <c r="A1431" t="s">
        <v>164</v>
      </c>
      <c r="B1431" t="s">
        <v>258</v>
      </c>
      <c r="C1431" t="s">
        <v>262</v>
      </c>
      <c r="D1431" t="str">
        <f t="shared" si="110"/>
        <v>Classic Cars</v>
      </c>
      <c r="E1431" t="s">
        <v>322</v>
      </c>
      <c r="F1431" s="5">
        <v>1944.54</v>
      </c>
      <c r="G1431" s="5">
        <v>388.90800000000002</v>
      </c>
      <c r="I1431" t="str">
        <f t="shared" si="111"/>
        <v>Low Sales</v>
      </c>
      <c r="J1431" t="str">
        <f t="shared" si="112"/>
        <v>Average Performance</v>
      </c>
      <c r="K1431">
        <f t="shared" si="113"/>
        <v>2003</v>
      </c>
      <c r="L1431" t="str">
        <f t="shared" si="114"/>
        <v>October</v>
      </c>
    </row>
    <row r="1432" spans="1:12" x14ac:dyDescent="0.25">
      <c r="A1432" t="s">
        <v>119</v>
      </c>
      <c r="B1432" t="s">
        <v>258</v>
      </c>
      <c r="C1432" t="s">
        <v>262</v>
      </c>
      <c r="D1432" t="str">
        <f t="shared" si="110"/>
        <v>Classic Cars</v>
      </c>
      <c r="E1432" t="s">
        <v>322</v>
      </c>
      <c r="F1432" s="5">
        <v>2273.6999999999998</v>
      </c>
      <c r="G1432" s="5">
        <v>454.74</v>
      </c>
      <c r="I1432" t="str">
        <f t="shared" si="111"/>
        <v>Low Sales</v>
      </c>
      <c r="J1432" t="str">
        <f t="shared" si="112"/>
        <v>Average Performance</v>
      </c>
      <c r="K1432">
        <f t="shared" si="113"/>
        <v>2004</v>
      </c>
      <c r="L1432" t="str">
        <f t="shared" si="114"/>
        <v>October</v>
      </c>
    </row>
    <row r="1433" spans="1:12" x14ac:dyDescent="0.25">
      <c r="A1433" t="s">
        <v>51</v>
      </c>
      <c r="C1433" t="s">
        <v>262</v>
      </c>
      <c r="D1433" t="str">
        <f t="shared" si="110"/>
        <v>Classic Cars</v>
      </c>
      <c r="E1433" t="s">
        <v>322</v>
      </c>
      <c r="F1433" s="5">
        <v>2116.5</v>
      </c>
      <c r="G1433" s="5">
        <v>423.3</v>
      </c>
      <c r="I1433" t="str">
        <f t="shared" si="111"/>
        <v>Low Sales</v>
      </c>
      <c r="J1433" t="str">
        <f t="shared" si="112"/>
        <v>Average Performance</v>
      </c>
      <c r="K1433">
        <f t="shared" si="113"/>
        <v>2004</v>
      </c>
      <c r="L1433" t="str">
        <f t="shared" si="114"/>
        <v>November</v>
      </c>
    </row>
    <row r="1434" spans="1:12" x14ac:dyDescent="0.25">
      <c r="A1434" t="s">
        <v>165</v>
      </c>
      <c r="B1434" t="s">
        <v>258</v>
      </c>
      <c r="C1434" t="s">
        <v>262</v>
      </c>
      <c r="D1434" t="str">
        <f t="shared" si="110"/>
        <v>Classic Cars</v>
      </c>
      <c r="E1434" t="s">
        <v>322</v>
      </c>
      <c r="F1434" s="5">
        <v>1307.32</v>
      </c>
      <c r="G1434" s="5">
        <v>261.464</v>
      </c>
      <c r="I1434" t="str">
        <f t="shared" si="111"/>
        <v>Low Sales</v>
      </c>
      <c r="J1434" t="str">
        <f t="shared" si="112"/>
        <v>Average Performance</v>
      </c>
      <c r="K1434">
        <f t="shared" si="113"/>
        <v>2004</v>
      </c>
      <c r="L1434" t="str">
        <f t="shared" si="114"/>
        <v>November</v>
      </c>
    </row>
    <row r="1435" spans="1:12" x14ac:dyDescent="0.25">
      <c r="A1435" t="s">
        <v>207</v>
      </c>
      <c r="B1435" t="s">
        <v>258</v>
      </c>
      <c r="C1435" t="s">
        <v>262</v>
      </c>
      <c r="D1435" t="str">
        <f t="shared" si="110"/>
        <v>Classic Cars</v>
      </c>
      <c r="E1435" t="s">
        <v>322</v>
      </c>
      <c r="F1435" s="5">
        <v>1726.37</v>
      </c>
      <c r="G1435" s="5">
        <v>345.274</v>
      </c>
      <c r="I1435" t="str">
        <f t="shared" si="111"/>
        <v>Low Sales</v>
      </c>
      <c r="J1435" t="str">
        <f t="shared" si="112"/>
        <v>Average Performance</v>
      </c>
      <c r="K1435">
        <f t="shared" si="113"/>
        <v>2004</v>
      </c>
      <c r="L1435" t="str">
        <f t="shared" si="114"/>
        <v>November</v>
      </c>
    </row>
    <row r="1436" spans="1:12" x14ac:dyDescent="0.25">
      <c r="A1436" t="s">
        <v>189</v>
      </c>
      <c r="C1436" t="s">
        <v>262</v>
      </c>
      <c r="D1436" t="str">
        <f t="shared" si="110"/>
        <v>Classic Cars</v>
      </c>
      <c r="E1436" t="s">
        <v>322</v>
      </c>
      <c r="F1436" s="5">
        <v>1267.77</v>
      </c>
      <c r="G1436" s="5">
        <v>253.554</v>
      </c>
      <c r="I1436" t="str">
        <f t="shared" si="111"/>
        <v>Low Sales</v>
      </c>
      <c r="J1436" t="str">
        <f t="shared" si="112"/>
        <v>Average Performance</v>
      </c>
      <c r="K1436">
        <f t="shared" si="113"/>
        <v>2005</v>
      </c>
      <c r="L1436" t="str">
        <f t="shared" si="114"/>
        <v>January</v>
      </c>
    </row>
    <row r="1437" spans="1:12" x14ac:dyDescent="0.25">
      <c r="A1437" t="s">
        <v>182</v>
      </c>
      <c r="B1437" t="s">
        <v>258</v>
      </c>
      <c r="C1437" t="s">
        <v>262</v>
      </c>
      <c r="D1437" t="str">
        <f t="shared" si="110"/>
        <v>Classic Cars</v>
      </c>
      <c r="E1437" t="s">
        <v>322</v>
      </c>
      <c r="F1437" s="5">
        <v>3441.82</v>
      </c>
      <c r="G1437" s="5">
        <v>688.36400000000003</v>
      </c>
      <c r="I1437" t="str">
        <f t="shared" si="111"/>
        <v>Low Sales</v>
      </c>
      <c r="J1437" t="str">
        <f t="shared" si="112"/>
        <v>Average Performance</v>
      </c>
      <c r="K1437">
        <f t="shared" si="113"/>
        <v>2005</v>
      </c>
      <c r="L1437" t="str">
        <f t="shared" si="114"/>
        <v>February</v>
      </c>
    </row>
    <row r="1438" spans="1:12" x14ac:dyDescent="0.25">
      <c r="A1438" t="s">
        <v>191</v>
      </c>
      <c r="C1438" t="s">
        <v>262</v>
      </c>
      <c r="D1438" t="str">
        <f t="shared" si="110"/>
        <v>Classic Cars</v>
      </c>
      <c r="E1438" t="s">
        <v>322</v>
      </c>
      <c r="F1438" s="5">
        <v>1987.18</v>
      </c>
      <c r="G1438" s="5">
        <v>397.43599999999998</v>
      </c>
      <c r="I1438" t="str">
        <f t="shared" si="111"/>
        <v>Low Sales</v>
      </c>
      <c r="J1438" t="str">
        <f t="shared" si="112"/>
        <v>Average Performance</v>
      </c>
      <c r="K1438">
        <f t="shared" si="113"/>
        <v>2005</v>
      </c>
      <c r="L1438" t="str">
        <f t="shared" si="114"/>
        <v>April</v>
      </c>
    </row>
    <row r="1439" spans="1:12" x14ac:dyDescent="0.25">
      <c r="A1439" t="s">
        <v>208</v>
      </c>
      <c r="B1439" t="s">
        <v>259</v>
      </c>
      <c r="C1439" t="s">
        <v>262</v>
      </c>
      <c r="D1439" t="str">
        <f t="shared" si="110"/>
        <v>Classic Cars</v>
      </c>
      <c r="E1439" t="s">
        <v>322</v>
      </c>
      <c r="F1439" s="5">
        <v>3880.2</v>
      </c>
      <c r="G1439" s="5">
        <v>776.04</v>
      </c>
      <c r="I1439" t="str">
        <f t="shared" si="111"/>
        <v>Low Sales</v>
      </c>
      <c r="J1439" t="str">
        <f t="shared" si="112"/>
        <v>Average Performance</v>
      </c>
      <c r="K1439">
        <f t="shared" si="113"/>
        <v>2005</v>
      </c>
      <c r="L1439" t="str">
        <f t="shared" si="114"/>
        <v>May</v>
      </c>
    </row>
    <row r="1440" spans="1:12" x14ac:dyDescent="0.25">
      <c r="A1440" t="s">
        <v>140</v>
      </c>
      <c r="B1440" t="s">
        <v>258</v>
      </c>
      <c r="C1440" t="s">
        <v>262</v>
      </c>
      <c r="D1440" t="str">
        <f t="shared" si="110"/>
        <v>Classic Cars</v>
      </c>
      <c r="E1440" t="s">
        <v>323</v>
      </c>
      <c r="F1440" s="5">
        <v>1942.15</v>
      </c>
      <c r="G1440" s="5">
        <v>388.43000000000012</v>
      </c>
      <c r="I1440" t="str">
        <f t="shared" si="111"/>
        <v>Low Sales</v>
      </c>
      <c r="J1440" t="str">
        <f t="shared" si="112"/>
        <v>Average Performance</v>
      </c>
      <c r="K1440">
        <f t="shared" si="113"/>
        <v>2003</v>
      </c>
      <c r="L1440" t="str">
        <f t="shared" si="114"/>
        <v>January</v>
      </c>
    </row>
    <row r="1441" spans="1:12" x14ac:dyDescent="0.25">
      <c r="A1441" t="s">
        <v>149</v>
      </c>
      <c r="C1441" t="s">
        <v>262</v>
      </c>
      <c r="D1441" t="str">
        <f t="shared" si="110"/>
        <v>Classic Cars</v>
      </c>
      <c r="E1441" t="s">
        <v>323</v>
      </c>
      <c r="F1441" s="5">
        <v>3259.92</v>
      </c>
      <c r="G1441" s="5">
        <v>651.98400000000004</v>
      </c>
      <c r="I1441" t="str">
        <f t="shared" si="111"/>
        <v>Low Sales</v>
      </c>
      <c r="J1441" t="str">
        <f t="shared" si="112"/>
        <v>Average Performance</v>
      </c>
      <c r="K1441">
        <f t="shared" si="113"/>
        <v>2003</v>
      </c>
      <c r="L1441" t="str">
        <f t="shared" si="114"/>
        <v>April</v>
      </c>
    </row>
    <row r="1442" spans="1:12" x14ac:dyDescent="0.25">
      <c r="A1442" t="s">
        <v>124</v>
      </c>
      <c r="C1442" t="s">
        <v>262</v>
      </c>
      <c r="D1442" t="str">
        <f t="shared" si="110"/>
        <v>Classic Cars</v>
      </c>
      <c r="E1442" t="s">
        <v>323</v>
      </c>
      <c r="F1442" s="5">
        <v>1213.8</v>
      </c>
      <c r="G1442" s="5">
        <v>242.76</v>
      </c>
      <c r="I1442" t="str">
        <f t="shared" si="111"/>
        <v>Low Sales</v>
      </c>
      <c r="J1442" t="str">
        <f t="shared" si="112"/>
        <v>Average Performance</v>
      </c>
      <c r="K1442">
        <f t="shared" si="113"/>
        <v>2003</v>
      </c>
      <c r="L1442" t="str">
        <f t="shared" si="114"/>
        <v>June</v>
      </c>
    </row>
    <row r="1443" spans="1:12" x14ac:dyDescent="0.25">
      <c r="A1443" t="s">
        <v>150</v>
      </c>
      <c r="B1443" t="s">
        <v>258</v>
      </c>
      <c r="C1443" t="s">
        <v>262</v>
      </c>
      <c r="D1443" t="str">
        <f t="shared" si="110"/>
        <v>Classic Cars</v>
      </c>
      <c r="E1443" t="s">
        <v>323</v>
      </c>
      <c r="F1443" s="5">
        <v>1086.5999999999999</v>
      </c>
      <c r="G1443" s="5">
        <v>217.32</v>
      </c>
      <c r="I1443" t="str">
        <f t="shared" si="111"/>
        <v>Low Sales</v>
      </c>
      <c r="J1443" t="str">
        <f t="shared" si="112"/>
        <v>Average Performance</v>
      </c>
      <c r="K1443">
        <f t="shared" si="113"/>
        <v>2003</v>
      </c>
      <c r="L1443" t="str">
        <f t="shared" si="114"/>
        <v>August</v>
      </c>
    </row>
    <row r="1444" spans="1:12" x14ac:dyDescent="0.25">
      <c r="A1444" t="s">
        <v>241</v>
      </c>
      <c r="B1444" t="s">
        <v>259</v>
      </c>
      <c r="C1444" t="s">
        <v>262</v>
      </c>
      <c r="D1444" t="str">
        <f t="shared" si="110"/>
        <v>Classic Cars</v>
      </c>
      <c r="E1444" t="s">
        <v>323</v>
      </c>
      <c r="F1444" s="5">
        <v>1632.75</v>
      </c>
      <c r="G1444" s="5">
        <v>326.55</v>
      </c>
      <c r="I1444" t="str">
        <f t="shared" si="111"/>
        <v>Low Sales</v>
      </c>
      <c r="J1444" t="str">
        <f t="shared" si="112"/>
        <v>Average Performance</v>
      </c>
      <c r="K1444">
        <f t="shared" si="113"/>
        <v>2003</v>
      </c>
      <c r="L1444" t="str">
        <f t="shared" si="114"/>
        <v>September</v>
      </c>
    </row>
    <row r="1445" spans="1:12" x14ac:dyDescent="0.25">
      <c r="A1445" t="s">
        <v>127</v>
      </c>
      <c r="B1445" t="s">
        <v>260</v>
      </c>
      <c r="C1445" t="s">
        <v>262</v>
      </c>
      <c r="D1445" t="str">
        <f t="shared" si="110"/>
        <v>Classic Cars</v>
      </c>
      <c r="E1445" t="s">
        <v>323</v>
      </c>
      <c r="F1445" s="5">
        <v>1734</v>
      </c>
      <c r="G1445" s="5">
        <v>346.8</v>
      </c>
      <c r="I1445" t="str">
        <f t="shared" si="111"/>
        <v>Low Sales</v>
      </c>
      <c r="J1445" t="str">
        <f t="shared" si="112"/>
        <v>Average Performance</v>
      </c>
      <c r="K1445">
        <f t="shared" si="113"/>
        <v>2003</v>
      </c>
      <c r="L1445" t="str">
        <f t="shared" si="114"/>
        <v>October</v>
      </c>
    </row>
    <row r="1446" spans="1:12" x14ac:dyDescent="0.25">
      <c r="A1446" t="s">
        <v>38</v>
      </c>
      <c r="B1446" t="s">
        <v>258</v>
      </c>
      <c r="C1446" t="s">
        <v>262</v>
      </c>
      <c r="D1446" t="str">
        <f t="shared" si="110"/>
        <v>Classic Cars</v>
      </c>
      <c r="E1446" t="s">
        <v>323</v>
      </c>
      <c r="F1446" s="5">
        <v>1857.06</v>
      </c>
      <c r="G1446" s="5">
        <v>371.41199999999998</v>
      </c>
      <c r="I1446" t="str">
        <f t="shared" si="111"/>
        <v>Low Sales</v>
      </c>
      <c r="J1446" t="str">
        <f t="shared" si="112"/>
        <v>Average Performance</v>
      </c>
      <c r="K1446">
        <f t="shared" si="113"/>
        <v>2003</v>
      </c>
      <c r="L1446" t="str">
        <f t="shared" si="114"/>
        <v>November</v>
      </c>
    </row>
    <row r="1447" spans="1:12" x14ac:dyDescent="0.25">
      <c r="A1447" t="s">
        <v>75</v>
      </c>
      <c r="B1447" t="s">
        <v>258</v>
      </c>
      <c r="C1447" t="s">
        <v>262</v>
      </c>
      <c r="D1447" t="str">
        <f t="shared" si="110"/>
        <v>Classic Cars</v>
      </c>
      <c r="E1447" t="s">
        <v>323</v>
      </c>
      <c r="F1447" s="5">
        <v>1863.41</v>
      </c>
      <c r="G1447" s="5">
        <v>372.68200000000002</v>
      </c>
      <c r="I1447" t="str">
        <f t="shared" si="111"/>
        <v>Low Sales</v>
      </c>
      <c r="J1447" t="str">
        <f t="shared" si="112"/>
        <v>Average Performance</v>
      </c>
      <c r="K1447">
        <f t="shared" si="113"/>
        <v>2003</v>
      </c>
      <c r="L1447" t="str">
        <f t="shared" si="114"/>
        <v>November</v>
      </c>
    </row>
    <row r="1448" spans="1:12" x14ac:dyDescent="0.25">
      <c r="A1448" t="s">
        <v>40</v>
      </c>
      <c r="C1448" t="s">
        <v>262</v>
      </c>
      <c r="D1448" t="str">
        <f t="shared" si="110"/>
        <v>Classic Cars</v>
      </c>
      <c r="E1448" t="s">
        <v>323</v>
      </c>
      <c r="F1448" s="5">
        <v>2924.68</v>
      </c>
      <c r="G1448" s="5">
        <v>584.93600000000004</v>
      </c>
      <c r="I1448" t="str">
        <f t="shared" si="111"/>
        <v>Low Sales</v>
      </c>
      <c r="J1448" t="str">
        <f t="shared" si="112"/>
        <v>Average Performance</v>
      </c>
      <c r="K1448">
        <f t="shared" si="113"/>
        <v>2003</v>
      </c>
      <c r="L1448" t="str">
        <f t="shared" si="114"/>
        <v>November</v>
      </c>
    </row>
    <row r="1449" spans="1:12" x14ac:dyDescent="0.25">
      <c r="A1449" t="s">
        <v>97</v>
      </c>
      <c r="C1449" t="s">
        <v>262</v>
      </c>
      <c r="D1449" t="str">
        <f t="shared" si="110"/>
        <v>Classic Cars</v>
      </c>
      <c r="E1449" t="s">
        <v>323</v>
      </c>
      <c r="F1449" s="5">
        <v>2294.1799999999998</v>
      </c>
      <c r="G1449" s="5">
        <v>458.83600000000001</v>
      </c>
      <c r="I1449" t="str">
        <f t="shared" si="111"/>
        <v>Low Sales</v>
      </c>
      <c r="J1449" t="str">
        <f t="shared" si="112"/>
        <v>Average Performance</v>
      </c>
      <c r="K1449">
        <f t="shared" si="113"/>
        <v>2003</v>
      </c>
      <c r="L1449" t="str">
        <f t="shared" si="114"/>
        <v>December</v>
      </c>
    </row>
    <row r="1450" spans="1:12" x14ac:dyDescent="0.25">
      <c r="A1450" t="s">
        <v>129</v>
      </c>
      <c r="B1450" t="s">
        <v>258</v>
      </c>
      <c r="C1450" t="s">
        <v>262</v>
      </c>
      <c r="D1450" t="str">
        <f t="shared" si="110"/>
        <v>Classic Cars</v>
      </c>
      <c r="E1450" t="s">
        <v>323</v>
      </c>
      <c r="F1450" s="5">
        <v>1457.82</v>
      </c>
      <c r="G1450" s="5">
        <v>291.56400000000002</v>
      </c>
      <c r="I1450" t="str">
        <f t="shared" si="111"/>
        <v>Low Sales</v>
      </c>
      <c r="J1450" t="str">
        <f t="shared" si="112"/>
        <v>Average Performance</v>
      </c>
      <c r="K1450">
        <f t="shared" si="113"/>
        <v>2004</v>
      </c>
      <c r="L1450" t="str">
        <f t="shared" si="114"/>
        <v>February</v>
      </c>
    </row>
    <row r="1451" spans="1:12" x14ac:dyDescent="0.25">
      <c r="A1451" t="s">
        <v>141</v>
      </c>
      <c r="B1451" t="s">
        <v>258</v>
      </c>
      <c r="C1451" t="s">
        <v>262</v>
      </c>
      <c r="D1451" t="str">
        <f t="shared" si="110"/>
        <v>Classic Cars</v>
      </c>
      <c r="E1451" t="s">
        <v>323</v>
      </c>
      <c r="F1451" s="5">
        <v>1955.88</v>
      </c>
      <c r="G1451" s="5">
        <v>391.17599999999999</v>
      </c>
      <c r="I1451" t="str">
        <f t="shared" si="111"/>
        <v>Low Sales</v>
      </c>
      <c r="J1451" t="str">
        <f t="shared" si="112"/>
        <v>Average Performance</v>
      </c>
      <c r="K1451">
        <f t="shared" si="113"/>
        <v>2004</v>
      </c>
      <c r="L1451" t="str">
        <f t="shared" si="114"/>
        <v>March</v>
      </c>
    </row>
    <row r="1452" spans="1:12" x14ac:dyDescent="0.25">
      <c r="A1452" t="s">
        <v>131</v>
      </c>
      <c r="B1452" t="s">
        <v>258</v>
      </c>
      <c r="C1452" t="s">
        <v>262</v>
      </c>
      <c r="D1452" t="str">
        <f t="shared" si="110"/>
        <v>Classic Cars</v>
      </c>
      <c r="E1452" t="s">
        <v>323</v>
      </c>
      <c r="F1452" s="5">
        <v>2314.4</v>
      </c>
      <c r="G1452" s="5">
        <v>462.88000000000011</v>
      </c>
      <c r="I1452" t="str">
        <f t="shared" si="111"/>
        <v>Low Sales</v>
      </c>
      <c r="J1452" t="str">
        <f t="shared" si="112"/>
        <v>Average Performance</v>
      </c>
      <c r="K1452">
        <f t="shared" si="113"/>
        <v>2004</v>
      </c>
      <c r="L1452" t="str">
        <f t="shared" si="114"/>
        <v>May</v>
      </c>
    </row>
    <row r="1453" spans="1:12" x14ac:dyDescent="0.25">
      <c r="A1453" t="s">
        <v>45</v>
      </c>
      <c r="B1453" t="s">
        <v>259</v>
      </c>
      <c r="C1453" t="s">
        <v>262</v>
      </c>
      <c r="D1453" t="str">
        <f t="shared" si="110"/>
        <v>Classic Cars</v>
      </c>
      <c r="E1453" t="s">
        <v>323</v>
      </c>
      <c r="F1453" s="5">
        <v>1310.96</v>
      </c>
      <c r="G1453" s="5">
        <v>262.19200000000001</v>
      </c>
      <c r="I1453" t="str">
        <f t="shared" si="111"/>
        <v>Low Sales</v>
      </c>
      <c r="J1453" t="str">
        <f t="shared" si="112"/>
        <v>Average Performance</v>
      </c>
      <c r="K1453">
        <f t="shared" si="113"/>
        <v>2004</v>
      </c>
      <c r="L1453" t="str">
        <f t="shared" si="114"/>
        <v>June</v>
      </c>
    </row>
    <row r="1454" spans="1:12" x14ac:dyDescent="0.25">
      <c r="A1454" t="s">
        <v>132</v>
      </c>
      <c r="C1454" t="s">
        <v>262</v>
      </c>
      <c r="D1454" t="str">
        <f t="shared" si="110"/>
        <v>Classic Cars</v>
      </c>
      <c r="E1454" t="s">
        <v>323</v>
      </c>
      <c r="F1454" s="5">
        <v>2913.3</v>
      </c>
      <c r="G1454" s="5">
        <v>582.66000000000008</v>
      </c>
      <c r="I1454" t="str">
        <f t="shared" si="111"/>
        <v>Low Sales</v>
      </c>
      <c r="J1454" t="str">
        <f t="shared" si="112"/>
        <v>Average Performance</v>
      </c>
      <c r="K1454">
        <f t="shared" si="113"/>
        <v>2004</v>
      </c>
      <c r="L1454" t="str">
        <f t="shared" si="114"/>
        <v>July</v>
      </c>
    </row>
    <row r="1455" spans="1:12" x14ac:dyDescent="0.25">
      <c r="A1455" t="s">
        <v>82</v>
      </c>
      <c r="C1455" t="s">
        <v>262</v>
      </c>
      <c r="D1455" t="str">
        <f t="shared" si="110"/>
        <v>Classic Cars</v>
      </c>
      <c r="E1455" t="s">
        <v>323</v>
      </c>
      <c r="F1455" s="5">
        <v>1357.78</v>
      </c>
      <c r="G1455" s="5">
        <v>271.55599999999998</v>
      </c>
      <c r="I1455" t="str">
        <f t="shared" si="111"/>
        <v>Low Sales</v>
      </c>
      <c r="J1455" t="str">
        <f t="shared" si="112"/>
        <v>Average Performance</v>
      </c>
      <c r="K1455">
        <f t="shared" si="113"/>
        <v>2004</v>
      </c>
      <c r="L1455" t="str">
        <f t="shared" si="114"/>
        <v>August</v>
      </c>
    </row>
    <row r="1456" spans="1:12" x14ac:dyDescent="0.25">
      <c r="A1456" t="s">
        <v>48</v>
      </c>
      <c r="C1456" t="s">
        <v>262</v>
      </c>
      <c r="D1456" t="str">
        <f t="shared" si="110"/>
        <v>Classic Cars</v>
      </c>
      <c r="E1456" t="s">
        <v>323</v>
      </c>
      <c r="F1456" s="5">
        <v>2150</v>
      </c>
      <c r="G1456" s="5">
        <v>430</v>
      </c>
      <c r="I1456" t="str">
        <f t="shared" si="111"/>
        <v>Low Sales</v>
      </c>
      <c r="J1456" t="str">
        <f t="shared" si="112"/>
        <v>Average Performance</v>
      </c>
      <c r="K1456">
        <f t="shared" si="113"/>
        <v>2004</v>
      </c>
      <c r="L1456" t="str">
        <f t="shared" si="114"/>
        <v>September</v>
      </c>
    </row>
    <row r="1457" spans="1:12" x14ac:dyDescent="0.25">
      <c r="A1457" t="s">
        <v>101</v>
      </c>
      <c r="C1457" t="s">
        <v>262</v>
      </c>
      <c r="D1457" t="str">
        <f t="shared" si="110"/>
        <v>Classic Cars</v>
      </c>
      <c r="E1457" t="s">
        <v>323</v>
      </c>
      <c r="F1457" s="5">
        <v>2783.25</v>
      </c>
      <c r="G1457" s="5">
        <v>556.65</v>
      </c>
      <c r="I1457" t="str">
        <f t="shared" si="111"/>
        <v>Low Sales</v>
      </c>
      <c r="J1457" t="str">
        <f t="shared" si="112"/>
        <v>Average Performance</v>
      </c>
      <c r="K1457">
        <f t="shared" si="113"/>
        <v>2004</v>
      </c>
      <c r="L1457" t="str">
        <f t="shared" si="114"/>
        <v>October</v>
      </c>
    </row>
    <row r="1458" spans="1:12" x14ac:dyDescent="0.25">
      <c r="A1458" t="s">
        <v>102</v>
      </c>
      <c r="B1458" t="s">
        <v>258</v>
      </c>
      <c r="C1458" t="s">
        <v>262</v>
      </c>
      <c r="D1458" t="str">
        <f t="shared" si="110"/>
        <v>Classic Cars</v>
      </c>
      <c r="E1458" t="s">
        <v>323</v>
      </c>
      <c r="F1458" s="5">
        <v>2339.92</v>
      </c>
      <c r="G1458" s="5">
        <v>467.98399999999998</v>
      </c>
      <c r="I1458" t="str">
        <f t="shared" si="111"/>
        <v>Low Sales</v>
      </c>
      <c r="J1458" t="str">
        <f t="shared" si="112"/>
        <v>Average Performance</v>
      </c>
      <c r="K1458">
        <f t="shared" si="113"/>
        <v>2004</v>
      </c>
      <c r="L1458" t="str">
        <f t="shared" si="114"/>
        <v>October</v>
      </c>
    </row>
    <row r="1459" spans="1:12" x14ac:dyDescent="0.25">
      <c r="A1459" t="s">
        <v>86</v>
      </c>
      <c r="C1459" t="s">
        <v>262</v>
      </c>
      <c r="D1459" t="str">
        <f t="shared" si="110"/>
        <v>Classic Cars</v>
      </c>
      <c r="E1459" t="s">
        <v>323</v>
      </c>
      <c r="F1459" s="5">
        <v>1729</v>
      </c>
      <c r="G1459" s="5">
        <v>345.8</v>
      </c>
      <c r="I1459" t="str">
        <f t="shared" si="111"/>
        <v>Low Sales</v>
      </c>
      <c r="J1459" t="str">
        <f t="shared" si="112"/>
        <v>Average Performance</v>
      </c>
      <c r="K1459">
        <f t="shared" si="113"/>
        <v>2004</v>
      </c>
      <c r="L1459" t="str">
        <f t="shared" si="114"/>
        <v>November</v>
      </c>
    </row>
    <row r="1460" spans="1:12" x14ac:dyDescent="0.25">
      <c r="A1460" t="s">
        <v>134</v>
      </c>
      <c r="B1460" t="s">
        <v>258</v>
      </c>
      <c r="C1460" t="s">
        <v>262</v>
      </c>
      <c r="D1460" t="str">
        <f t="shared" si="110"/>
        <v>Classic Cars</v>
      </c>
      <c r="E1460" t="s">
        <v>323</v>
      </c>
      <c r="F1460" s="5">
        <v>5972.4</v>
      </c>
      <c r="G1460" s="5">
        <v>1194.48</v>
      </c>
      <c r="I1460" t="str">
        <f t="shared" si="111"/>
        <v>Low Sales</v>
      </c>
      <c r="J1460" t="str">
        <f t="shared" si="112"/>
        <v>Average Performance</v>
      </c>
      <c r="K1460">
        <f t="shared" si="113"/>
        <v>2004</v>
      </c>
      <c r="L1460" t="str">
        <f t="shared" si="114"/>
        <v>November</v>
      </c>
    </row>
    <row r="1461" spans="1:12" x14ac:dyDescent="0.25">
      <c r="A1461" t="s">
        <v>146</v>
      </c>
      <c r="C1461" t="s">
        <v>262</v>
      </c>
      <c r="D1461" t="str">
        <f t="shared" si="110"/>
        <v>Classic Cars</v>
      </c>
      <c r="E1461" t="s">
        <v>323</v>
      </c>
      <c r="F1461" s="5">
        <v>2275.1999999999998</v>
      </c>
      <c r="G1461" s="5">
        <v>455.04</v>
      </c>
      <c r="I1461" t="str">
        <f t="shared" si="111"/>
        <v>Low Sales</v>
      </c>
      <c r="J1461" t="str">
        <f t="shared" si="112"/>
        <v>Average Performance</v>
      </c>
      <c r="K1461">
        <f t="shared" si="113"/>
        <v>2004</v>
      </c>
      <c r="L1461" t="str">
        <f t="shared" si="114"/>
        <v>December</v>
      </c>
    </row>
    <row r="1462" spans="1:12" x14ac:dyDescent="0.25">
      <c r="A1462" t="s">
        <v>54</v>
      </c>
      <c r="B1462" t="s">
        <v>258</v>
      </c>
      <c r="C1462" t="s">
        <v>262</v>
      </c>
      <c r="D1462" t="str">
        <f t="shared" si="110"/>
        <v>Classic Cars</v>
      </c>
      <c r="E1462" t="s">
        <v>323</v>
      </c>
      <c r="F1462" s="5">
        <v>2673.44</v>
      </c>
      <c r="G1462" s="5">
        <v>534.68799999999999</v>
      </c>
      <c r="I1462" t="str">
        <f t="shared" si="111"/>
        <v>Low Sales</v>
      </c>
      <c r="J1462" t="str">
        <f t="shared" si="112"/>
        <v>Average Performance</v>
      </c>
      <c r="K1462">
        <f t="shared" si="113"/>
        <v>2004</v>
      </c>
      <c r="L1462" t="str">
        <f t="shared" si="114"/>
        <v>December</v>
      </c>
    </row>
    <row r="1463" spans="1:12" x14ac:dyDescent="0.25">
      <c r="A1463" t="s">
        <v>135</v>
      </c>
      <c r="C1463" t="s">
        <v>262</v>
      </c>
      <c r="D1463" t="str">
        <f t="shared" si="110"/>
        <v>Classic Cars</v>
      </c>
      <c r="E1463" t="s">
        <v>323</v>
      </c>
      <c r="F1463" s="5">
        <v>2431.75</v>
      </c>
      <c r="G1463" s="5">
        <v>486.35</v>
      </c>
      <c r="I1463" t="str">
        <f t="shared" si="111"/>
        <v>Low Sales</v>
      </c>
      <c r="J1463" t="str">
        <f t="shared" si="112"/>
        <v>Average Performance</v>
      </c>
      <c r="K1463">
        <f t="shared" si="113"/>
        <v>2005</v>
      </c>
      <c r="L1463" t="str">
        <f t="shared" si="114"/>
        <v>January</v>
      </c>
    </row>
    <row r="1464" spans="1:12" x14ac:dyDescent="0.25">
      <c r="A1464" t="s">
        <v>211</v>
      </c>
      <c r="B1464" t="s">
        <v>258</v>
      </c>
      <c r="C1464" t="s">
        <v>262</v>
      </c>
      <c r="D1464" t="str">
        <f t="shared" si="110"/>
        <v>Classic Cars</v>
      </c>
      <c r="E1464" t="s">
        <v>323</v>
      </c>
      <c r="F1464" s="5">
        <v>2018.72</v>
      </c>
      <c r="G1464" s="5">
        <v>403.74400000000003</v>
      </c>
      <c r="I1464" t="str">
        <f t="shared" si="111"/>
        <v>Low Sales</v>
      </c>
      <c r="J1464" t="str">
        <f t="shared" si="112"/>
        <v>Average Performance</v>
      </c>
      <c r="K1464">
        <f t="shared" si="113"/>
        <v>2005</v>
      </c>
      <c r="L1464" t="str">
        <f t="shared" si="114"/>
        <v>February</v>
      </c>
    </row>
    <row r="1465" spans="1:12" x14ac:dyDescent="0.25">
      <c r="A1465" t="s">
        <v>228</v>
      </c>
      <c r="B1465" t="s">
        <v>258</v>
      </c>
      <c r="C1465" t="s">
        <v>262</v>
      </c>
      <c r="D1465" t="str">
        <f t="shared" si="110"/>
        <v>Classic Cars</v>
      </c>
      <c r="E1465" t="s">
        <v>323</v>
      </c>
      <c r="F1465" s="5">
        <v>1558.99</v>
      </c>
      <c r="G1465" s="5">
        <v>311.798</v>
      </c>
      <c r="I1465" t="str">
        <f t="shared" si="111"/>
        <v>Low Sales</v>
      </c>
      <c r="J1465" t="str">
        <f t="shared" si="112"/>
        <v>Average Performance</v>
      </c>
      <c r="K1465">
        <f t="shared" si="113"/>
        <v>2005</v>
      </c>
      <c r="L1465" t="str">
        <f t="shared" si="114"/>
        <v>March</v>
      </c>
    </row>
    <row r="1466" spans="1:12" x14ac:dyDescent="0.25">
      <c r="A1466" t="s">
        <v>153</v>
      </c>
      <c r="B1466" t="s">
        <v>258</v>
      </c>
      <c r="C1466" t="s">
        <v>262</v>
      </c>
      <c r="D1466" t="str">
        <f t="shared" si="110"/>
        <v>Classic Cars</v>
      </c>
      <c r="E1466" t="s">
        <v>323</v>
      </c>
      <c r="F1466" s="5">
        <v>1104.5999999999999</v>
      </c>
      <c r="G1466" s="5">
        <v>220.92</v>
      </c>
      <c r="I1466" t="str">
        <f t="shared" si="111"/>
        <v>Low Sales</v>
      </c>
      <c r="J1466" t="str">
        <f t="shared" si="112"/>
        <v>Average Performance</v>
      </c>
      <c r="K1466">
        <f t="shared" si="113"/>
        <v>2005</v>
      </c>
      <c r="L1466" t="str">
        <f t="shared" si="114"/>
        <v>May</v>
      </c>
    </row>
    <row r="1467" spans="1:12" x14ac:dyDescent="0.25">
      <c r="A1467" t="s">
        <v>59</v>
      </c>
      <c r="B1467" t="s">
        <v>258</v>
      </c>
      <c r="C1467" t="s">
        <v>262</v>
      </c>
      <c r="D1467" t="str">
        <f t="shared" si="110"/>
        <v>Classic Cars</v>
      </c>
      <c r="E1467" t="s">
        <v>323</v>
      </c>
      <c r="F1467" s="5">
        <v>2575.1</v>
      </c>
      <c r="G1467" s="5">
        <v>515.02</v>
      </c>
      <c r="I1467" t="str">
        <f t="shared" si="111"/>
        <v>Low Sales</v>
      </c>
      <c r="J1467" t="str">
        <f t="shared" si="112"/>
        <v>Average Performance</v>
      </c>
      <c r="K1467">
        <f t="shared" si="113"/>
        <v>2005</v>
      </c>
      <c r="L1467" t="str">
        <f t="shared" si="114"/>
        <v>May</v>
      </c>
    </row>
    <row r="1468" spans="1:12" x14ac:dyDescent="0.25">
      <c r="A1468" t="s">
        <v>6</v>
      </c>
      <c r="C1468" t="s">
        <v>261</v>
      </c>
      <c r="D1468" t="str">
        <f t="shared" si="110"/>
        <v>Motorcycles</v>
      </c>
      <c r="E1468" t="s">
        <v>324</v>
      </c>
      <c r="F1468" s="5">
        <v>2845.75</v>
      </c>
      <c r="G1468" s="5">
        <v>569.15</v>
      </c>
      <c r="I1468" t="str">
        <f t="shared" si="111"/>
        <v>Low Sales</v>
      </c>
      <c r="J1468" t="str">
        <f t="shared" si="112"/>
        <v>Average Performance</v>
      </c>
      <c r="K1468">
        <f t="shared" si="113"/>
        <v>2003</v>
      </c>
      <c r="L1468" t="str">
        <f t="shared" si="114"/>
        <v>February</v>
      </c>
    </row>
    <row r="1469" spans="1:12" x14ac:dyDescent="0.25">
      <c r="A1469" t="s">
        <v>60</v>
      </c>
      <c r="B1469" t="s">
        <v>259</v>
      </c>
      <c r="C1469" t="s">
        <v>261</v>
      </c>
      <c r="D1469" t="str">
        <f t="shared" si="110"/>
        <v>Motorcycles</v>
      </c>
      <c r="E1469" t="s">
        <v>324</v>
      </c>
      <c r="F1469" s="5">
        <v>3431.75</v>
      </c>
      <c r="G1469" s="5">
        <v>686.35</v>
      </c>
      <c r="I1469" t="str">
        <f t="shared" si="111"/>
        <v>Low Sales</v>
      </c>
      <c r="J1469" t="str">
        <f t="shared" si="112"/>
        <v>Average Performance</v>
      </c>
      <c r="K1469">
        <f t="shared" si="113"/>
        <v>2003</v>
      </c>
      <c r="L1469" t="str">
        <f t="shared" si="114"/>
        <v>April</v>
      </c>
    </row>
    <row r="1470" spans="1:12" x14ac:dyDescent="0.25">
      <c r="A1470" t="s">
        <v>8</v>
      </c>
      <c r="B1470" t="s">
        <v>258</v>
      </c>
      <c r="C1470" t="s">
        <v>261</v>
      </c>
      <c r="D1470" t="str">
        <f t="shared" si="110"/>
        <v>Motorcycles</v>
      </c>
      <c r="E1470" t="s">
        <v>324</v>
      </c>
      <c r="F1470" s="5">
        <v>3273.9</v>
      </c>
      <c r="G1470" s="5">
        <v>654.78000000000009</v>
      </c>
      <c r="I1470" t="str">
        <f t="shared" si="111"/>
        <v>Low Sales</v>
      </c>
      <c r="J1470" t="str">
        <f t="shared" si="112"/>
        <v>Average Performance</v>
      </c>
      <c r="K1470">
        <f t="shared" si="113"/>
        <v>2003</v>
      </c>
      <c r="L1470" t="str">
        <f t="shared" si="114"/>
        <v>July</v>
      </c>
    </row>
    <row r="1471" spans="1:12" x14ac:dyDescent="0.25">
      <c r="A1471" t="s">
        <v>9</v>
      </c>
      <c r="C1471" t="s">
        <v>261</v>
      </c>
      <c r="D1471" t="str">
        <f t="shared" si="110"/>
        <v>Motorcycles</v>
      </c>
      <c r="E1471" t="s">
        <v>324</v>
      </c>
      <c r="F1471" s="5">
        <v>4119.3999999999996</v>
      </c>
      <c r="G1471" s="5">
        <v>823.88</v>
      </c>
      <c r="I1471" t="str">
        <f t="shared" si="111"/>
        <v>Low Sales</v>
      </c>
      <c r="J1471" t="str">
        <f t="shared" si="112"/>
        <v>Average Performance</v>
      </c>
      <c r="K1471">
        <f t="shared" si="113"/>
        <v>2003</v>
      </c>
      <c r="L1471" t="str">
        <f t="shared" si="114"/>
        <v>August</v>
      </c>
    </row>
    <row r="1472" spans="1:12" x14ac:dyDescent="0.25">
      <c r="A1472" t="s">
        <v>10</v>
      </c>
      <c r="C1472" t="s">
        <v>261</v>
      </c>
      <c r="D1472" t="str">
        <f t="shared" si="110"/>
        <v>Motorcycles</v>
      </c>
      <c r="E1472" t="s">
        <v>324</v>
      </c>
      <c r="F1472" s="5">
        <v>5355.68</v>
      </c>
      <c r="G1472" s="5">
        <v>1071.136</v>
      </c>
      <c r="I1472" t="str">
        <f t="shared" si="111"/>
        <v>Low Sales</v>
      </c>
      <c r="J1472" t="str">
        <f t="shared" si="112"/>
        <v>Average Performance</v>
      </c>
      <c r="K1472">
        <f t="shared" si="113"/>
        <v>2003</v>
      </c>
      <c r="L1472" t="str">
        <f t="shared" si="114"/>
        <v>October</v>
      </c>
    </row>
    <row r="1473" spans="1:12" x14ac:dyDescent="0.25">
      <c r="A1473" t="s">
        <v>11</v>
      </c>
      <c r="C1473" t="s">
        <v>261</v>
      </c>
      <c r="D1473" t="str">
        <f t="shared" si="110"/>
        <v>Motorcycles</v>
      </c>
      <c r="E1473" t="s">
        <v>324</v>
      </c>
      <c r="F1473" s="5">
        <v>5747.5</v>
      </c>
      <c r="G1473" s="5">
        <v>1149.5</v>
      </c>
      <c r="I1473" t="str">
        <f t="shared" si="111"/>
        <v>Low Sales</v>
      </c>
      <c r="J1473" t="str">
        <f t="shared" si="112"/>
        <v>Average Performance</v>
      </c>
      <c r="K1473">
        <f t="shared" si="113"/>
        <v>2003</v>
      </c>
      <c r="L1473" t="str">
        <f t="shared" si="114"/>
        <v>October</v>
      </c>
    </row>
    <row r="1474" spans="1:12" x14ac:dyDescent="0.25">
      <c r="A1474" t="s">
        <v>12</v>
      </c>
      <c r="B1474" t="s">
        <v>258</v>
      </c>
      <c r="C1474" t="s">
        <v>261</v>
      </c>
      <c r="D1474" t="str">
        <f t="shared" si="110"/>
        <v>Motorcycles</v>
      </c>
      <c r="E1474" t="s">
        <v>324</v>
      </c>
      <c r="F1474" s="5">
        <v>5355.36</v>
      </c>
      <c r="G1474" s="5">
        <v>1071.0719999999999</v>
      </c>
      <c r="I1474" t="str">
        <f t="shared" si="111"/>
        <v>Low Sales</v>
      </c>
      <c r="J1474" t="str">
        <f t="shared" si="112"/>
        <v>Average Performance</v>
      </c>
      <c r="K1474">
        <f t="shared" si="113"/>
        <v>2003</v>
      </c>
      <c r="L1474" t="str">
        <f t="shared" si="114"/>
        <v>November</v>
      </c>
    </row>
    <row r="1475" spans="1:12" x14ac:dyDescent="0.25">
      <c r="A1475" t="s">
        <v>13</v>
      </c>
      <c r="B1475" t="s">
        <v>258</v>
      </c>
      <c r="C1475" t="s">
        <v>261</v>
      </c>
      <c r="D1475" t="str">
        <f t="shared" ref="D1475:D1538" si="115">PROPER(TRIM(C1475))</f>
        <v>Motorcycles</v>
      </c>
      <c r="E1475" t="s">
        <v>324</v>
      </c>
      <c r="F1475" s="5">
        <v>2535.75</v>
      </c>
      <c r="G1475" s="5">
        <v>507.15</v>
      </c>
      <c r="I1475" t="str">
        <f t="shared" ref="I1475:I1538" si="116">IF(F1475&gt;50000,"High Sales","Low Sales")</f>
        <v>Low Sales</v>
      </c>
      <c r="J1475" t="str">
        <f t="shared" ref="J1475:J1538" si="117">IF(AND(F1475&gt;30000,G1475&gt;5000),"Good Performance","Average Performance")</f>
        <v>Average Performance</v>
      </c>
      <c r="K1475">
        <f t="shared" ref="K1475:K1538" si="118">YEAR(A1475)</f>
        <v>2003</v>
      </c>
      <c r="L1475" t="str">
        <f t="shared" ref="L1475:L1538" si="119">TEXT(A1475,"mmmm")</f>
        <v>November</v>
      </c>
    </row>
    <row r="1476" spans="1:12" x14ac:dyDescent="0.25">
      <c r="A1476" t="s">
        <v>14</v>
      </c>
      <c r="C1476" t="s">
        <v>261</v>
      </c>
      <c r="D1476" t="str">
        <f t="shared" si="115"/>
        <v>Motorcycles</v>
      </c>
      <c r="E1476" t="s">
        <v>324</v>
      </c>
      <c r="F1476" s="5">
        <v>4351.2299999999996</v>
      </c>
      <c r="G1476" s="5">
        <v>870.24599999999998</v>
      </c>
      <c r="I1476" t="str">
        <f t="shared" si="116"/>
        <v>Low Sales</v>
      </c>
      <c r="J1476" t="str">
        <f t="shared" si="117"/>
        <v>Average Performance</v>
      </c>
      <c r="K1476">
        <f t="shared" si="118"/>
        <v>2003</v>
      </c>
      <c r="L1476" t="str">
        <f t="shared" si="119"/>
        <v>December</v>
      </c>
    </row>
    <row r="1477" spans="1:12" x14ac:dyDescent="0.25">
      <c r="A1477" t="s">
        <v>15</v>
      </c>
      <c r="B1477" t="s">
        <v>258</v>
      </c>
      <c r="C1477" t="s">
        <v>261</v>
      </c>
      <c r="D1477" t="str">
        <f t="shared" si="115"/>
        <v>Motorcycles</v>
      </c>
      <c r="E1477" t="s">
        <v>324</v>
      </c>
      <c r="F1477" s="5">
        <v>2254</v>
      </c>
      <c r="G1477" s="5">
        <v>450.8</v>
      </c>
      <c r="I1477" t="str">
        <f t="shared" si="116"/>
        <v>Low Sales</v>
      </c>
      <c r="J1477" t="str">
        <f t="shared" si="117"/>
        <v>Average Performance</v>
      </c>
      <c r="K1477">
        <f t="shared" si="118"/>
        <v>2004</v>
      </c>
      <c r="L1477" t="str">
        <f t="shared" si="119"/>
        <v>January</v>
      </c>
    </row>
    <row r="1478" spans="1:12" x14ac:dyDescent="0.25">
      <c r="A1478" t="s">
        <v>16</v>
      </c>
      <c r="B1478" t="s">
        <v>259</v>
      </c>
      <c r="C1478" t="s">
        <v>261</v>
      </c>
      <c r="D1478" t="str">
        <f t="shared" si="115"/>
        <v>Motorcycles</v>
      </c>
      <c r="E1478" t="s">
        <v>324</v>
      </c>
      <c r="F1478" s="5">
        <v>2921.28</v>
      </c>
      <c r="G1478" s="5">
        <v>584.25600000000009</v>
      </c>
      <c r="I1478" t="str">
        <f t="shared" si="116"/>
        <v>Low Sales</v>
      </c>
      <c r="J1478" t="str">
        <f t="shared" si="117"/>
        <v>Average Performance</v>
      </c>
      <c r="K1478">
        <f t="shared" si="118"/>
        <v>2004</v>
      </c>
      <c r="L1478" t="str">
        <f t="shared" si="119"/>
        <v>February</v>
      </c>
    </row>
    <row r="1479" spans="1:12" x14ac:dyDescent="0.25">
      <c r="A1479" t="s">
        <v>17</v>
      </c>
      <c r="C1479" t="s">
        <v>261</v>
      </c>
      <c r="D1479" t="str">
        <f t="shared" si="115"/>
        <v>Motorcycles</v>
      </c>
      <c r="E1479" t="s">
        <v>324</v>
      </c>
      <c r="F1479" s="5">
        <v>2299</v>
      </c>
      <c r="G1479" s="5">
        <v>459.8</v>
      </c>
      <c r="I1479" t="str">
        <f t="shared" si="116"/>
        <v>Low Sales</v>
      </c>
      <c r="J1479" t="str">
        <f t="shared" si="117"/>
        <v>Average Performance</v>
      </c>
      <c r="K1479">
        <f t="shared" si="118"/>
        <v>2004</v>
      </c>
      <c r="L1479" t="str">
        <f t="shared" si="119"/>
        <v>April</v>
      </c>
    </row>
    <row r="1480" spans="1:12" x14ac:dyDescent="0.25">
      <c r="A1480" t="s">
        <v>18</v>
      </c>
      <c r="C1480" t="s">
        <v>261</v>
      </c>
      <c r="D1480" t="str">
        <f t="shared" si="115"/>
        <v>Motorcycles</v>
      </c>
      <c r="E1480" t="s">
        <v>324</v>
      </c>
      <c r="F1480" s="5">
        <v>2637.18</v>
      </c>
      <c r="G1480" s="5">
        <v>527.43600000000004</v>
      </c>
      <c r="I1480" t="str">
        <f t="shared" si="116"/>
        <v>Low Sales</v>
      </c>
      <c r="J1480" t="str">
        <f t="shared" si="117"/>
        <v>Average Performance</v>
      </c>
      <c r="K1480">
        <f t="shared" si="118"/>
        <v>2004</v>
      </c>
      <c r="L1480" t="str">
        <f t="shared" si="119"/>
        <v>May</v>
      </c>
    </row>
    <row r="1481" spans="1:12" x14ac:dyDescent="0.25">
      <c r="A1481" t="s">
        <v>19</v>
      </c>
      <c r="C1481" t="s">
        <v>261</v>
      </c>
      <c r="D1481" t="str">
        <f t="shared" si="115"/>
        <v>Motorcycles</v>
      </c>
      <c r="E1481" t="s">
        <v>324</v>
      </c>
      <c r="F1481" s="5">
        <v>4307.5200000000004</v>
      </c>
      <c r="G1481" s="5">
        <v>861.50400000000013</v>
      </c>
      <c r="I1481" t="str">
        <f t="shared" si="116"/>
        <v>Low Sales</v>
      </c>
      <c r="J1481" t="str">
        <f t="shared" si="117"/>
        <v>Average Performance</v>
      </c>
      <c r="K1481">
        <f t="shared" si="118"/>
        <v>2004</v>
      </c>
      <c r="L1481" t="str">
        <f t="shared" si="119"/>
        <v>June</v>
      </c>
    </row>
    <row r="1482" spans="1:12" x14ac:dyDescent="0.25">
      <c r="A1482" t="s">
        <v>20</v>
      </c>
      <c r="B1482" t="s">
        <v>258</v>
      </c>
      <c r="C1482" t="s">
        <v>261</v>
      </c>
      <c r="D1482" t="str">
        <f t="shared" si="115"/>
        <v>Motorcycles</v>
      </c>
      <c r="E1482" t="s">
        <v>324</v>
      </c>
      <c r="F1482" s="5">
        <v>2153.7600000000002</v>
      </c>
      <c r="G1482" s="5">
        <v>430.75200000000012</v>
      </c>
      <c r="I1482" t="str">
        <f t="shared" si="116"/>
        <v>Low Sales</v>
      </c>
      <c r="J1482" t="str">
        <f t="shared" si="117"/>
        <v>Average Performance</v>
      </c>
      <c r="K1482">
        <f t="shared" si="118"/>
        <v>2004</v>
      </c>
      <c r="L1482" t="str">
        <f t="shared" si="119"/>
        <v>July</v>
      </c>
    </row>
    <row r="1483" spans="1:12" x14ac:dyDescent="0.25">
      <c r="A1483" t="s">
        <v>21</v>
      </c>
      <c r="C1483" t="s">
        <v>261</v>
      </c>
      <c r="D1483" t="str">
        <f t="shared" si="115"/>
        <v>Motorcycles</v>
      </c>
      <c r="E1483" t="s">
        <v>324</v>
      </c>
      <c r="F1483" s="5">
        <v>3716.88</v>
      </c>
      <c r="G1483" s="5">
        <v>743.37600000000009</v>
      </c>
      <c r="I1483" t="str">
        <f t="shared" si="116"/>
        <v>Low Sales</v>
      </c>
      <c r="J1483" t="str">
        <f t="shared" si="117"/>
        <v>Average Performance</v>
      </c>
      <c r="K1483">
        <f t="shared" si="118"/>
        <v>2004</v>
      </c>
      <c r="L1483" t="str">
        <f t="shared" si="119"/>
        <v>August</v>
      </c>
    </row>
    <row r="1484" spans="1:12" x14ac:dyDescent="0.25">
      <c r="A1484" t="s">
        <v>22</v>
      </c>
      <c r="B1484" t="s">
        <v>258</v>
      </c>
      <c r="C1484" t="s">
        <v>261</v>
      </c>
      <c r="D1484" t="str">
        <f t="shared" si="115"/>
        <v>Motorcycles</v>
      </c>
      <c r="E1484" t="s">
        <v>324</v>
      </c>
      <c r="F1484" s="5">
        <v>5455.76</v>
      </c>
      <c r="G1484" s="5">
        <v>1091.152</v>
      </c>
      <c r="I1484" t="str">
        <f t="shared" si="116"/>
        <v>Low Sales</v>
      </c>
      <c r="J1484" t="str">
        <f t="shared" si="117"/>
        <v>Average Performance</v>
      </c>
      <c r="K1484">
        <f t="shared" si="118"/>
        <v>2004</v>
      </c>
      <c r="L1484" t="str">
        <f t="shared" si="119"/>
        <v>September</v>
      </c>
    </row>
    <row r="1485" spans="1:12" x14ac:dyDescent="0.25">
      <c r="A1485" t="s">
        <v>23</v>
      </c>
      <c r="B1485" t="s">
        <v>258</v>
      </c>
      <c r="C1485" t="s">
        <v>261</v>
      </c>
      <c r="D1485" t="str">
        <f t="shared" si="115"/>
        <v>Motorcycles</v>
      </c>
      <c r="E1485" t="s">
        <v>324</v>
      </c>
      <c r="F1485" s="5">
        <v>2650.62</v>
      </c>
      <c r="G1485" s="5">
        <v>530.12400000000002</v>
      </c>
      <c r="I1485" t="str">
        <f t="shared" si="116"/>
        <v>Low Sales</v>
      </c>
      <c r="J1485" t="str">
        <f t="shared" si="117"/>
        <v>Average Performance</v>
      </c>
      <c r="K1485">
        <f t="shared" si="118"/>
        <v>2004</v>
      </c>
      <c r="L1485" t="str">
        <f t="shared" si="119"/>
        <v>October</v>
      </c>
    </row>
    <row r="1486" spans="1:12" x14ac:dyDescent="0.25">
      <c r="A1486" t="s">
        <v>24</v>
      </c>
      <c r="C1486" t="s">
        <v>261</v>
      </c>
      <c r="D1486" t="str">
        <f t="shared" si="115"/>
        <v>Motorcycles</v>
      </c>
      <c r="E1486" t="s">
        <v>324</v>
      </c>
      <c r="F1486" s="5">
        <v>6437.28</v>
      </c>
      <c r="G1486" s="5">
        <v>1287.4559999999999</v>
      </c>
      <c r="I1486" t="str">
        <f t="shared" si="116"/>
        <v>Low Sales</v>
      </c>
      <c r="J1486" t="str">
        <f t="shared" si="117"/>
        <v>Average Performance</v>
      </c>
      <c r="K1486">
        <f t="shared" si="118"/>
        <v>2004</v>
      </c>
      <c r="L1486" t="str">
        <f t="shared" si="119"/>
        <v>November</v>
      </c>
    </row>
    <row r="1487" spans="1:12" x14ac:dyDescent="0.25">
      <c r="A1487" t="s">
        <v>25</v>
      </c>
      <c r="C1487" t="s">
        <v>261</v>
      </c>
      <c r="D1487" t="str">
        <f t="shared" si="115"/>
        <v>Motorcycles</v>
      </c>
      <c r="E1487" t="s">
        <v>324</v>
      </c>
      <c r="F1487" s="5">
        <v>2633.4</v>
      </c>
      <c r="G1487" s="5">
        <v>526.68000000000006</v>
      </c>
      <c r="I1487" t="str">
        <f t="shared" si="116"/>
        <v>Low Sales</v>
      </c>
      <c r="J1487" t="str">
        <f t="shared" si="117"/>
        <v>Average Performance</v>
      </c>
      <c r="K1487">
        <f t="shared" si="118"/>
        <v>2004</v>
      </c>
      <c r="L1487" t="str">
        <f t="shared" si="119"/>
        <v>November</v>
      </c>
    </row>
    <row r="1488" spans="1:12" x14ac:dyDescent="0.25">
      <c r="A1488" t="s">
        <v>64</v>
      </c>
      <c r="B1488" t="s">
        <v>260</v>
      </c>
      <c r="C1488" t="s">
        <v>261</v>
      </c>
      <c r="D1488" t="str">
        <f t="shared" si="115"/>
        <v>Motorcycles</v>
      </c>
      <c r="E1488" t="s">
        <v>324</v>
      </c>
      <c r="F1488" s="5">
        <v>2278.5300000000002</v>
      </c>
      <c r="G1488" s="5">
        <v>455.70600000000007</v>
      </c>
      <c r="I1488" t="str">
        <f t="shared" si="116"/>
        <v>Low Sales</v>
      </c>
      <c r="J1488" t="str">
        <f t="shared" si="117"/>
        <v>Average Performance</v>
      </c>
      <c r="K1488">
        <f t="shared" si="118"/>
        <v>2004</v>
      </c>
      <c r="L1488" t="str">
        <f t="shared" si="119"/>
        <v>November</v>
      </c>
    </row>
    <row r="1489" spans="1:12" x14ac:dyDescent="0.25">
      <c r="A1489" t="s">
        <v>67</v>
      </c>
      <c r="C1489" t="s">
        <v>261</v>
      </c>
      <c r="D1489" t="str">
        <f t="shared" si="115"/>
        <v>Motorcycles</v>
      </c>
      <c r="E1489" t="s">
        <v>324</v>
      </c>
      <c r="F1489" s="5">
        <v>4846</v>
      </c>
      <c r="G1489" s="5">
        <v>969.2</v>
      </c>
      <c r="I1489" t="str">
        <f t="shared" si="116"/>
        <v>Low Sales</v>
      </c>
      <c r="J1489" t="str">
        <f t="shared" si="117"/>
        <v>Average Performance</v>
      </c>
      <c r="K1489">
        <f t="shared" si="118"/>
        <v>2005</v>
      </c>
      <c r="L1489" t="str">
        <f t="shared" si="119"/>
        <v>January</v>
      </c>
    </row>
    <row r="1490" spans="1:12" x14ac:dyDescent="0.25">
      <c r="A1490" t="s">
        <v>65</v>
      </c>
      <c r="B1490" t="s">
        <v>259</v>
      </c>
      <c r="C1490" t="s">
        <v>261</v>
      </c>
      <c r="D1490" t="str">
        <f t="shared" si="115"/>
        <v>Motorcycles</v>
      </c>
      <c r="E1490" t="s">
        <v>324</v>
      </c>
      <c r="F1490" s="5">
        <v>4197.1000000000004</v>
      </c>
      <c r="G1490" s="5">
        <v>839.42000000000007</v>
      </c>
      <c r="I1490" t="str">
        <f t="shared" si="116"/>
        <v>Low Sales</v>
      </c>
      <c r="J1490" t="str">
        <f t="shared" si="117"/>
        <v>Average Performance</v>
      </c>
      <c r="K1490">
        <f t="shared" si="118"/>
        <v>2005</v>
      </c>
      <c r="L1490" t="str">
        <f t="shared" si="119"/>
        <v>February</v>
      </c>
    </row>
    <row r="1491" spans="1:12" x14ac:dyDescent="0.25">
      <c r="A1491" t="s">
        <v>29</v>
      </c>
      <c r="B1491" t="s">
        <v>258</v>
      </c>
      <c r="C1491" t="s">
        <v>261</v>
      </c>
      <c r="D1491" t="str">
        <f t="shared" si="115"/>
        <v>Motorcycles</v>
      </c>
      <c r="E1491" t="s">
        <v>324</v>
      </c>
      <c r="F1491" s="5">
        <v>4597.6499999999996</v>
      </c>
      <c r="G1491" s="5">
        <v>919.53</v>
      </c>
      <c r="I1491" t="str">
        <f t="shared" si="116"/>
        <v>Low Sales</v>
      </c>
      <c r="J1491" t="str">
        <f t="shared" si="117"/>
        <v>Average Performance</v>
      </c>
      <c r="K1491">
        <f t="shared" si="118"/>
        <v>2005</v>
      </c>
      <c r="L1491" t="str">
        <f t="shared" si="119"/>
        <v>March</v>
      </c>
    </row>
    <row r="1492" spans="1:12" x14ac:dyDescent="0.25">
      <c r="A1492" t="s">
        <v>30</v>
      </c>
      <c r="B1492" t="s">
        <v>258</v>
      </c>
      <c r="C1492" t="s">
        <v>261</v>
      </c>
      <c r="D1492" t="str">
        <f t="shared" si="115"/>
        <v>Motorcycles</v>
      </c>
      <c r="E1492" t="s">
        <v>324</v>
      </c>
      <c r="F1492" s="5">
        <v>5287.7</v>
      </c>
      <c r="G1492" s="5">
        <v>1057.54</v>
      </c>
      <c r="I1492" t="str">
        <f t="shared" si="116"/>
        <v>Low Sales</v>
      </c>
      <c r="J1492" t="str">
        <f t="shared" si="117"/>
        <v>Average Performance</v>
      </c>
      <c r="K1492">
        <f t="shared" si="118"/>
        <v>2005</v>
      </c>
      <c r="L1492" t="str">
        <f t="shared" si="119"/>
        <v>April</v>
      </c>
    </row>
    <row r="1493" spans="1:12" x14ac:dyDescent="0.25">
      <c r="A1493" t="s">
        <v>31</v>
      </c>
      <c r="B1493" t="s">
        <v>258</v>
      </c>
      <c r="C1493" t="s">
        <v>261</v>
      </c>
      <c r="D1493" t="str">
        <f t="shared" si="115"/>
        <v>Motorcycles</v>
      </c>
      <c r="E1493" t="s">
        <v>324</v>
      </c>
      <c r="F1493" s="5">
        <v>3550.05</v>
      </c>
      <c r="G1493" s="5">
        <v>710.0100000000001</v>
      </c>
      <c r="I1493" t="str">
        <f t="shared" si="116"/>
        <v>Low Sales</v>
      </c>
      <c r="J1493" t="str">
        <f t="shared" si="117"/>
        <v>Average Performance</v>
      </c>
      <c r="K1493">
        <f t="shared" si="118"/>
        <v>2005</v>
      </c>
      <c r="L1493" t="str">
        <f t="shared" si="119"/>
        <v>May</v>
      </c>
    </row>
    <row r="1494" spans="1:12" x14ac:dyDescent="0.25">
      <c r="A1494" t="s">
        <v>184</v>
      </c>
      <c r="B1494" t="s">
        <v>258</v>
      </c>
      <c r="C1494" t="s">
        <v>262</v>
      </c>
      <c r="D1494" t="str">
        <f t="shared" si="115"/>
        <v>Classic Cars</v>
      </c>
      <c r="E1494" t="s">
        <v>325</v>
      </c>
      <c r="F1494" s="5">
        <v>1721.73</v>
      </c>
      <c r="G1494" s="5">
        <v>344.346</v>
      </c>
      <c r="I1494" t="str">
        <f t="shared" si="116"/>
        <v>Low Sales</v>
      </c>
      <c r="J1494" t="str">
        <f t="shared" si="117"/>
        <v>Average Performance</v>
      </c>
      <c r="K1494">
        <f t="shared" si="118"/>
        <v>2003</v>
      </c>
      <c r="L1494" t="str">
        <f t="shared" si="119"/>
        <v>March</v>
      </c>
    </row>
    <row r="1495" spans="1:12" x14ac:dyDescent="0.25">
      <c r="A1495" t="s">
        <v>185</v>
      </c>
      <c r="B1495" t="s">
        <v>258</v>
      </c>
      <c r="C1495" t="s">
        <v>262</v>
      </c>
      <c r="D1495" t="str">
        <f t="shared" si="115"/>
        <v>Classic Cars</v>
      </c>
      <c r="E1495" t="s">
        <v>325</v>
      </c>
      <c r="F1495" s="5">
        <v>2993.5</v>
      </c>
      <c r="G1495" s="5">
        <v>598.70000000000005</v>
      </c>
      <c r="I1495" t="str">
        <f t="shared" si="116"/>
        <v>Low Sales</v>
      </c>
      <c r="J1495" t="str">
        <f t="shared" si="117"/>
        <v>Average Performance</v>
      </c>
      <c r="K1495">
        <f t="shared" si="118"/>
        <v>2003</v>
      </c>
      <c r="L1495" t="str">
        <f t="shared" si="119"/>
        <v>May</v>
      </c>
    </row>
    <row r="1496" spans="1:12" x14ac:dyDescent="0.25">
      <c r="A1496" t="s">
        <v>186</v>
      </c>
      <c r="B1496" t="s">
        <v>258</v>
      </c>
      <c r="C1496" t="s">
        <v>262</v>
      </c>
      <c r="D1496" t="str">
        <f t="shared" si="115"/>
        <v>Classic Cars</v>
      </c>
      <c r="E1496" t="s">
        <v>325</v>
      </c>
      <c r="F1496" s="5">
        <v>1295.06</v>
      </c>
      <c r="G1496" s="5">
        <v>259.012</v>
      </c>
      <c r="I1496" t="str">
        <f t="shared" si="116"/>
        <v>Low Sales</v>
      </c>
      <c r="J1496" t="str">
        <f t="shared" si="117"/>
        <v>Average Performance</v>
      </c>
      <c r="K1496">
        <f t="shared" si="118"/>
        <v>2003</v>
      </c>
      <c r="L1496" t="str">
        <f t="shared" si="119"/>
        <v>July</v>
      </c>
    </row>
    <row r="1497" spans="1:12" x14ac:dyDescent="0.25">
      <c r="A1497" t="s">
        <v>159</v>
      </c>
      <c r="B1497" t="s">
        <v>259</v>
      </c>
      <c r="C1497" t="s">
        <v>262</v>
      </c>
      <c r="D1497" t="str">
        <f t="shared" si="115"/>
        <v>Classic Cars</v>
      </c>
      <c r="E1497" t="s">
        <v>325</v>
      </c>
      <c r="F1497" s="5">
        <v>2671.95</v>
      </c>
      <c r="G1497" s="5">
        <v>534.39</v>
      </c>
      <c r="I1497" t="str">
        <f t="shared" si="116"/>
        <v>Low Sales</v>
      </c>
      <c r="J1497" t="str">
        <f t="shared" si="117"/>
        <v>Average Performance</v>
      </c>
      <c r="K1497">
        <f t="shared" si="118"/>
        <v>2003</v>
      </c>
      <c r="L1497" t="str">
        <f t="shared" si="119"/>
        <v>September</v>
      </c>
    </row>
    <row r="1498" spans="1:12" x14ac:dyDescent="0.25">
      <c r="A1498" t="s">
        <v>160</v>
      </c>
      <c r="B1498" t="s">
        <v>258</v>
      </c>
      <c r="C1498" t="s">
        <v>262</v>
      </c>
      <c r="D1498" t="str">
        <f t="shared" si="115"/>
        <v>Classic Cars</v>
      </c>
      <c r="E1498" t="s">
        <v>325</v>
      </c>
      <c r="F1498" s="5">
        <v>1226.5899999999999</v>
      </c>
      <c r="G1498" s="5">
        <v>245.31800000000001</v>
      </c>
      <c r="I1498" t="str">
        <f t="shared" si="116"/>
        <v>Low Sales</v>
      </c>
      <c r="J1498" t="str">
        <f t="shared" si="117"/>
        <v>Average Performance</v>
      </c>
      <c r="K1498">
        <f t="shared" si="118"/>
        <v>2003</v>
      </c>
      <c r="L1498" t="str">
        <f t="shared" si="119"/>
        <v>October</v>
      </c>
    </row>
    <row r="1499" spans="1:12" x14ac:dyDescent="0.25">
      <c r="A1499" t="s">
        <v>161</v>
      </c>
      <c r="C1499" t="s">
        <v>262</v>
      </c>
      <c r="D1499" t="str">
        <f t="shared" si="115"/>
        <v>Classic Cars</v>
      </c>
      <c r="E1499" t="s">
        <v>325</v>
      </c>
      <c r="F1499" s="5">
        <v>1453.84</v>
      </c>
      <c r="G1499" s="5">
        <v>290.76799999999997</v>
      </c>
      <c r="I1499" t="str">
        <f t="shared" si="116"/>
        <v>Low Sales</v>
      </c>
      <c r="J1499" t="str">
        <f t="shared" si="117"/>
        <v>Average Performance</v>
      </c>
      <c r="K1499">
        <f t="shared" si="118"/>
        <v>2003</v>
      </c>
      <c r="L1499" t="str">
        <f t="shared" si="119"/>
        <v>November</v>
      </c>
    </row>
    <row r="1500" spans="1:12" x14ac:dyDescent="0.25">
      <c r="A1500" t="s">
        <v>109</v>
      </c>
      <c r="B1500" t="s">
        <v>258</v>
      </c>
      <c r="C1500" t="s">
        <v>262</v>
      </c>
      <c r="D1500" t="str">
        <f t="shared" si="115"/>
        <v>Classic Cars</v>
      </c>
      <c r="E1500" t="s">
        <v>325</v>
      </c>
      <c r="F1500" s="5">
        <v>1830.22</v>
      </c>
      <c r="G1500" s="5">
        <v>366.04399999999998</v>
      </c>
      <c r="I1500" t="str">
        <f t="shared" si="116"/>
        <v>Low Sales</v>
      </c>
      <c r="J1500" t="str">
        <f t="shared" si="117"/>
        <v>Average Performance</v>
      </c>
      <c r="K1500">
        <f t="shared" si="118"/>
        <v>2003</v>
      </c>
      <c r="L1500" t="str">
        <f t="shared" si="119"/>
        <v>November</v>
      </c>
    </row>
    <row r="1501" spans="1:12" x14ac:dyDescent="0.25">
      <c r="A1501" t="s">
        <v>110</v>
      </c>
      <c r="C1501" t="s">
        <v>262</v>
      </c>
      <c r="D1501" t="str">
        <f t="shared" si="115"/>
        <v>Classic Cars</v>
      </c>
      <c r="E1501" t="s">
        <v>325</v>
      </c>
      <c r="F1501" s="5">
        <v>2530.0100000000002</v>
      </c>
      <c r="G1501" s="5">
        <v>506.00200000000012</v>
      </c>
      <c r="I1501" t="str">
        <f t="shared" si="116"/>
        <v>Low Sales</v>
      </c>
      <c r="J1501" t="str">
        <f t="shared" si="117"/>
        <v>Average Performance</v>
      </c>
      <c r="K1501">
        <f t="shared" si="118"/>
        <v>2003</v>
      </c>
      <c r="L1501" t="str">
        <f t="shared" si="119"/>
        <v>November</v>
      </c>
    </row>
    <row r="1502" spans="1:12" x14ac:dyDescent="0.25">
      <c r="A1502" t="s">
        <v>111</v>
      </c>
      <c r="C1502" t="s">
        <v>262</v>
      </c>
      <c r="D1502" t="str">
        <f t="shared" si="115"/>
        <v>Classic Cars</v>
      </c>
      <c r="E1502" t="s">
        <v>325</v>
      </c>
      <c r="F1502" s="5">
        <v>2241.4499999999998</v>
      </c>
      <c r="G1502" s="5">
        <v>448.29</v>
      </c>
      <c r="I1502" t="str">
        <f t="shared" si="116"/>
        <v>Low Sales</v>
      </c>
      <c r="J1502" t="str">
        <f t="shared" si="117"/>
        <v>Average Performance</v>
      </c>
      <c r="K1502">
        <f t="shared" si="118"/>
        <v>2003</v>
      </c>
      <c r="L1502" t="str">
        <f t="shared" si="119"/>
        <v>December</v>
      </c>
    </row>
    <row r="1503" spans="1:12" x14ac:dyDescent="0.25">
      <c r="A1503" t="s">
        <v>144</v>
      </c>
      <c r="B1503" t="s">
        <v>258</v>
      </c>
      <c r="C1503" t="s">
        <v>262</v>
      </c>
      <c r="D1503" t="str">
        <f t="shared" si="115"/>
        <v>Classic Cars</v>
      </c>
      <c r="E1503" t="s">
        <v>325</v>
      </c>
      <c r="F1503" s="5">
        <v>2399.85</v>
      </c>
      <c r="G1503" s="5">
        <v>479.97</v>
      </c>
      <c r="I1503" t="str">
        <f t="shared" si="116"/>
        <v>Low Sales</v>
      </c>
      <c r="J1503" t="str">
        <f t="shared" si="117"/>
        <v>Average Performance</v>
      </c>
      <c r="K1503">
        <f t="shared" si="118"/>
        <v>2004</v>
      </c>
      <c r="L1503" t="str">
        <f t="shared" si="119"/>
        <v>January</v>
      </c>
    </row>
    <row r="1504" spans="1:12" x14ac:dyDescent="0.25">
      <c r="A1504" t="s">
        <v>187</v>
      </c>
      <c r="C1504" t="s">
        <v>262</v>
      </c>
      <c r="D1504" t="str">
        <f t="shared" si="115"/>
        <v>Classic Cars</v>
      </c>
      <c r="E1504" t="s">
        <v>325</v>
      </c>
      <c r="F1504" s="5">
        <v>1557.72</v>
      </c>
      <c r="G1504" s="5">
        <v>311.54399999999998</v>
      </c>
      <c r="I1504" t="str">
        <f t="shared" si="116"/>
        <v>Low Sales</v>
      </c>
      <c r="J1504" t="str">
        <f t="shared" si="117"/>
        <v>Average Performance</v>
      </c>
      <c r="K1504">
        <f t="shared" si="118"/>
        <v>2004</v>
      </c>
      <c r="L1504" t="str">
        <f t="shared" si="119"/>
        <v>February</v>
      </c>
    </row>
    <row r="1505" spans="1:12" x14ac:dyDescent="0.25">
      <c r="A1505" t="s">
        <v>162</v>
      </c>
      <c r="B1505" t="s">
        <v>258</v>
      </c>
      <c r="C1505" t="s">
        <v>262</v>
      </c>
      <c r="D1505" t="str">
        <f t="shared" si="115"/>
        <v>Classic Cars</v>
      </c>
      <c r="E1505" t="s">
        <v>325</v>
      </c>
      <c r="F1505" s="5">
        <v>845.25</v>
      </c>
      <c r="G1505" s="5">
        <v>169.05</v>
      </c>
      <c r="I1505" t="str">
        <f t="shared" si="116"/>
        <v>Low Sales</v>
      </c>
      <c r="J1505" t="str">
        <f t="shared" si="117"/>
        <v>Average Performance</v>
      </c>
      <c r="K1505">
        <f t="shared" si="118"/>
        <v>2004</v>
      </c>
      <c r="L1505" t="str">
        <f t="shared" si="119"/>
        <v>April</v>
      </c>
    </row>
    <row r="1506" spans="1:12" x14ac:dyDescent="0.25">
      <c r="A1506" t="s">
        <v>115</v>
      </c>
      <c r="B1506" t="s">
        <v>258</v>
      </c>
      <c r="C1506" t="s">
        <v>262</v>
      </c>
      <c r="D1506" t="str">
        <f t="shared" si="115"/>
        <v>Classic Cars</v>
      </c>
      <c r="E1506" t="s">
        <v>325</v>
      </c>
      <c r="F1506" s="5">
        <v>1352.4</v>
      </c>
      <c r="G1506" s="5">
        <v>270.48</v>
      </c>
      <c r="I1506" t="str">
        <f t="shared" si="116"/>
        <v>Low Sales</v>
      </c>
      <c r="J1506" t="str">
        <f t="shared" si="117"/>
        <v>Average Performance</v>
      </c>
      <c r="K1506">
        <f t="shared" si="118"/>
        <v>2004</v>
      </c>
      <c r="L1506" t="str">
        <f t="shared" si="119"/>
        <v>July</v>
      </c>
    </row>
    <row r="1507" spans="1:12" x14ac:dyDescent="0.25">
      <c r="A1507" t="s">
        <v>163</v>
      </c>
      <c r="C1507" t="s">
        <v>262</v>
      </c>
      <c r="D1507" t="str">
        <f t="shared" si="115"/>
        <v>Classic Cars</v>
      </c>
      <c r="E1507" t="s">
        <v>325</v>
      </c>
      <c r="F1507" s="5">
        <v>1584.8</v>
      </c>
      <c r="G1507" s="5">
        <v>316.95999999999998</v>
      </c>
      <c r="I1507" t="str">
        <f t="shared" si="116"/>
        <v>Low Sales</v>
      </c>
      <c r="J1507" t="str">
        <f t="shared" si="117"/>
        <v>Average Performance</v>
      </c>
      <c r="K1507">
        <f t="shared" si="118"/>
        <v>2004</v>
      </c>
      <c r="L1507" t="str">
        <f t="shared" si="119"/>
        <v>August</v>
      </c>
    </row>
    <row r="1508" spans="1:12" x14ac:dyDescent="0.25">
      <c r="A1508" t="s">
        <v>188</v>
      </c>
      <c r="B1508" t="s">
        <v>259</v>
      </c>
      <c r="C1508" t="s">
        <v>262</v>
      </c>
      <c r="D1508" t="str">
        <f t="shared" si="115"/>
        <v>Classic Cars</v>
      </c>
      <c r="E1508" t="s">
        <v>325</v>
      </c>
      <c r="F1508" s="5">
        <v>2616</v>
      </c>
      <c r="G1508" s="5">
        <v>523.20000000000005</v>
      </c>
      <c r="I1508" t="str">
        <f t="shared" si="116"/>
        <v>Low Sales</v>
      </c>
      <c r="J1508" t="str">
        <f t="shared" si="117"/>
        <v>Average Performance</v>
      </c>
      <c r="K1508">
        <f t="shared" si="118"/>
        <v>2004</v>
      </c>
      <c r="L1508" t="str">
        <f t="shared" si="119"/>
        <v>September</v>
      </c>
    </row>
    <row r="1509" spans="1:12" x14ac:dyDescent="0.25">
      <c r="A1509" t="s">
        <v>164</v>
      </c>
      <c r="B1509" t="s">
        <v>258</v>
      </c>
      <c r="C1509" t="s">
        <v>262</v>
      </c>
      <c r="D1509" t="str">
        <f t="shared" si="115"/>
        <v>Classic Cars</v>
      </c>
      <c r="E1509" t="s">
        <v>325</v>
      </c>
      <c r="F1509" s="5">
        <v>1129.04</v>
      </c>
      <c r="G1509" s="5">
        <v>225.80799999999999</v>
      </c>
      <c r="I1509" t="str">
        <f t="shared" si="116"/>
        <v>Low Sales</v>
      </c>
      <c r="J1509" t="str">
        <f t="shared" si="117"/>
        <v>Average Performance</v>
      </c>
      <c r="K1509">
        <f t="shared" si="118"/>
        <v>2003</v>
      </c>
      <c r="L1509" t="str">
        <f t="shared" si="119"/>
        <v>October</v>
      </c>
    </row>
    <row r="1510" spans="1:12" x14ac:dyDescent="0.25">
      <c r="A1510" t="s">
        <v>119</v>
      </c>
      <c r="B1510" t="s">
        <v>258</v>
      </c>
      <c r="C1510" t="s">
        <v>262</v>
      </c>
      <c r="D1510" t="str">
        <f t="shared" si="115"/>
        <v>Classic Cars</v>
      </c>
      <c r="E1510" t="s">
        <v>325</v>
      </c>
      <c r="F1510" s="5">
        <v>2218.5</v>
      </c>
      <c r="G1510" s="5">
        <v>443.7</v>
      </c>
      <c r="I1510" t="str">
        <f t="shared" si="116"/>
        <v>Low Sales</v>
      </c>
      <c r="J1510" t="str">
        <f t="shared" si="117"/>
        <v>Average Performance</v>
      </c>
      <c r="K1510">
        <f t="shared" si="118"/>
        <v>2004</v>
      </c>
      <c r="L1510" t="str">
        <f t="shared" si="119"/>
        <v>October</v>
      </c>
    </row>
    <row r="1511" spans="1:12" x14ac:dyDescent="0.25">
      <c r="A1511" t="s">
        <v>51</v>
      </c>
      <c r="C1511" t="s">
        <v>262</v>
      </c>
      <c r="D1511" t="str">
        <f t="shared" si="115"/>
        <v>Classic Cars</v>
      </c>
      <c r="E1511" t="s">
        <v>325</v>
      </c>
      <c r="F1511" s="5">
        <v>2028.48</v>
      </c>
      <c r="G1511" s="5">
        <v>405.69600000000003</v>
      </c>
      <c r="I1511" t="str">
        <f t="shared" si="116"/>
        <v>Low Sales</v>
      </c>
      <c r="J1511" t="str">
        <f t="shared" si="117"/>
        <v>Average Performance</v>
      </c>
      <c r="K1511">
        <f t="shared" si="118"/>
        <v>2004</v>
      </c>
      <c r="L1511" t="str">
        <f t="shared" si="119"/>
        <v>November</v>
      </c>
    </row>
    <row r="1512" spans="1:12" x14ac:dyDescent="0.25">
      <c r="A1512" t="s">
        <v>165</v>
      </c>
      <c r="B1512" t="s">
        <v>258</v>
      </c>
      <c r="C1512" t="s">
        <v>262</v>
      </c>
      <c r="D1512" t="str">
        <f t="shared" si="115"/>
        <v>Classic Cars</v>
      </c>
      <c r="E1512" t="s">
        <v>325</v>
      </c>
      <c r="F1512" s="5">
        <v>1759.2</v>
      </c>
      <c r="G1512" s="5">
        <v>351.84</v>
      </c>
      <c r="I1512" t="str">
        <f t="shared" si="116"/>
        <v>Low Sales</v>
      </c>
      <c r="J1512" t="str">
        <f t="shared" si="117"/>
        <v>Average Performance</v>
      </c>
      <c r="K1512">
        <f t="shared" si="118"/>
        <v>2004</v>
      </c>
      <c r="L1512" t="str">
        <f t="shared" si="119"/>
        <v>November</v>
      </c>
    </row>
    <row r="1513" spans="1:12" x14ac:dyDescent="0.25">
      <c r="A1513" t="s">
        <v>26</v>
      </c>
      <c r="B1513" t="s">
        <v>258</v>
      </c>
      <c r="C1513" t="s">
        <v>262</v>
      </c>
      <c r="D1513" t="str">
        <f t="shared" si="115"/>
        <v>Classic Cars</v>
      </c>
      <c r="E1513" t="s">
        <v>325</v>
      </c>
      <c r="F1513" s="5">
        <v>977.67</v>
      </c>
      <c r="G1513" s="5">
        <v>195.53399999999999</v>
      </c>
      <c r="I1513" t="str">
        <f t="shared" si="116"/>
        <v>Low Sales</v>
      </c>
      <c r="J1513" t="str">
        <f t="shared" si="117"/>
        <v>Average Performance</v>
      </c>
      <c r="K1513">
        <f t="shared" si="118"/>
        <v>2004</v>
      </c>
      <c r="L1513" t="str">
        <f t="shared" si="119"/>
        <v>November</v>
      </c>
    </row>
    <row r="1514" spans="1:12" x14ac:dyDescent="0.25">
      <c r="A1514" t="s">
        <v>189</v>
      </c>
      <c r="C1514" t="s">
        <v>262</v>
      </c>
      <c r="D1514" t="str">
        <f t="shared" si="115"/>
        <v>Classic Cars</v>
      </c>
      <c r="E1514" t="s">
        <v>325</v>
      </c>
      <c r="F1514" s="5">
        <v>1463</v>
      </c>
      <c r="G1514" s="5">
        <v>292.60000000000002</v>
      </c>
      <c r="I1514" t="str">
        <f t="shared" si="116"/>
        <v>Low Sales</v>
      </c>
      <c r="J1514" t="str">
        <f t="shared" si="117"/>
        <v>Average Performance</v>
      </c>
      <c r="K1514">
        <f t="shared" si="118"/>
        <v>2005</v>
      </c>
      <c r="L1514" t="str">
        <f t="shared" si="119"/>
        <v>January</v>
      </c>
    </row>
    <row r="1515" spans="1:12" x14ac:dyDescent="0.25">
      <c r="A1515" t="s">
        <v>190</v>
      </c>
      <c r="B1515" t="s">
        <v>258</v>
      </c>
      <c r="C1515" t="s">
        <v>262</v>
      </c>
      <c r="D1515" t="str">
        <f t="shared" si="115"/>
        <v>Classic Cars</v>
      </c>
      <c r="E1515" t="s">
        <v>325</v>
      </c>
      <c r="F1515" s="5">
        <v>3970.56</v>
      </c>
      <c r="G1515" s="5">
        <v>794.11200000000008</v>
      </c>
      <c r="I1515" t="str">
        <f t="shared" si="116"/>
        <v>Low Sales</v>
      </c>
      <c r="J1515" t="str">
        <f t="shared" si="117"/>
        <v>Average Performance</v>
      </c>
      <c r="K1515">
        <f t="shared" si="118"/>
        <v>2005</v>
      </c>
      <c r="L1515" t="str">
        <f t="shared" si="119"/>
        <v>February</v>
      </c>
    </row>
    <row r="1516" spans="1:12" x14ac:dyDescent="0.25">
      <c r="A1516" t="s">
        <v>191</v>
      </c>
      <c r="C1516" t="s">
        <v>262</v>
      </c>
      <c r="D1516" t="str">
        <f t="shared" si="115"/>
        <v>Classic Cars</v>
      </c>
      <c r="E1516" t="s">
        <v>325</v>
      </c>
      <c r="F1516" s="5">
        <v>2576</v>
      </c>
      <c r="G1516" s="5">
        <v>515.20000000000005</v>
      </c>
      <c r="I1516" t="str">
        <f t="shared" si="116"/>
        <v>Low Sales</v>
      </c>
      <c r="J1516" t="str">
        <f t="shared" si="117"/>
        <v>Average Performance</v>
      </c>
      <c r="K1516">
        <f t="shared" si="118"/>
        <v>2005</v>
      </c>
      <c r="L1516" t="str">
        <f t="shared" si="119"/>
        <v>April</v>
      </c>
    </row>
    <row r="1517" spans="1:12" x14ac:dyDescent="0.25">
      <c r="A1517" t="s">
        <v>208</v>
      </c>
      <c r="B1517" t="s">
        <v>259</v>
      </c>
      <c r="C1517" t="s">
        <v>262</v>
      </c>
      <c r="D1517" t="str">
        <f t="shared" si="115"/>
        <v>Classic Cars</v>
      </c>
      <c r="E1517" t="s">
        <v>325</v>
      </c>
      <c r="F1517" s="5">
        <v>2233.69</v>
      </c>
      <c r="G1517" s="5">
        <v>446.73800000000011</v>
      </c>
      <c r="I1517" t="str">
        <f t="shared" si="116"/>
        <v>Low Sales</v>
      </c>
      <c r="J1517" t="str">
        <f t="shared" si="117"/>
        <v>Average Performance</v>
      </c>
      <c r="K1517">
        <f t="shared" si="118"/>
        <v>2005</v>
      </c>
      <c r="L1517" t="str">
        <f t="shared" si="119"/>
        <v>May</v>
      </c>
    </row>
    <row r="1518" spans="1:12" x14ac:dyDescent="0.25">
      <c r="A1518" t="s">
        <v>192</v>
      </c>
      <c r="B1518" t="s">
        <v>258</v>
      </c>
      <c r="C1518" t="s">
        <v>265</v>
      </c>
      <c r="D1518" t="str">
        <f t="shared" si="115"/>
        <v>Planes</v>
      </c>
      <c r="E1518" t="s">
        <v>326</v>
      </c>
      <c r="F1518" s="5">
        <v>2481.64</v>
      </c>
      <c r="G1518" s="5">
        <v>496.32799999999997</v>
      </c>
      <c r="I1518" t="str">
        <f t="shared" si="116"/>
        <v>Low Sales</v>
      </c>
      <c r="J1518" t="str">
        <f t="shared" si="117"/>
        <v>Average Performance</v>
      </c>
      <c r="K1518">
        <f t="shared" si="118"/>
        <v>2003</v>
      </c>
      <c r="L1518" t="str">
        <f t="shared" si="119"/>
        <v>February</v>
      </c>
    </row>
    <row r="1519" spans="1:12" x14ac:dyDescent="0.25">
      <c r="A1519" t="s">
        <v>60</v>
      </c>
      <c r="B1519" t="s">
        <v>259</v>
      </c>
      <c r="C1519" t="s">
        <v>265</v>
      </c>
      <c r="D1519" t="str">
        <f t="shared" si="115"/>
        <v>Planes</v>
      </c>
      <c r="E1519" t="s">
        <v>326</v>
      </c>
      <c r="F1519" s="5">
        <v>4651.53</v>
      </c>
      <c r="G1519" s="5">
        <v>930.30600000000004</v>
      </c>
      <c r="I1519" t="str">
        <f t="shared" si="116"/>
        <v>Low Sales</v>
      </c>
      <c r="J1519" t="str">
        <f t="shared" si="117"/>
        <v>Average Performance</v>
      </c>
      <c r="K1519">
        <f t="shared" si="118"/>
        <v>2003</v>
      </c>
      <c r="L1519" t="str">
        <f t="shared" si="119"/>
        <v>April</v>
      </c>
    </row>
    <row r="1520" spans="1:12" x14ac:dyDescent="0.25">
      <c r="A1520" t="s">
        <v>215</v>
      </c>
      <c r="B1520" t="s">
        <v>258</v>
      </c>
      <c r="C1520" t="s">
        <v>265</v>
      </c>
      <c r="D1520" t="str">
        <f t="shared" si="115"/>
        <v>Planes</v>
      </c>
      <c r="E1520" t="s">
        <v>326</v>
      </c>
      <c r="F1520" s="5">
        <v>3858.1</v>
      </c>
      <c r="G1520" s="5">
        <v>771.62</v>
      </c>
      <c r="I1520" t="str">
        <f t="shared" si="116"/>
        <v>Low Sales</v>
      </c>
      <c r="J1520" t="str">
        <f t="shared" si="117"/>
        <v>Average Performance</v>
      </c>
      <c r="K1520">
        <f t="shared" si="118"/>
        <v>2003</v>
      </c>
      <c r="L1520" t="str">
        <f t="shared" si="119"/>
        <v>June</v>
      </c>
    </row>
    <row r="1521" spans="1:12" x14ac:dyDescent="0.25">
      <c r="A1521" t="s">
        <v>9</v>
      </c>
      <c r="C1521" t="s">
        <v>265</v>
      </c>
      <c r="D1521" t="str">
        <f t="shared" si="115"/>
        <v>Planes</v>
      </c>
      <c r="E1521" t="s">
        <v>326</v>
      </c>
      <c r="F1521" s="5">
        <v>3501.6</v>
      </c>
      <c r="G1521" s="5">
        <v>700.32</v>
      </c>
      <c r="I1521" t="str">
        <f t="shared" si="116"/>
        <v>Low Sales</v>
      </c>
      <c r="J1521" t="str">
        <f t="shared" si="117"/>
        <v>Average Performance</v>
      </c>
      <c r="K1521">
        <f t="shared" si="118"/>
        <v>2003</v>
      </c>
      <c r="L1521" t="str">
        <f t="shared" si="119"/>
        <v>August</v>
      </c>
    </row>
    <row r="1522" spans="1:12" x14ac:dyDescent="0.25">
      <c r="A1522" t="s">
        <v>11</v>
      </c>
      <c r="C1522" t="s">
        <v>265</v>
      </c>
      <c r="D1522" t="str">
        <f t="shared" si="115"/>
        <v>Planes</v>
      </c>
      <c r="E1522" t="s">
        <v>326</v>
      </c>
      <c r="F1522" s="5">
        <v>6433.7</v>
      </c>
      <c r="G1522" s="5">
        <v>1286.74</v>
      </c>
      <c r="I1522" t="str">
        <f t="shared" si="116"/>
        <v>Low Sales</v>
      </c>
      <c r="J1522" t="str">
        <f t="shared" si="117"/>
        <v>Average Performance</v>
      </c>
      <c r="K1522">
        <f t="shared" si="118"/>
        <v>2003</v>
      </c>
      <c r="L1522" t="str">
        <f t="shared" si="119"/>
        <v>October</v>
      </c>
    </row>
    <row r="1523" spans="1:12" x14ac:dyDescent="0.25">
      <c r="A1523" t="s">
        <v>61</v>
      </c>
      <c r="B1523" t="s">
        <v>260</v>
      </c>
      <c r="C1523" t="s">
        <v>265</v>
      </c>
      <c r="D1523" t="str">
        <f t="shared" si="115"/>
        <v>Planes</v>
      </c>
      <c r="E1523" t="s">
        <v>326</v>
      </c>
      <c r="F1523" s="5">
        <v>2658.96</v>
      </c>
      <c r="G1523" s="5">
        <v>531.79200000000003</v>
      </c>
      <c r="I1523" t="str">
        <f t="shared" si="116"/>
        <v>Low Sales</v>
      </c>
      <c r="J1523" t="str">
        <f t="shared" si="117"/>
        <v>Average Performance</v>
      </c>
      <c r="K1523">
        <f t="shared" si="118"/>
        <v>2004</v>
      </c>
      <c r="L1523" t="str">
        <f t="shared" si="119"/>
        <v>January</v>
      </c>
    </row>
    <row r="1524" spans="1:12" x14ac:dyDescent="0.25">
      <c r="A1524" t="s">
        <v>16</v>
      </c>
      <c r="B1524" t="s">
        <v>259</v>
      </c>
      <c r="C1524" t="s">
        <v>265</v>
      </c>
      <c r="D1524" t="str">
        <f t="shared" si="115"/>
        <v>Planes</v>
      </c>
      <c r="E1524" t="s">
        <v>326</v>
      </c>
      <c r="F1524" s="5">
        <v>3608.76</v>
      </c>
      <c r="G1524" s="5">
        <v>721.75200000000007</v>
      </c>
      <c r="I1524" t="str">
        <f t="shared" si="116"/>
        <v>Low Sales</v>
      </c>
      <c r="J1524" t="str">
        <f t="shared" si="117"/>
        <v>Average Performance</v>
      </c>
      <c r="K1524">
        <f t="shared" si="118"/>
        <v>2004</v>
      </c>
      <c r="L1524" t="str">
        <f t="shared" si="119"/>
        <v>February</v>
      </c>
    </row>
    <row r="1525" spans="1:12" x14ac:dyDescent="0.25">
      <c r="A1525" t="s">
        <v>216</v>
      </c>
      <c r="C1525" t="s">
        <v>265</v>
      </c>
      <c r="D1525" t="str">
        <f t="shared" si="115"/>
        <v>Planes</v>
      </c>
      <c r="E1525" t="s">
        <v>326</v>
      </c>
      <c r="F1525" s="5">
        <v>2214.67</v>
      </c>
      <c r="G1525" s="5">
        <v>442.93400000000003</v>
      </c>
      <c r="I1525" t="str">
        <f t="shared" si="116"/>
        <v>Low Sales</v>
      </c>
      <c r="J1525" t="str">
        <f t="shared" si="117"/>
        <v>Average Performance</v>
      </c>
      <c r="K1525">
        <f t="shared" si="118"/>
        <v>2004</v>
      </c>
      <c r="L1525" t="str">
        <f t="shared" si="119"/>
        <v>April</v>
      </c>
    </row>
    <row r="1526" spans="1:12" x14ac:dyDescent="0.25">
      <c r="A1526" t="s">
        <v>195</v>
      </c>
      <c r="C1526" t="s">
        <v>265</v>
      </c>
      <c r="D1526" t="str">
        <f t="shared" si="115"/>
        <v>Planes</v>
      </c>
      <c r="E1526" t="s">
        <v>326</v>
      </c>
      <c r="F1526" s="5">
        <v>2747.53</v>
      </c>
      <c r="G1526" s="5">
        <v>549.50600000000009</v>
      </c>
      <c r="I1526" t="str">
        <f t="shared" si="116"/>
        <v>Low Sales</v>
      </c>
      <c r="J1526" t="str">
        <f t="shared" si="117"/>
        <v>Average Performance</v>
      </c>
      <c r="K1526">
        <f t="shared" si="118"/>
        <v>2004</v>
      </c>
      <c r="L1526" t="str">
        <f t="shared" si="119"/>
        <v>May</v>
      </c>
    </row>
    <row r="1527" spans="1:12" x14ac:dyDescent="0.25">
      <c r="A1527" t="s">
        <v>196</v>
      </c>
      <c r="B1527" t="s">
        <v>258</v>
      </c>
      <c r="C1527" t="s">
        <v>265</v>
      </c>
      <c r="D1527" t="str">
        <f t="shared" si="115"/>
        <v>Planes</v>
      </c>
      <c r="E1527" t="s">
        <v>326</v>
      </c>
      <c r="F1527" s="5">
        <v>3310.92</v>
      </c>
      <c r="G1527" s="5">
        <v>662.18400000000008</v>
      </c>
      <c r="I1527" t="str">
        <f t="shared" si="116"/>
        <v>Low Sales</v>
      </c>
      <c r="J1527" t="str">
        <f t="shared" si="117"/>
        <v>Average Performance</v>
      </c>
      <c r="K1527">
        <f t="shared" si="118"/>
        <v>2004</v>
      </c>
      <c r="L1527" t="str">
        <f t="shared" si="119"/>
        <v>June</v>
      </c>
    </row>
    <row r="1528" spans="1:12" x14ac:dyDescent="0.25">
      <c r="A1528" t="s">
        <v>20</v>
      </c>
      <c r="B1528" t="s">
        <v>258</v>
      </c>
      <c r="C1528" t="s">
        <v>265</v>
      </c>
      <c r="D1528" t="str">
        <f t="shared" si="115"/>
        <v>Planes</v>
      </c>
      <c r="E1528" t="s">
        <v>326</v>
      </c>
      <c r="F1528" s="5">
        <v>2380</v>
      </c>
      <c r="G1528" s="5">
        <v>476</v>
      </c>
      <c r="I1528" t="str">
        <f t="shared" si="116"/>
        <v>Low Sales</v>
      </c>
      <c r="J1528" t="str">
        <f t="shared" si="117"/>
        <v>Average Performance</v>
      </c>
      <c r="K1528">
        <f t="shared" si="118"/>
        <v>2004</v>
      </c>
      <c r="L1528" t="str">
        <f t="shared" si="119"/>
        <v>July</v>
      </c>
    </row>
    <row r="1529" spans="1:12" x14ac:dyDescent="0.25">
      <c r="A1529" t="s">
        <v>197</v>
      </c>
      <c r="B1529" t="s">
        <v>258</v>
      </c>
      <c r="C1529" t="s">
        <v>265</v>
      </c>
      <c r="D1529" t="str">
        <f t="shared" si="115"/>
        <v>Planes</v>
      </c>
      <c r="E1529" t="s">
        <v>326</v>
      </c>
      <c r="F1529" s="5">
        <v>2310.88</v>
      </c>
      <c r="G1529" s="5">
        <v>462.17599999999999</v>
      </c>
      <c r="I1529" t="str">
        <f t="shared" si="116"/>
        <v>Low Sales</v>
      </c>
      <c r="J1529" t="str">
        <f t="shared" si="117"/>
        <v>Average Performance</v>
      </c>
      <c r="K1529">
        <f t="shared" si="118"/>
        <v>2004</v>
      </c>
      <c r="L1529" t="str">
        <f t="shared" si="119"/>
        <v>August</v>
      </c>
    </row>
    <row r="1530" spans="1:12" x14ac:dyDescent="0.25">
      <c r="A1530" t="s">
        <v>217</v>
      </c>
      <c r="B1530" t="s">
        <v>258</v>
      </c>
      <c r="C1530" t="s">
        <v>265</v>
      </c>
      <c r="D1530" t="str">
        <f t="shared" si="115"/>
        <v>Planes</v>
      </c>
      <c r="E1530" t="s">
        <v>326</v>
      </c>
      <c r="F1530" s="5">
        <v>4061.76</v>
      </c>
      <c r="G1530" s="5">
        <v>812.35200000000009</v>
      </c>
      <c r="I1530" t="str">
        <f t="shared" si="116"/>
        <v>Low Sales</v>
      </c>
      <c r="J1530" t="str">
        <f t="shared" si="117"/>
        <v>Average Performance</v>
      </c>
      <c r="K1530">
        <f t="shared" si="118"/>
        <v>2004</v>
      </c>
      <c r="L1530" t="str">
        <f t="shared" si="119"/>
        <v>September</v>
      </c>
    </row>
    <row r="1531" spans="1:12" x14ac:dyDescent="0.25">
      <c r="A1531" t="s">
        <v>23</v>
      </c>
      <c r="C1531" t="s">
        <v>265</v>
      </c>
      <c r="D1531" t="str">
        <f t="shared" si="115"/>
        <v>Planes</v>
      </c>
      <c r="E1531" t="s">
        <v>326</v>
      </c>
      <c r="F1531" s="5">
        <v>3493.7</v>
      </c>
      <c r="G1531" s="5">
        <v>698.74</v>
      </c>
      <c r="I1531" t="str">
        <f t="shared" si="116"/>
        <v>Low Sales</v>
      </c>
      <c r="J1531" t="str">
        <f t="shared" si="117"/>
        <v>Average Performance</v>
      </c>
      <c r="K1531">
        <f t="shared" si="118"/>
        <v>2004</v>
      </c>
      <c r="L1531" t="str">
        <f t="shared" si="119"/>
        <v>October</v>
      </c>
    </row>
    <row r="1532" spans="1:12" x14ac:dyDescent="0.25">
      <c r="A1532" t="s">
        <v>85</v>
      </c>
      <c r="B1532" t="s">
        <v>258</v>
      </c>
      <c r="C1532" t="s">
        <v>265</v>
      </c>
      <c r="D1532" t="str">
        <f t="shared" si="115"/>
        <v>Planes</v>
      </c>
      <c r="E1532" t="s">
        <v>326</v>
      </c>
      <c r="F1532" s="5">
        <v>2872.25</v>
      </c>
      <c r="G1532" s="5">
        <v>574.45000000000005</v>
      </c>
      <c r="I1532" t="str">
        <f t="shared" si="116"/>
        <v>Low Sales</v>
      </c>
      <c r="J1532" t="str">
        <f t="shared" si="117"/>
        <v>Average Performance</v>
      </c>
      <c r="K1532">
        <f t="shared" si="118"/>
        <v>2004</v>
      </c>
      <c r="L1532" t="str">
        <f t="shared" si="119"/>
        <v>November</v>
      </c>
    </row>
    <row r="1533" spans="1:12" x14ac:dyDescent="0.25">
      <c r="A1533" t="s">
        <v>239</v>
      </c>
      <c r="B1533" t="s">
        <v>258</v>
      </c>
      <c r="C1533" t="s">
        <v>265</v>
      </c>
      <c r="D1533" t="str">
        <f t="shared" si="115"/>
        <v>Planes</v>
      </c>
      <c r="E1533" t="s">
        <v>326</v>
      </c>
      <c r="F1533" s="5">
        <v>4114.38</v>
      </c>
      <c r="G1533" s="5">
        <v>822.87600000000009</v>
      </c>
      <c r="I1533" t="str">
        <f t="shared" si="116"/>
        <v>Low Sales</v>
      </c>
      <c r="J1533" t="str">
        <f t="shared" si="117"/>
        <v>Average Performance</v>
      </c>
      <c r="K1533">
        <f t="shared" si="118"/>
        <v>2004</v>
      </c>
      <c r="L1533" t="str">
        <f t="shared" si="119"/>
        <v>November</v>
      </c>
    </row>
    <row r="1534" spans="1:12" x14ac:dyDescent="0.25">
      <c r="A1534" t="s">
        <v>64</v>
      </c>
      <c r="B1534" t="s">
        <v>260</v>
      </c>
      <c r="C1534" t="s">
        <v>265</v>
      </c>
      <c r="D1534" t="str">
        <f t="shared" si="115"/>
        <v>Planes</v>
      </c>
      <c r="E1534" t="s">
        <v>326</v>
      </c>
      <c r="F1534" s="5">
        <v>1063.6500000000001</v>
      </c>
      <c r="G1534" s="5">
        <v>212.73</v>
      </c>
      <c r="I1534" t="str">
        <f t="shared" si="116"/>
        <v>Low Sales</v>
      </c>
      <c r="J1534" t="str">
        <f t="shared" si="117"/>
        <v>Average Performance</v>
      </c>
      <c r="K1534">
        <f t="shared" si="118"/>
        <v>2004</v>
      </c>
      <c r="L1534" t="str">
        <f t="shared" si="119"/>
        <v>November</v>
      </c>
    </row>
    <row r="1535" spans="1:12" x14ac:dyDescent="0.25">
      <c r="A1535" t="s">
        <v>218</v>
      </c>
      <c r="C1535" t="s">
        <v>265</v>
      </c>
      <c r="D1535" t="str">
        <f t="shared" si="115"/>
        <v>Planes</v>
      </c>
      <c r="E1535" t="s">
        <v>326</v>
      </c>
      <c r="F1535" s="5">
        <v>2008.44</v>
      </c>
      <c r="G1535" s="5">
        <v>401.68799999999999</v>
      </c>
      <c r="I1535" t="str">
        <f t="shared" si="116"/>
        <v>Low Sales</v>
      </c>
      <c r="J1535" t="str">
        <f t="shared" si="117"/>
        <v>Average Performance</v>
      </c>
      <c r="K1535">
        <f t="shared" si="118"/>
        <v>2004</v>
      </c>
      <c r="L1535" t="str">
        <f t="shared" si="119"/>
        <v>December</v>
      </c>
    </row>
    <row r="1536" spans="1:12" x14ac:dyDescent="0.25">
      <c r="A1536" t="s">
        <v>65</v>
      </c>
      <c r="B1536" t="s">
        <v>259</v>
      </c>
      <c r="C1536" t="s">
        <v>265</v>
      </c>
      <c r="D1536" t="str">
        <f t="shared" si="115"/>
        <v>Planes</v>
      </c>
      <c r="E1536" t="s">
        <v>326</v>
      </c>
      <c r="F1536" s="5">
        <v>4328.6000000000004</v>
      </c>
      <c r="G1536" s="5">
        <v>865.72000000000014</v>
      </c>
      <c r="I1536" t="str">
        <f t="shared" si="116"/>
        <v>Low Sales</v>
      </c>
      <c r="J1536" t="str">
        <f t="shared" si="117"/>
        <v>Average Performance</v>
      </c>
      <c r="K1536">
        <f t="shared" si="118"/>
        <v>2005</v>
      </c>
      <c r="L1536" t="str">
        <f t="shared" si="119"/>
        <v>February</v>
      </c>
    </row>
    <row r="1537" spans="1:12" x14ac:dyDescent="0.25">
      <c r="A1537" t="s">
        <v>202</v>
      </c>
      <c r="B1537" t="s">
        <v>258</v>
      </c>
      <c r="C1537" t="s">
        <v>265</v>
      </c>
      <c r="D1537" t="str">
        <f t="shared" si="115"/>
        <v>Planes</v>
      </c>
      <c r="E1537" t="s">
        <v>326</v>
      </c>
      <c r="F1537" s="5">
        <v>1376.43</v>
      </c>
      <c r="G1537" s="5">
        <v>275.286</v>
      </c>
      <c r="I1537" t="str">
        <f t="shared" si="116"/>
        <v>Low Sales</v>
      </c>
      <c r="J1537" t="str">
        <f t="shared" si="117"/>
        <v>Average Performance</v>
      </c>
      <c r="K1537">
        <f t="shared" si="118"/>
        <v>2005</v>
      </c>
      <c r="L1537" t="str">
        <f t="shared" si="119"/>
        <v>March</v>
      </c>
    </row>
    <row r="1538" spans="1:12" x14ac:dyDescent="0.25">
      <c r="A1538" t="s">
        <v>203</v>
      </c>
      <c r="B1538" t="s">
        <v>258</v>
      </c>
      <c r="C1538" t="s">
        <v>265</v>
      </c>
      <c r="D1538" t="str">
        <f t="shared" si="115"/>
        <v>Planes</v>
      </c>
      <c r="E1538" t="s">
        <v>326</v>
      </c>
      <c r="F1538" s="5">
        <v>5552.16</v>
      </c>
      <c r="G1538" s="5">
        <v>1110.432</v>
      </c>
      <c r="I1538" t="str">
        <f t="shared" si="116"/>
        <v>Low Sales</v>
      </c>
      <c r="J1538" t="str">
        <f t="shared" si="117"/>
        <v>Average Performance</v>
      </c>
      <c r="K1538">
        <f t="shared" si="118"/>
        <v>2005</v>
      </c>
      <c r="L1538" t="str">
        <f t="shared" si="119"/>
        <v>March</v>
      </c>
    </row>
    <row r="1539" spans="1:12" x14ac:dyDescent="0.25">
      <c r="A1539" t="s">
        <v>219</v>
      </c>
      <c r="C1539" t="s">
        <v>265</v>
      </c>
      <c r="D1539" t="str">
        <f t="shared" ref="D1539:D1602" si="120">PROPER(TRIM(C1539))</f>
        <v>Planes</v>
      </c>
      <c r="E1539" t="s">
        <v>326</v>
      </c>
      <c r="F1539" s="5">
        <v>3659.02</v>
      </c>
      <c r="G1539" s="5">
        <v>731.80400000000009</v>
      </c>
      <c r="I1539" t="str">
        <f t="shared" ref="I1539:I1602" si="121">IF(F1539&gt;50000,"High Sales","Low Sales")</f>
        <v>Low Sales</v>
      </c>
      <c r="J1539" t="str">
        <f t="shared" ref="J1539:J1602" si="122">IF(AND(F1539&gt;30000,G1539&gt;5000),"Good Performance","Average Performance")</f>
        <v>Average Performance</v>
      </c>
      <c r="K1539">
        <f t="shared" ref="K1539:K1602" si="123">YEAR(A1539)</f>
        <v>2005</v>
      </c>
      <c r="L1539" t="str">
        <f t="shared" ref="L1539:L1602" si="124">TEXT(A1539,"mmmm")</f>
        <v>April</v>
      </c>
    </row>
    <row r="1540" spans="1:12" x14ac:dyDescent="0.25">
      <c r="A1540" t="s">
        <v>204</v>
      </c>
      <c r="B1540" t="s">
        <v>258</v>
      </c>
      <c r="C1540" t="s">
        <v>265</v>
      </c>
      <c r="D1540" t="str">
        <f t="shared" si="120"/>
        <v>Planes</v>
      </c>
      <c r="E1540" t="s">
        <v>326</v>
      </c>
      <c r="F1540" s="5">
        <v>4165.6099999999997</v>
      </c>
      <c r="G1540" s="5">
        <v>833.12199999999996</v>
      </c>
      <c r="I1540" t="str">
        <f t="shared" si="121"/>
        <v>Low Sales</v>
      </c>
      <c r="J1540" t="str">
        <f t="shared" si="122"/>
        <v>Average Performance</v>
      </c>
      <c r="K1540">
        <f t="shared" si="123"/>
        <v>2005</v>
      </c>
      <c r="L1540" t="str">
        <f t="shared" si="124"/>
        <v>May</v>
      </c>
    </row>
    <row r="1541" spans="1:12" x14ac:dyDescent="0.25">
      <c r="A1541" t="s">
        <v>212</v>
      </c>
      <c r="B1541" t="s">
        <v>258</v>
      </c>
      <c r="C1541" t="s">
        <v>264</v>
      </c>
      <c r="D1541" t="str">
        <f t="shared" si="120"/>
        <v>Vintage Cars</v>
      </c>
      <c r="E1541" t="s">
        <v>327</v>
      </c>
      <c r="F1541" s="5">
        <v>1404</v>
      </c>
      <c r="G1541" s="5">
        <v>280.8</v>
      </c>
      <c r="I1541" t="str">
        <f t="shared" si="121"/>
        <v>Low Sales</v>
      </c>
      <c r="J1541" t="str">
        <f t="shared" si="122"/>
        <v>Average Performance</v>
      </c>
      <c r="K1541">
        <f t="shared" si="123"/>
        <v>2003</v>
      </c>
      <c r="L1541" t="str">
        <f t="shared" si="124"/>
        <v>January</v>
      </c>
    </row>
    <row r="1542" spans="1:12" x14ac:dyDescent="0.25">
      <c r="A1542" t="s">
        <v>184</v>
      </c>
      <c r="B1542" t="s">
        <v>258</v>
      </c>
      <c r="C1542" t="s">
        <v>264</v>
      </c>
      <c r="D1542" t="str">
        <f t="shared" si="120"/>
        <v>Vintage Cars</v>
      </c>
      <c r="E1542" t="s">
        <v>327</v>
      </c>
      <c r="F1542" s="5">
        <v>710.2</v>
      </c>
      <c r="G1542" s="5">
        <v>142.04</v>
      </c>
      <c r="I1542" t="str">
        <f t="shared" si="121"/>
        <v>Low Sales</v>
      </c>
      <c r="J1542" t="str">
        <f t="shared" si="122"/>
        <v>Average Performance</v>
      </c>
      <c r="K1542">
        <f t="shared" si="123"/>
        <v>2003</v>
      </c>
      <c r="L1542" t="str">
        <f t="shared" si="124"/>
        <v>March</v>
      </c>
    </row>
    <row r="1543" spans="1:12" x14ac:dyDescent="0.25">
      <c r="A1543" t="s">
        <v>172</v>
      </c>
      <c r="C1543" t="s">
        <v>264</v>
      </c>
      <c r="D1543" t="str">
        <f t="shared" si="120"/>
        <v>Vintage Cars</v>
      </c>
      <c r="E1543" t="s">
        <v>327</v>
      </c>
      <c r="F1543" s="5">
        <v>1702.8</v>
      </c>
      <c r="G1543" s="5">
        <v>340.56</v>
      </c>
      <c r="I1543" t="str">
        <f t="shared" si="121"/>
        <v>Low Sales</v>
      </c>
      <c r="J1543" t="str">
        <f t="shared" si="122"/>
        <v>Average Performance</v>
      </c>
      <c r="K1543">
        <f t="shared" si="123"/>
        <v>2003</v>
      </c>
      <c r="L1543" t="str">
        <f t="shared" si="124"/>
        <v>May</v>
      </c>
    </row>
    <row r="1544" spans="1:12" x14ac:dyDescent="0.25">
      <c r="A1544" t="s">
        <v>174</v>
      </c>
      <c r="C1544" t="s">
        <v>264</v>
      </c>
      <c r="D1544" t="str">
        <f t="shared" si="120"/>
        <v>Vintage Cars</v>
      </c>
      <c r="E1544" t="s">
        <v>327</v>
      </c>
      <c r="F1544" s="5">
        <v>1194.8399999999999</v>
      </c>
      <c r="G1544" s="5">
        <v>238.96799999999999</v>
      </c>
      <c r="I1544" t="str">
        <f t="shared" si="121"/>
        <v>Low Sales</v>
      </c>
      <c r="J1544" t="str">
        <f t="shared" si="122"/>
        <v>Average Performance</v>
      </c>
      <c r="K1544">
        <f t="shared" si="123"/>
        <v>2003</v>
      </c>
      <c r="L1544" t="str">
        <f t="shared" si="124"/>
        <v>September</v>
      </c>
    </row>
    <row r="1545" spans="1:12" x14ac:dyDescent="0.25">
      <c r="A1545" t="s">
        <v>175</v>
      </c>
      <c r="C1545" t="s">
        <v>264</v>
      </c>
      <c r="D1545" t="str">
        <f t="shared" si="120"/>
        <v>Vintage Cars</v>
      </c>
      <c r="E1545" t="s">
        <v>327</v>
      </c>
      <c r="F1545" s="5">
        <v>1007.14</v>
      </c>
      <c r="G1545" s="5">
        <v>201.428</v>
      </c>
      <c r="I1545" t="str">
        <f t="shared" si="121"/>
        <v>Low Sales</v>
      </c>
      <c r="J1545" t="str">
        <f t="shared" si="122"/>
        <v>Average Performance</v>
      </c>
      <c r="K1545">
        <f t="shared" si="123"/>
        <v>2003</v>
      </c>
      <c r="L1545" t="str">
        <f t="shared" si="124"/>
        <v>October</v>
      </c>
    </row>
    <row r="1546" spans="1:12" x14ac:dyDescent="0.25">
      <c r="A1546" t="s">
        <v>161</v>
      </c>
      <c r="B1546" t="s">
        <v>258</v>
      </c>
      <c r="C1546" t="s">
        <v>264</v>
      </c>
      <c r="D1546" t="str">
        <f t="shared" si="120"/>
        <v>Vintage Cars</v>
      </c>
      <c r="E1546" t="s">
        <v>327</v>
      </c>
      <c r="F1546" s="5">
        <v>977.43</v>
      </c>
      <c r="G1546" s="5">
        <v>195.48599999999999</v>
      </c>
      <c r="I1546" t="str">
        <f t="shared" si="121"/>
        <v>Low Sales</v>
      </c>
      <c r="J1546" t="str">
        <f t="shared" si="122"/>
        <v>Average Performance</v>
      </c>
      <c r="K1546">
        <f t="shared" si="123"/>
        <v>2003</v>
      </c>
      <c r="L1546" t="str">
        <f t="shared" si="124"/>
        <v>November</v>
      </c>
    </row>
    <row r="1547" spans="1:12" x14ac:dyDescent="0.25">
      <c r="A1547" t="s">
        <v>109</v>
      </c>
      <c r="C1547" t="s">
        <v>264</v>
      </c>
      <c r="D1547" t="str">
        <f t="shared" si="120"/>
        <v>Vintage Cars</v>
      </c>
      <c r="E1547" t="s">
        <v>327</v>
      </c>
      <c r="F1547" s="5">
        <v>1436.76</v>
      </c>
      <c r="G1547" s="5">
        <v>287.35199999999998</v>
      </c>
      <c r="I1547" t="str">
        <f t="shared" si="121"/>
        <v>Low Sales</v>
      </c>
      <c r="J1547" t="str">
        <f t="shared" si="122"/>
        <v>Average Performance</v>
      </c>
      <c r="K1547">
        <f t="shared" si="123"/>
        <v>2003</v>
      </c>
      <c r="L1547" t="str">
        <f t="shared" si="124"/>
        <v>November</v>
      </c>
    </row>
    <row r="1548" spans="1:12" x14ac:dyDescent="0.25">
      <c r="A1548" t="s">
        <v>176</v>
      </c>
      <c r="B1548" t="s">
        <v>259</v>
      </c>
      <c r="C1548" t="s">
        <v>264</v>
      </c>
      <c r="D1548" t="str">
        <f t="shared" si="120"/>
        <v>Vintage Cars</v>
      </c>
      <c r="E1548" t="s">
        <v>327</v>
      </c>
      <c r="F1548" s="5">
        <v>759.46</v>
      </c>
      <c r="G1548" s="5">
        <v>151.892</v>
      </c>
      <c r="I1548" t="str">
        <f t="shared" si="121"/>
        <v>Low Sales</v>
      </c>
      <c r="J1548" t="str">
        <f t="shared" si="122"/>
        <v>Average Performance</v>
      </c>
      <c r="K1548">
        <f t="shared" si="123"/>
        <v>2003</v>
      </c>
      <c r="L1548" t="str">
        <f t="shared" si="124"/>
        <v>November</v>
      </c>
    </row>
    <row r="1549" spans="1:12" x14ac:dyDescent="0.25">
      <c r="A1549" t="s">
        <v>177</v>
      </c>
      <c r="B1549" t="s">
        <v>258</v>
      </c>
      <c r="C1549" t="s">
        <v>264</v>
      </c>
      <c r="D1549" t="str">
        <f t="shared" si="120"/>
        <v>Vintage Cars</v>
      </c>
      <c r="E1549" t="s">
        <v>327</v>
      </c>
      <c r="F1549" s="5">
        <v>1189.44</v>
      </c>
      <c r="G1549" s="5">
        <v>237.88800000000001</v>
      </c>
      <c r="I1549" t="str">
        <f t="shared" si="121"/>
        <v>Low Sales</v>
      </c>
      <c r="J1549" t="str">
        <f t="shared" si="122"/>
        <v>Average Performance</v>
      </c>
      <c r="K1549">
        <f t="shared" si="123"/>
        <v>2003</v>
      </c>
      <c r="L1549" t="str">
        <f t="shared" si="124"/>
        <v>December</v>
      </c>
    </row>
    <row r="1550" spans="1:12" x14ac:dyDescent="0.25">
      <c r="A1550" t="s">
        <v>206</v>
      </c>
      <c r="B1550" t="s">
        <v>258</v>
      </c>
      <c r="C1550" t="s">
        <v>264</v>
      </c>
      <c r="D1550" t="str">
        <f t="shared" si="120"/>
        <v>Vintage Cars</v>
      </c>
      <c r="E1550" t="s">
        <v>327</v>
      </c>
      <c r="F1550" s="5">
        <v>683.8</v>
      </c>
      <c r="G1550" s="5">
        <v>136.76</v>
      </c>
      <c r="I1550" t="str">
        <f t="shared" si="121"/>
        <v>Low Sales</v>
      </c>
      <c r="J1550" t="str">
        <f t="shared" si="122"/>
        <v>Average Performance</v>
      </c>
      <c r="K1550">
        <f t="shared" si="123"/>
        <v>2004</v>
      </c>
      <c r="L1550" t="str">
        <f t="shared" si="124"/>
        <v>January</v>
      </c>
    </row>
    <row r="1551" spans="1:12" x14ac:dyDescent="0.25">
      <c r="A1551" t="s">
        <v>178</v>
      </c>
      <c r="B1551" t="s">
        <v>258</v>
      </c>
      <c r="C1551" t="s">
        <v>264</v>
      </c>
      <c r="D1551" t="str">
        <f t="shared" si="120"/>
        <v>Vintage Cars</v>
      </c>
      <c r="E1551" t="s">
        <v>327</v>
      </c>
      <c r="F1551" s="5">
        <v>1226.82</v>
      </c>
      <c r="G1551" s="5">
        <v>245.364</v>
      </c>
      <c r="I1551" t="str">
        <f t="shared" si="121"/>
        <v>Low Sales</v>
      </c>
      <c r="J1551" t="str">
        <f t="shared" si="122"/>
        <v>Average Performance</v>
      </c>
      <c r="K1551">
        <f t="shared" si="123"/>
        <v>2004</v>
      </c>
      <c r="L1551" t="str">
        <f t="shared" si="124"/>
        <v>March</v>
      </c>
    </row>
    <row r="1552" spans="1:12" x14ac:dyDescent="0.25">
      <c r="A1552" t="s">
        <v>213</v>
      </c>
      <c r="C1552" t="s">
        <v>264</v>
      </c>
      <c r="D1552" t="str">
        <f t="shared" si="120"/>
        <v>Vintage Cars</v>
      </c>
      <c r="E1552" t="s">
        <v>327</v>
      </c>
      <c r="F1552" s="5">
        <v>974.82</v>
      </c>
      <c r="G1552" s="5">
        <v>194.964</v>
      </c>
      <c r="I1552" t="str">
        <f t="shared" si="121"/>
        <v>Low Sales</v>
      </c>
      <c r="J1552" t="str">
        <f t="shared" si="122"/>
        <v>Average Performance</v>
      </c>
      <c r="K1552">
        <f t="shared" si="123"/>
        <v>2004</v>
      </c>
      <c r="L1552" t="str">
        <f t="shared" si="124"/>
        <v>April</v>
      </c>
    </row>
    <row r="1553" spans="1:12" x14ac:dyDescent="0.25">
      <c r="A1553" t="s">
        <v>47</v>
      </c>
      <c r="B1553" t="s">
        <v>258</v>
      </c>
      <c r="C1553" t="s">
        <v>264</v>
      </c>
      <c r="D1553" t="str">
        <f t="shared" si="120"/>
        <v>Vintage Cars</v>
      </c>
      <c r="E1553" t="s">
        <v>327</v>
      </c>
      <c r="F1553" s="5">
        <v>577.6</v>
      </c>
      <c r="G1553" s="5">
        <v>115.52</v>
      </c>
      <c r="I1553" t="str">
        <f t="shared" si="121"/>
        <v>Low Sales</v>
      </c>
      <c r="J1553" t="str">
        <f t="shared" si="122"/>
        <v>Average Performance</v>
      </c>
      <c r="K1553">
        <f t="shared" si="123"/>
        <v>2004</v>
      </c>
      <c r="L1553" t="str">
        <f t="shared" si="124"/>
        <v>August</v>
      </c>
    </row>
    <row r="1554" spans="1:12" x14ac:dyDescent="0.25">
      <c r="A1554" t="s">
        <v>188</v>
      </c>
      <c r="B1554" t="s">
        <v>259</v>
      </c>
      <c r="C1554" t="s">
        <v>264</v>
      </c>
      <c r="D1554" t="str">
        <f t="shared" si="120"/>
        <v>Vintage Cars</v>
      </c>
      <c r="E1554" t="s">
        <v>327</v>
      </c>
      <c r="F1554" s="5">
        <v>1106.93</v>
      </c>
      <c r="G1554" s="5">
        <v>221.386</v>
      </c>
      <c r="I1554" t="str">
        <f t="shared" si="121"/>
        <v>Low Sales</v>
      </c>
      <c r="J1554" t="str">
        <f t="shared" si="122"/>
        <v>Average Performance</v>
      </c>
      <c r="K1554">
        <f t="shared" si="123"/>
        <v>2004</v>
      </c>
      <c r="L1554" t="str">
        <f t="shared" si="124"/>
        <v>September</v>
      </c>
    </row>
    <row r="1555" spans="1:12" x14ac:dyDescent="0.25">
      <c r="A1555" t="s">
        <v>49</v>
      </c>
      <c r="B1555" t="s">
        <v>258</v>
      </c>
      <c r="C1555" t="s">
        <v>264</v>
      </c>
      <c r="D1555" t="str">
        <f t="shared" si="120"/>
        <v>Vintage Cars</v>
      </c>
      <c r="E1555" t="s">
        <v>327</v>
      </c>
      <c r="F1555" s="5">
        <v>694.6</v>
      </c>
      <c r="G1555" s="5">
        <v>138.91999999999999</v>
      </c>
      <c r="I1555" t="str">
        <f t="shared" si="121"/>
        <v>Low Sales</v>
      </c>
      <c r="J1555" t="str">
        <f t="shared" si="122"/>
        <v>Average Performance</v>
      </c>
      <c r="K1555">
        <f t="shared" si="123"/>
        <v>2004</v>
      </c>
      <c r="L1555" t="str">
        <f t="shared" si="124"/>
        <v>October</v>
      </c>
    </row>
    <row r="1556" spans="1:12" x14ac:dyDescent="0.25">
      <c r="A1556" t="s">
        <v>50</v>
      </c>
      <c r="C1556" t="s">
        <v>264</v>
      </c>
      <c r="D1556" t="str">
        <f t="shared" si="120"/>
        <v>Vintage Cars</v>
      </c>
      <c r="E1556" t="s">
        <v>327</v>
      </c>
      <c r="F1556" s="5">
        <v>1152.06</v>
      </c>
      <c r="G1556" s="5">
        <v>230.41200000000001</v>
      </c>
      <c r="I1556" t="str">
        <f t="shared" si="121"/>
        <v>Low Sales</v>
      </c>
      <c r="J1556" t="str">
        <f t="shared" si="122"/>
        <v>Average Performance</v>
      </c>
      <c r="K1556">
        <f t="shared" si="123"/>
        <v>2004</v>
      </c>
      <c r="L1556" t="str">
        <f t="shared" si="124"/>
        <v>October</v>
      </c>
    </row>
    <row r="1557" spans="1:12" x14ac:dyDescent="0.25">
      <c r="A1557" t="s">
        <v>51</v>
      </c>
      <c r="C1557" t="s">
        <v>264</v>
      </c>
      <c r="D1557" t="str">
        <f t="shared" si="120"/>
        <v>Vintage Cars</v>
      </c>
      <c r="E1557" t="s">
        <v>327</v>
      </c>
      <c r="F1557" s="5">
        <v>2624</v>
      </c>
      <c r="G1557" s="5">
        <v>524.80000000000007</v>
      </c>
      <c r="I1557" t="str">
        <f t="shared" si="121"/>
        <v>Low Sales</v>
      </c>
      <c r="J1557" t="str">
        <f t="shared" si="122"/>
        <v>Average Performance</v>
      </c>
      <c r="K1557">
        <f t="shared" si="123"/>
        <v>2004</v>
      </c>
      <c r="L1557" t="str">
        <f t="shared" si="124"/>
        <v>November</v>
      </c>
    </row>
    <row r="1558" spans="1:12" x14ac:dyDescent="0.25">
      <c r="A1558" t="s">
        <v>165</v>
      </c>
      <c r="B1558" t="s">
        <v>258</v>
      </c>
      <c r="C1558" t="s">
        <v>264</v>
      </c>
      <c r="D1558" t="str">
        <f t="shared" si="120"/>
        <v>Vintage Cars</v>
      </c>
      <c r="E1558" t="s">
        <v>327</v>
      </c>
      <c r="F1558" s="5">
        <v>3685.95</v>
      </c>
      <c r="G1558" s="5">
        <v>737.19</v>
      </c>
      <c r="I1558" t="str">
        <f t="shared" si="121"/>
        <v>Low Sales</v>
      </c>
      <c r="J1558" t="str">
        <f t="shared" si="122"/>
        <v>Average Performance</v>
      </c>
      <c r="K1558">
        <f t="shared" si="123"/>
        <v>2004</v>
      </c>
      <c r="L1558" t="str">
        <f t="shared" si="124"/>
        <v>November</v>
      </c>
    </row>
    <row r="1559" spans="1:12" x14ac:dyDescent="0.25">
      <c r="A1559" t="s">
        <v>207</v>
      </c>
      <c r="B1559" t="s">
        <v>258</v>
      </c>
      <c r="C1559" t="s">
        <v>264</v>
      </c>
      <c r="D1559" t="str">
        <f t="shared" si="120"/>
        <v>Vintage Cars</v>
      </c>
      <c r="E1559" t="s">
        <v>327</v>
      </c>
      <c r="F1559" s="5">
        <v>703.6</v>
      </c>
      <c r="G1559" s="5">
        <v>140.72</v>
      </c>
      <c r="I1559" t="str">
        <f t="shared" si="121"/>
        <v>Low Sales</v>
      </c>
      <c r="J1559" t="str">
        <f t="shared" si="122"/>
        <v>Average Performance</v>
      </c>
      <c r="K1559">
        <f t="shared" si="123"/>
        <v>2004</v>
      </c>
      <c r="L1559" t="str">
        <f t="shared" si="124"/>
        <v>November</v>
      </c>
    </row>
    <row r="1560" spans="1:12" x14ac:dyDescent="0.25">
      <c r="A1560" t="s">
        <v>166</v>
      </c>
      <c r="B1560" t="s">
        <v>258</v>
      </c>
      <c r="C1560" t="s">
        <v>264</v>
      </c>
      <c r="D1560" t="str">
        <f t="shared" si="120"/>
        <v>Vintage Cars</v>
      </c>
      <c r="E1560" t="s">
        <v>327</v>
      </c>
      <c r="F1560" s="5">
        <v>9720</v>
      </c>
      <c r="G1560" s="5">
        <v>1944</v>
      </c>
      <c r="I1560" t="str">
        <f t="shared" si="121"/>
        <v>Low Sales</v>
      </c>
      <c r="J1560" t="str">
        <f t="shared" si="122"/>
        <v>Average Performance</v>
      </c>
      <c r="K1560">
        <f t="shared" si="123"/>
        <v>2004</v>
      </c>
      <c r="L1560" t="str">
        <f t="shared" si="124"/>
        <v>December</v>
      </c>
    </row>
    <row r="1561" spans="1:12" x14ac:dyDescent="0.25">
      <c r="A1561" t="s">
        <v>189</v>
      </c>
      <c r="C1561" t="s">
        <v>264</v>
      </c>
      <c r="D1561" t="str">
        <f t="shared" si="120"/>
        <v>Vintage Cars</v>
      </c>
      <c r="E1561" t="s">
        <v>327</v>
      </c>
      <c r="F1561" s="5">
        <v>834.67</v>
      </c>
      <c r="G1561" s="5">
        <v>166.934</v>
      </c>
      <c r="I1561" t="str">
        <f t="shared" si="121"/>
        <v>Low Sales</v>
      </c>
      <c r="J1561" t="str">
        <f t="shared" si="122"/>
        <v>Average Performance</v>
      </c>
      <c r="K1561">
        <f t="shared" si="123"/>
        <v>2005</v>
      </c>
      <c r="L1561" t="str">
        <f t="shared" si="124"/>
        <v>January</v>
      </c>
    </row>
    <row r="1562" spans="1:12" x14ac:dyDescent="0.25">
      <c r="A1562" t="s">
        <v>182</v>
      </c>
      <c r="B1562" t="s">
        <v>258</v>
      </c>
      <c r="C1562" t="s">
        <v>264</v>
      </c>
      <c r="D1562" t="str">
        <f t="shared" si="120"/>
        <v>Vintage Cars</v>
      </c>
      <c r="E1562" t="s">
        <v>327</v>
      </c>
      <c r="F1562" s="5">
        <v>2257.92</v>
      </c>
      <c r="G1562" s="5">
        <v>451.58400000000012</v>
      </c>
      <c r="I1562" t="str">
        <f t="shared" si="121"/>
        <v>Low Sales</v>
      </c>
      <c r="J1562" t="str">
        <f t="shared" si="122"/>
        <v>Average Performance</v>
      </c>
      <c r="K1562">
        <f t="shared" si="123"/>
        <v>2005</v>
      </c>
      <c r="L1562" t="str">
        <f t="shared" si="124"/>
        <v>February</v>
      </c>
    </row>
    <row r="1563" spans="1:12" x14ac:dyDescent="0.25">
      <c r="A1563" t="s">
        <v>57</v>
      </c>
      <c r="B1563" t="s">
        <v>259</v>
      </c>
      <c r="C1563" t="s">
        <v>264</v>
      </c>
      <c r="D1563" t="str">
        <f t="shared" si="120"/>
        <v>Vintage Cars</v>
      </c>
      <c r="E1563" t="s">
        <v>327</v>
      </c>
      <c r="F1563" s="5">
        <v>8344.7099999999991</v>
      </c>
      <c r="G1563" s="5">
        <v>1668.942</v>
      </c>
      <c r="I1563" t="str">
        <f t="shared" si="121"/>
        <v>Low Sales</v>
      </c>
      <c r="J1563" t="str">
        <f t="shared" si="122"/>
        <v>Average Performance</v>
      </c>
      <c r="K1563">
        <f t="shared" si="123"/>
        <v>2005</v>
      </c>
      <c r="L1563" t="str">
        <f t="shared" si="124"/>
        <v>March</v>
      </c>
    </row>
    <row r="1564" spans="1:12" x14ac:dyDescent="0.25">
      <c r="A1564" t="s">
        <v>214</v>
      </c>
      <c r="B1564" t="s">
        <v>259</v>
      </c>
      <c r="C1564" t="s">
        <v>264</v>
      </c>
      <c r="D1564" t="str">
        <f t="shared" si="120"/>
        <v>Vintage Cars</v>
      </c>
      <c r="E1564" t="s">
        <v>327</v>
      </c>
      <c r="F1564" s="5">
        <v>1801.94</v>
      </c>
      <c r="G1564" s="5">
        <v>360.38799999999998</v>
      </c>
      <c r="I1564" t="str">
        <f t="shared" si="121"/>
        <v>Low Sales</v>
      </c>
      <c r="J1564" t="str">
        <f t="shared" si="122"/>
        <v>Average Performance</v>
      </c>
      <c r="K1564">
        <f t="shared" si="123"/>
        <v>2005</v>
      </c>
      <c r="L1564" t="str">
        <f t="shared" si="124"/>
        <v>April</v>
      </c>
    </row>
    <row r="1565" spans="1:12" x14ac:dyDescent="0.25">
      <c r="A1565" t="s">
        <v>208</v>
      </c>
      <c r="B1565" t="s">
        <v>259</v>
      </c>
      <c r="C1565" t="s">
        <v>264</v>
      </c>
      <c r="D1565" t="str">
        <f t="shared" si="120"/>
        <v>Vintage Cars</v>
      </c>
      <c r="E1565" t="s">
        <v>327</v>
      </c>
      <c r="F1565" s="5">
        <v>1209.5999999999999</v>
      </c>
      <c r="G1565" s="5">
        <v>241.92</v>
      </c>
      <c r="I1565" t="str">
        <f t="shared" si="121"/>
        <v>Low Sales</v>
      </c>
      <c r="J1565" t="str">
        <f t="shared" si="122"/>
        <v>Average Performance</v>
      </c>
      <c r="K1565">
        <f t="shared" si="123"/>
        <v>2005</v>
      </c>
      <c r="L1565" t="str">
        <f t="shared" si="124"/>
        <v>May</v>
      </c>
    </row>
    <row r="1566" spans="1:12" x14ac:dyDescent="0.25">
      <c r="A1566" t="s">
        <v>6</v>
      </c>
      <c r="C1566" t="s">
        <v>261</v>
      </c>
      <c r="D1566" t="str">
        <f t="shared" si="120"/>
        <v>Motorcycles</v>
      </c>
      <c r="E1566" t="s">
        <v>328</v>
      </c>
      <c r="F1566" s="5">
        <v>3155.14</v>
      </c>
      <c r="G1566" s="5">
        <v>631.02800000000002</v>
      </c>
      <c r="I1566" t="str">
        <f t="shared" si="121"/>
        <v>Low Sales</v>
      </c>
      <c r="J1566" t="str">
        <f t="shared" si="122"/>
        <v>Average Performance</v>
      </c>
      <c r="K1566">
        <f t="shared" si="123"/>
        <v>2003</v>
      </c>
      <c r="L1566" t="str">
        <f t="shared" si="124"/>
        <v>February</v>
      </c>
    </row>
    <row r="1567" spans="1:12" x14ac:dyDescent="0.25">
      <c r="A1567" t="s">
        <v>60</v>
      </c>
      <c r="B1567" t="s">
        <v>259</v>
      </c>
      <c r="C1567" t="s">
        <v>261</v>
      </c>
      <c r="D1567" t="str">
        <f t="shared" si="120"/>
        <v>Motorcycles</v>
      </c>
      <c r="E1567" t="s">
        <v>328</v>
      </c>
      <c r="F1567" s="5">
        <v>2848.86</v>
      </c>
      <c r="G1567" s="5">
        <v>569.77200000000005</v>
      </c>
      <c r="I1567" t="str">
        <f t="shared" si="121"/>
        <v>Low Sales</v>
      </c>
      <c r="J1567" t="str">
        <f t="shared" si="122"/>
        <v>Average Performance</v>
      </c>
      <c r="K1567">
        <f t="shared" si="123"/>
        <v>2003</v>
      </c>
      <c r="L1567" t="str">
        <f t="shared" si="124"/>
        <v>April</v>
      </c>
    </row>
    <row r="1568" spans="1:12" x14ac:dyDescent="0.25">
      <c r="A1568" t="s">
        <v>8</v>
      </c>
      <c r="B1568" t="s">
        <v>258</v>
      </c>
      <c r="C1568" t="s">
        <v>261</v>
      </c>
      <c r="D1568" t="str">
        <f t="shared" si="120"/>
        <v>Motorcycles</v>
      </c>
      <c r="E1568" t="s">
        <v>328</v>
      </c>
      <c r="F1568" s="5">
        <v>3570.29</v>
      </c>
      <c r="G1568" s="5">
        <v>714.05799999999999</v>
      </c>
      <c r="I1568" t="str">
        <f t="shared" si="121"/>
        <v>Low Sales</v>
      </c>
      <c r="J1568" t="str">
        <f t="shared" si="122"/>
        <v>Average Performance</v>
      </c>
      <c r="K1568">
        <f t="shared" si="123"/>
        <v>2003</v>
      </c>
      <c r="L1568" t="str">
        <f t="shared" si="124"/>
        <v>July</v>
      </c>
    </row>
    <row r="1569" spans="1:12" x14ac:dyDescent="0.25">
      <c r="A1569" t="s">
        <v>9</v>
      </c>
      <c r="C1569" t="s">
        <v>261</v>
      </c>
      <c r="D1569" t="str">
        <f t="shared" si="120"/>
        <v>Motorcycles</v>
      </c>
      <c r="E1569" t="s">
        <v>328</v>
      </c>
      <c r="F1569" s="5">
        <v>3902.41</v>
      </c>
      <c r="G1569" s="5">
        <v>780.48199999999997</v>
      </c>
      <c r="I1569" t="str">
        <f t="shared" si="121"/>
        <v>Low Sales</v>
      </c>
      <c r="J1569" t="str">
        <f t="shared" si="122"/>
        <v>Average Performance</v>
      </c>
      <c r="K1569">
        <f t="shared" si="123"/>
        <v>2003</v>
      </c>
      <c r="L1569" t="str">
        <f t="shared" si="124"/>
        <v>August</v>
      </c>
    </row>
    <row r="1570" spans="1:12" x14ac:dyDescent="0.25">
      <c r="A1570" t="s">
        <v>10</v>
      </c>
      <c r="B1570" t="s">
        <v>258</v>
      </c>
      <c r="C1570" t="s">
        <v>261</v>
      </c>
      <c r="D1570" t="str">
        <f t="shared" si="120"/>
        <v>Motorcycles</v>
      </c>
      <c r="E1570" t="s">
        <v>328</v>
      </c>
      <c r="F1570" s="5">
        <v>1474.66</v>
      </c>
      <c r="G1570" s="5">
        <v>294.93200000000002</v>
      </c>
      <c r="I1570" t="str">
        <f t="shared" si="121"/>
        <v>Low Sales</v>
      </c>
      <c r="J1570" t="str">
        <f t="shared" si="122"/>
        <v>Average Performance</v>
      </c>
      <c r="K1570">
        <f t="shared" si="123"/>
        <v>2003</v>
      </c>
      <c r="L1570" t="str">
        <f t="shared" si="124"/>
        <v>October</v>
      </c>
    </row>
    <row r="1571" spans="1:12" x14ac:dyDescent="0.25">
      <c r="A1571" t="s">
        <v>11</v>
      </c>
      <c r="C1571" t="s">
        <v>261</v>
      </c>
      <c r="D1571" t="str">
        <f t="shared" si="120"/>
        <v>Motorcycles</v>
      </c>
      <c r="E1571" t="s">
        <v>328</v>
      </c>
      <c r="F1571" s="5">
        <v>2186.89</v>
      </c>
      <c r="G1571" s="5">
        <v>437.37799999999999</v>
      </c>
      <c r="I1571" t="str">
        <f t="shared" si="121"/>
        <v>Low Sales</v>
      </c>
      <c r="J1571" t="str">
        <f t="shared" si="122"/>
        <v>Average Performance</v>
      </c>
      <c r="K1571">
        <f t="shared" si="123"/>
        <v>2003</v>
      </c>
      <c r="L1571" t="str">
        <f t="shared" si="124"/>
        <v>October</v>
      </c>
    </row>
    <row r="1572" spans="1:12" x14ac:dyDescent="0.25">
      <c r="A1572" t="s">
        <v>12</v>
      </c>
      <c r="B1572" t="s">
        <v>258</v>
      </c>
      <c r="C1572" t="s">
        <v>261</v>
      </c>
      <c r="D1572" t="str">
        <f t="shared" si="120"/>
        <v>Motorcycles</v>
      </c>
      <c r="E1572" t="s">
        <v>328</v>
      </c>
      <c r="F1572" s="5">
        <v>1919.4</v>
      </c>
      <c r="G1572" s="5">
        <v>383.88000000000011</v>
      </c>
      <c r="I1572" t="str">
        <f t="shared" si="121"/>
        <v>Low Sales</v>
      </c>
      <c r="J1572" t="str">
        <f t="shared" si="122"/>
        <v>Average Performance</v>
      </c>
      <c r="K1572">
        <f t="shared" si="123"/>
        <v>2003</v>
      </c>
      <c r="L1572" t="str">
        <f t="shared" si="124"/>
        <v>November</v>
      </c>
    </row>
    <row r="1573" spans="1:12" x14ac:dyDescent="0.25">
      <c r="A1573" t="s">
        <v>13</v>
      </c>
      <c r="B1573" t="s">
        <v>258</v>
      </c>
      <c r="C1573" t="s">
        <v>261</v>
      </c>
      <c r="D1573" t="str">
        <f t="shared" si="120"/>
        <v>Motorcycles</v>
      </c>
      <c r="E1573" t="s">
        <v>328</v>
      </c>
      <c r="F1573" s="5">
        <v>3656</v>
      </c>
      <c r="G1573" s="5">
        <v>731.2</v>
      </c>
      <c r="I1573" t="str">
        <f t="shared" si="121"/>
        <v>Low Sales</v>
      </c>
      <c r="J1573" t="str">
        <f t="shared" si="122"/>
        <v>Average Performance</v>
      </c>
      <c r="K1573">
        <f t="shared" si="123"/>
        <v>2003</v>
      </c>
      <c r="L1573" t="str">
        <f t="shared" si="124"/>
        <v>November</v>
      </c>
    </row>
    <row r="1574" spans="1:12" x14ac:dyDescent="0.25">
      <c r="A1574" t="s">
        <v>14</v>
      </c>
      <c r="C1574" t="s">
        <v>261</v>
      </c>
      <c r="D1574" t="str">
        <f t="shared" si="120"/>
        <v>Motorcycles</v>
      </c>
      <c r="E1574" t="s">
        <v>328</v>
      </c>
      <c r="F1574" s="5">
        <v>1847</v>
      </c>
      <c r="G1574" s="5">
        <v>369.4</v>
      </c>
      <c r="I1574" t="str">
        <f t="shared" si="121"/>
        <v>Low Sales</v>
      </c>
      <c r="J1574" t="str">
        <f t="shared" si="122"/>
        <v>Average Performance</v>
      </c>
      <c r="K1574">
        <f t="shared" si="123"/>
        <v>2003</v>
      </c>
      <c r="L1574" t="str">
        <f t="shared" si="124"/>
        <v>December</v>
      </c>
    </row>
    <row r="1575" spans="1:12" x14ac:dyDescent="0.25">
      <c r="A1575" t="s">
        <v>61</v>
      </c>
      <c r="B1575" t="s">
        <v>260</v>
      </c>
      <c r="C1575" t="s">
        <v>261</v>
      </c>
      <c r="D1575" t="str">
        <f t="shared" si="120"/>
        <v>Motorcycles</v>
      </c>
      <c r="E1575" t="s">
        <v>328</v>
      </c>
      <c r="F1575" s="5">
        <v>1851</v>
      </c>
      <c r="G1575" s="5">
        <v>370.2</v>
      </c>
      <c r="I1575" t="str">
        <f t="shared" si="121"/>
        <v>Low Sales</v>
      </c>
      <c r="J1575" t="str">
        <f t="shared" si="122"/>
        <v>Average Performance</v>
      </c>
      <c r="K1575">
        <f t="shared" si="123"/>
        <v>2004</v>
      </c>
      <c r="L1575" t="str">
        <f t="shared" si="124"/>
        <v>January</v>
      </c>
    </row>
    <row r="1576" spans="1:12" x14ac:dyDescent="0.25">
      <c r="A1576" t="s">
        <v>16</v>
      </c>
      <c r="B1576" t="s">
        <v>259</v>
      </c>
      <c r="C1576" t="s">
        <v>261</v>
      </c>
      <c r="D1576" t="str">
        <f t="shared" si="120"/>
        <v>Motorcycles</v>
      </c>
      <c r="E1576" t="s">
        <v>328</v>
      </c>
      <c r="F1576" s="5">
        <v>2633.78</v>
      </c>
      <c r="G1576" s="5">
        <v>526.75600000000009</v>
      </c>
      <c r="I1576" t="str">
        <f t="shared" si="121"/>
        <v>Low Sales</v>
      </c>
      <c r="J1576" t="str">
        <f t="shared" si="122"/>
        <v>Average Performance</v>
      </c>
      <c r="K1576">
        <f t="shared" si="123"/>
        <v>2004</v>
      </c>
      <c r="L1576" t="str">
        <f t="shared" si="124"/>
        <v>February</v>
      </c>
    </row>
    <row r="1577" spans="1:12" x14ac:dyDescent="0.25">
      <c r="A1577" t="s">
        <v>62</v>
      </c>
      <c r="C1577" t="s">
        <v>261</v>
      </c>
      <c r="D1577" t="str">
        <f t="shared" si="120"/>
        <v>Motorcycles</v>
      </c>
      <c r="E1577" t="s">
        <v>328</v>
      </c>
      <c r="F1577" s="5">
        <v>3153.6</v>
      </c>
      <c r="G1577" s="5">
        <v>630.72</v>
      </c>
      <c r="I1577" t="str">
        <f t="shared" si="121"/>
        <v>Low Sales</v>
      </c>
      <c r="J1577" t="str">
        <f t="shared" si="122"/>
        <v>Average Performance</v>
      </c>
      <c r="K1577">
        <f t="shared" si="123"/>
        <v>2004</v>
      </c>
      <c r="L1577" t="str">
        <f t="shared" si="124"/>
        <v>April</v>
      </c>
    </row>
    <row r="1578" spans="1:12" x14ac:dyDescent="0.25">
      <c r="A1578" t="s">
        <v>195</v>
      </c>
      <c r="C1578" t="s">
        <v>261</v>
      </c>
      <c r="D1578" t="str">
        <f t="shared" si="120"/>
        <v>Motorcycles</v>
      </c>
      <c r="E1578" t="s">
        <v>328</v>
      </c>
      <c r="F1578" s="5">
        <v>2803.2</v>
      </c>
      <c r="G1578" s="5">
        <v>560.64</v>
      </c>
      <c r="I1578" t="str">
        <f t="shared" si="121"/>
        <v>Low Sales</v>
      </c>
      <c r="J1578" t="str">
        <f t="shared" si="122"/>
        <v>Average Performance</v>
      </c>
      <c r="K1578">
        <f t="shared" si="123"/>
        <v>2004</v>
      </c>
      <c r="L1578" t="str">
        <f t="shared" si="124"/>
        <v>May</v>
      </c>
    </row>
    <row r="1579" spans="1:12" x14ac:dyDescent="0.25">
      <c r="A1579" t="s">
        <v>19</v>
      </c>
      <c r="C1579" t="s">
        <v>261</v>
      </c>
      <c r="D1579" t="str">
        <f t="shared" si="120"/>
        <v>Motorcycles</v>
      </c>
      <c r="E1579" t="s">
        <v>328</v>
      </c>
      <c r="F1579" s="5">
        <v>2311.02</v>
      </c>
      <c r="G1579" s="5">
        <v>462.20400000000001</v>
      </c>
      <c r="I1579" t="str">
        <f t="shared" si="121"/>
        <v>Low Sales</v>
      </c>
      <c r="J1579" t="str">
        <f t="shared" si="122"/>
        <v>Average Performance</v>
      </c>
      <c r="K1579">
        <f t="shared" si="123"/>
        <v>2004</v>
      </c>
      <c r="L1579" t="str">
        <f t="shared" si="124"/>
        <v>June</v>
      </c>
    </row>
    <row r="1580" spans="1:12" x14ac:dyDescent="0.25">
      <c r="A1580" t="s">
        <v>20</v>
      </c>
      <c r="B1580" t="s">
        <v>258</v>
      </c>
      <c r="C1580" t="s">
        <v>261</v>
      </c>
      <c r="D1580" t="str">
        <f t="shared" si="120"/>
        <v>Motorcycles</v>
      </c>
      <c r="E1580" t="s">
        <v>328</v>
      </c>
      <c r="F1580" s="5">
        <v>2399.4</v>
      </c>
      <c r="G1580" s="5">
        <v>479.88000000000011</v>
      </c>
      <c r="I1580" t="str">
        <f t="shared" si="121"/>
        <v>Low Sales</v>
      </c>
      <c r="J1580" t="str">
        <f t="shared" si="122"/>
        <v>Average Performance</v>
      </c>
      <c r="K1580">
        <f t="shared" si="123"/>
        <v>2004</v>
      </c>
      <c r="L1580" t="str">
        <f t="shared" si="124"/>
        <v>July</v>
      </c>
    </row>
    <row r="1581" spans="1:12" x14ac:dyDescent="0.25">
      <c r="A1581" t="s">
        <v>21</v>
      </c>
      <c r="C1581" t="s">
        <v>261</v>
      </c>
      <c r="D1581" t="str">
        <f t="shared" si="120"/>
        <v>Motorcycles</v>
      </c>
      <c r="E1581" t="s">
        <v>328</v>
      </c>
      <c r="F1581" s="5">
        <v>2733.12</v>
      </c>
      <c r="G1581" s="5">
        <v>546.62400000000002</v>
      </c>
      <c r="I1581" t="str">
        <f t="shared" si="121"/>
        <v>Low Sales</v>
      </c>
      <c r="J1581" t="str">
        <f t="shared" si="122"/>
        <v>Average Performance</v>
      </c>
      <c r="K1581">
        <f t="shared" si="123"/>
        <v>2004</v>
      </c>
      <c r="L1581" t="str">
        <f t="shared" si="124"/>
        <v>August</v>
      </c>
    </row>
    <row r="1582" spans="1:12" x14ac:dyDescent="0.25">
      <c r="A1582" t="s">
        <v>217</v>
      </c>
      <c r="B1582" t="s">
        <v>258</v>
      </c>
      <c r="C1582" t="s">
        <v>261</v>
      </c>
      <c r="D1582" t="str">
        <f t="shared" si="120"/>
        <v>Motorcycles</v>
      </c>
      <c r="E1582" t="s">
        <v>328</v>
      </c>
      <c r="F1582" s="5">
        <v>2096.3200000000002</v>
      </c>
      <c r="G1582" s="5">
        <v>419.26400000000012</v>
      </c>
      <c r="I1582" t="str">
        <f t="shared" si="121"/>
        <v>Low Sales</v>
      </c>
      <c r="J1582" t="str">
        <f t="shared" si="122"/>
        <v>Average Performance</v>
      </c>
      <c r="K1582">
        <f t="shared" si="123"/>
        <v>2004</v>
      </c>
      <c r="L1582" t="str">
        <f t="shared" si="124"/>
        <v>September</v>
      </c>
    </row>
    <row r="1583" spans="1:12" x14ac:dyDescent="0.25">
      <c r="A1583" t="s">
        <v>23</v>
      </c>
      <c r="C1583" t="s">
        <v>261</v>
      </c>
      <c r="D1583" t="str">
        <f t="shared" si="120"/>
        <v>Motorcycles</v>
      </c>
      <c r="E1583" t="s">
        <v>328</v>
      </c>
      <c r="F1583" s="5">
        <v>2971.34</v>
      </c>
      <c r="G1583" s="5">
        <v>594.26800000000003</v>
      </c>
      <c r="I1583" t="str">
        <f t="shared" si="121"/>
        <v>Low Sales</v>
      </c>
      <c r="J1583" t="str">
        <f t="shared" si="122"/>
        <v>Average Performance</v>
      </c>
      <c r="K1583">
        <f t="shared" si="123"/>
        <v>2004</v>
      </c>
      <c r="L1583" t="str">
        <f t="shared" si="124"/>
        <v>October</v>
      </c>
    </row>
    <row r="1584" spans="1:12" x14ac:dyDescent="0.25">
      <c r="A1584" t="s">
        <v>24</v>
      </c>
      <c r="C1584" t="s">
        <v>261</v>
      </c>
      <c r="D1584" t="str">
        <f t="shared" si="120"/>
        <v>Motorcycles</v>
      </c>
      <c r="E1584" t="s">
        <v>328</v>
      </c>
      <c r="F1584" s="5">
        <v>2257.58</v>
      </c>
      <c r="G1584" s="5">
        <v>451.51600000000002</v>
      </c>
      <c r="I1584" t="str">
        <f t="shared" si="121"/>
        <v>Low Sales</v>
      </c>
      <c r="J1584" t="str">
        <f t="shared" si="122"/>
        <v>Average Performance</v>
      </c>
      <c r="K1584">
        <f t="shared" si="123"/>
        <v>2004</v>
      </c>
      <c r="L1584" t="str">
        <f t="shared" si="124"/>
        <v>November</v>
      </c>
    </row>
    <row r="1585" spans="1:12" x14ac:dyDescent="0.25">
      <c r="A1585" t="s">
        <v>25</v>
      </c>
      <c r="C1585" t="s">
        <v>261</v>
      </c>
      <c r="D1585" t="str">
        <f t="shared" si="120"/>
        <v>Motorcycles</v>
      </c>
      <c r="E1585" t="s">
        <v>328</v>
      </c>
      <c r="F1585" s="5">
        <v>3493.91</v>
      </c>
      <c r="G1585" s="5">
        <v>698.78200000000004</v>
      </c>
      <c r="I1585" t="str">
        <f t="shared" si="121"/>
        <v>Low Sales</v>
      </c>
      <c r="J1585" t="str">
        <f t="shared" si="122"/>
        <v>Average Performance</v>
      </c>
      <c r="K1585">
        <f t="shared" si="123"/>
        <v>2004</v>
      </c>
      <c r="L1585" t="str">
        <f t="shared" si="124"/>
        <v>November</v>
      </c>
    </row>
    <row r="1586" spans="1:12" x14ac:dyDescent="0.25">
      <c r="A1586" t="s">
        <v>26</v>
      </c>
      <c r="B1586" t="s">
        <v>258</v>
      </c>
      <c r="C1586" t="s">
        <v>261</v>
      </c>
      <c r="D1586" t="str">
        <f t="shared" si="120"/>
        <v>Motorcycles</v>
      </c>
      <c r="E1586" t="s">
        <v>328</v>
      </c>
      <c r="F1586" s="5">
        <v>4398.8999999999996</v>
      </c>
      <c r="G1586" s="5">
        <v>879.78</v>
      </c>
      <c r="I1586" t="str">
        <f t="shared" si="121"/>
        <v>Low Sales</v>
      </c>
      <c r="J1586" t="str">
        <f t="shared" si="122"/>
        <v>Average Performance</v>
      </c>
      <c r="K1586">
        <f t="shared" si="123"/>
        <v>2004</v>
      </c>
      <c r="L1586" t="str">
        <f t="shared" si="124"/>
        <v>November</v>
      </c>
    </row>
    <row r="1587" spans="1:12" x14ac:dyDescent="0.25">
      <c r="A1587" t="s">
        <v>121</v>
      </c>
      <c r="B1587" t="s">
        <v>258</v>
      </c>
      <c r="C1587" t="s">
        <v>261</v>
      </c>
      <c r="D1587" t="str">
        <f t="shared" si="120"/>
        <v>Motorcycles</v>
      </c>
      <c r="E1587" t="s">
        <v>328</v>
      </c>
      <c r="F1587" s="5">
        <v>3595.62</v>
      </c>
      <c r="G1587" s="5">
        <v>719.12400000000002</v>
      </c>
      <c r="I1587" t="str">
        <f t="shared" si="121"/>
        <v>Low Sales</v>
      </c>
      <c r="J1587" t="str">
        <f t="shared" si="122"/>
        <v>Average Performance</v>
      </c>
      <c r="K1587">
        <f t="shared" si="123"/>
        <v>2005</v>
      </c>
      <c r="L1587" t="str">
        <f t="shared" si="124"/>
        <v>January</v>
      </c>
    </row>
    <row r="1588" spans="1:12" x14ac:dyDescent="0.25">
      <c r="A1588" t="s">
        <v>28</v>
      </c>
      <c r="B1588" t="s">
        <v>258</v>
      </c>
      <c r="C1588" t="s">
        <v>261</v>
      </c>
      <c r="D1588" t="str">
        <f t="shared" si="120"/>
        <v>Motorcycles</v>
      </c>
      <c r="E1588" t="s">
        <v>328</v>
      </c>
      <c r="F1588" s="5">
        <v>2443.29</v>
      </c>
      <c r="G1588" s="5">
        <v>488.65800000000002</v>
      </c>
      <c r="I1588" t="str">
        <f t="shared" si="121"/>
        <v>Low Sales</v>
      </c>
      <c r="J1588" t="str">
        <f t="shared" si="122"/>
        <v>Average Performance</v>
      </c>
      <c r="K1588">
        <f t="shared" si="123"/>
        <v>2005</v>
      </c>
      <c r="L1588" t="str">
        <f t="shared" si="124"/>
        <v>February</v>
      </c>
    </row>
    <row r="1589" spans="1:12" x14ac:dyDescent="0.25">
      <c r="A1589" t="s">
        <v>29</v>
      </c>
      <c r="B1589" t="s">
        <v>258</v>
      </c>
      <c r="C1589" t="s">
        <v>261</v>
      </c>
      <c r="D1589" t="str">
        <f t="shared" si="120"/>
        <v>Motorcycles</v>
      </c>
      <c r="E1589" t="s">
        <v>328</v>
      </c>
      <c r="F1589" s="5">
        <v>3988.6</v>
      </c>
      <c r="G1589" s="5">
        <v>797.72</v>
      </c>
      <c r="I1589" t="str">
        <f t="shared" si="121"/>
        <v>Low Sales</v>
      </c>
      <c r="J1589" t="str">
        <f t="shared" si="122"/>
        <v>Average Performance</v>
      </c>
      <c r="K1589">
        <f t="shared" si="123"/>
        <v>2005</v>
      </c>
      <c r="L1589" t="str">
        <f t="shared" si="124"/>
        <v>March</v>
      </c>
    </row>
    <row r="1590" spans="1:12" x14ac:dyDescent="0.25">
      <c r="A1590" t="s">
        <v>66</v>
      </c>
      <c r="B1590" t="s">
        <v>258</v>
      </c>
      <c r="C1590" t="s">
        <v>261</v>
      </c>
      <c r="D1590" t="str">
        <f t="shared" si="120"/>
        <v>Motorcycles</v>
      </c>
      <c r="E1590" t="s">
        <v>328</v>
      </c>
      <c r="F1590" s="5">
        <v>5168.3999999999996</v>
      </c>
      <c r="G1590" s="5">
        <v>1033.68</v>
      </c>
      <c r="I1590" t="str">
        <f t="shared" si="121"/>
        <v>Low Sales</v>
      </c>
      <c r="J1590" t="str">
        <f t="shared" si="122"/>
        <v>Average Performance</v>
      </c>
      <c r="K1590">
        <f t="shared" si="123"/>
        <v>2005</v>
      </c>
      <c r="L1590" t="str">
        <f t="shared" si="124"/>
        <v>April</v>
      </c>
    </row>
    <row r="1591" spans="1:12" x14ac:dyDescent="0.25">
      <c r="A1591" t="s">
        <v>204</v>
      </c>
      <c r="B1591" t="s">
        <v>258</v>
      </c>
      <c r="C1591" t="s">
        <v>261</v>
      </c>
      <c r="D1591" t="str">
        <f t="shared" si="120"/>
        <v>Motorcycles</v>
      </c>
      <c r="E1591" t="s">
        <v>328</v>
      </c>
      <c r="F1591" s="5">
        <v>2803.2</v>
      </c>
      <c r="G1591" s="5">
        <v>560.64</v>
      </c>
      <c r="I1591" t="str">
        <f t="shared" si="121"/>
        <v>Low Sales</v>
      </c>
      <c r="J1591" t="str">
        <f t="shared" si="122"/>
        <v>Average Performance</v>
      </c>
      <c r="K1591">
        <f t="shared" si="123"/>
        <v>2005</v>
      </c>
      <c r="L1591" t="str">
        <f t="shared" si="124"/>
        <v>May</v>
      </c>
    </row>
    <row r="1592" spans="1:12" x14ac:dyDescent="0.25">
      <c r="A1592" t="s">
        <v>68</v>
      </c>
      <c r="B1592" t="s">
        <v>258</v>
      </c>
      <c r="C1592" t="s">
        <v>266</v>
      </c>
      <c r="D1592" t="str">
        <f t="shared" si="120"/>
        <v>Ships</v>
      </c>
      <c r="E1592" t="s">
        <v>329</v>
      </c>
      <c r="F1592" s="5">
        <v>6341.21</v>
      </c>
      <c r="G1592" s="5">
        <v>1268.242</v>
      </c>
      <c r="I1592" t="str">
        <f t="shared" si="121"/>
        <v>Low Sales</v>
      </c>
      <c r="J1592" t="str">
        <f t="shared" si="122"/>
        <v>Average Performance</v>
      </c>
      <c r="K1592">
        <f t="shared" si="123"/>
        <v>2003</v>
      </c>
      <c r="L1592" t="str">
        <f t="shared" si="124"/>
        <v>February</v>
      </c>
    </row>
    <row r="1593" spans="1:12" x14ac:dyDescent="0.25">
      <c r="A1593" t="s">
        <v>123</v>
      </c>
      <c r="B1593" t="s">
        <v>260</v>
      </c>
      <c r="C1593" t="s">
        <v>266</v>
      </c>
      <c r="D1593" t="str">
        <f t="shared" si="120"/>
        <v>Ships</v>
      </c>
      <c r="E1593" t="s">
        <v>329</v>
      </c>
      <c r="F1593" s="5">
        <v>5189.78</v>
      </c>
      <c r="G1593" s="5">
        <v>1037.9559999999999</v>
      </c>
      <c r="I1593" t="str">
        <f t="shared" si="121"/>
        <v>Low Sales</v>
      </c>
      <c r="J1593" t="str">
        <f t="shared" si="122"/>
        <v>Average Performance</v>
      </c>
      <c r="K1593">
        <f t="shared" si="123"/>
        <v>2003</v>
      </c>
      <c r="L1593" t="str">
        <f t="shared" si="124"/>
        <v>April</v>
      </c>
    </row>
    <row r="1594" spans="1:12" x14ac:dyDescent="0.25">
      <c r="A1594" t="s">
        <v>70</v>
      </c>
      <c r="B1594" t="s">
        <v>258</v>
      </c>
      <c r="C1594" t="s">
        <v>266</v>
      </c>
      <c r="D1594" t="str">
        <f t="shared" si="120"/>
        <v>Ships</v>
      </c>
      <c r="E1594" t="s">
        <v>329</v>
      </c>
      <c r="F1594" s="5">
        <v>6027.75</v>
      </c>
      <c r="G1594" s="5">
        <v>1205.55</v>
      </c>
      <c r="I1594" t="str">
        <f t="shared" si="121"/>
        <v>Low Sales</v>
      </c>
      <c r="J1594" t="str">
        <f t="shared" si="122"/>
        <v>Average Performance</v>
      </c>
      <c r="K1594">
        <f t="shared" si="123"/>
        <v>2003</v>
      </c>
      <c r="L1594" t="str">
        <f t="shared" si="124"/>
        <v>June</v>
      </c>
    </row>
    <row r="1595" spans="1:12" x14ac:dyDescent="0.25">
      <c r="A1595" t="s">
        <v>125</v>
      </c>
      <c r="C1595" t="s">
        <v>266</v>
      </c>
      <c r="D1595" t="str">
        <f t="shared" si="120"/>
        <v>Ships</v>
      </c>
      <c r="E1595" t="s">
        <v>329</v>
      </c>
      <c r="F1595" s="5">
        <v>3366</v>
      </c>
      <c r="G1595" s="5">
        <v>673.2</v>
      </c>
      <c r="I1595" t="str">
        <f t="shared" si="121"/>
        <v>Low Sales</v>
      </c>
      <c r="J1595" t="str">
        <f t="shared" si="122"/>
        <v>Average Performance</v>
      </c>
      <c r="K1595">
        <f t="shared" si="123"/>
        <v>2003</v>
      </c>
      <c r="L1595" t="str">
        <f t="shared" si="124"/>
        <v>August</v>
      </c>
    </row>
    <row r="1596" spans="1:12" x14ac:dyDescent="0.25">
      <c r="A1596" t="s">
        <v>126</v>
      </c>
      <c r="B1596" t="s">
        <v>258</v>
      </c>
      <c r="C1596" t="s">
        <v>266</v>
      </c>
      <c r="D1596" t="str">
        <f t="shared" si="120"/>
        <v>Ships</v>
      </c>
      <c r="E1596" t="s">
        <v>329</v>
      </c>
      <c r="F1596" s="5">
        <v>5456.4</v>
      </c>
      <c r="G1596" s="5">
        <v>1091.28</v>
      </c>
      <c r="I1596" t="str">
        <f t="shared" si="121"/>
        <v>Low Sales</v>
      </c>
      <c r="J1596" t="str">
        <f t="shared" si="122"/>
        <v>Average Performance</v>
      </c>
      <c r="K1596">
        <f t="shared" si="123"/>
        <v>2003</v>
      </c>
      <c r="L1596" t="str">
        <f t="shared" si="124"/>
        <v>September</v>
      </c>
    </row>
    <row r="1597" spans="1:12" x14ac:dyDescent="0.25">
      <c r="A1597" t="s">
        <v>73</v>
      </c>
      <c r="B1597" t="s">
        <v>258</v>
      </c>
      <c r="C1597" t="s">
        <v>266</v>
      </c>
      <c r="D1597" t="str">
        <f t="shared" si="120"/>
        <v>Ships</v>
      </c>
      <c r="E1597" t="s">
        <v>329</v>
      </c>
      <c r="F1597" s="5">
        <v>3812.16</v>
      </c>
      <c r="G1597" s="5">
        <v>762.43200000000002</v>
      </c>
      <c r="I1597" t="str">
        <f t="shared" si="121"/>
        <v>Low Sales</v>
      </c>
      <c r="J1597" t="str">
        <f t="shared" si="122"/>
        <v>Average Performance</v>
      </c>
      <c r="K1597">
        <f t="shared" si="123"/>
        <v>2003</v>
      </c>
      <c r="L1597" t="str">
        <f t="shared" si="124"/>
        <v>October</v>
      </c>
    </row>
    <row r="1598" spans="1:12" x14ac:dyDescent="0.25">
      <c r="A1598" t="s">
        <v>225</v>
      </c>
      <c r="B1598" t="s">
        <v>258</v>
      </c>
      <c r="C1598" t="s">
        <v>266</v>
      </c>
      <c r="D1598" t="str">
        <f t="shared" si="120"/>
        <v>Ships</v>
      </c>
      <c r="E1598" t="s">
        <v>329</v>
      </c>
      <c r="F1598" s="5">
        <v>6083</v>
      </c>
      <c r="G1598" s="5">
        <v>1216.5999999999999</v>
      </c>
      <c r="I1598" t="str">
        <f t="shared" si="121"/>
        <v>Low Sales</v>
      </c>
      <c r="J1598" t="str">
        <f t="shared" si="122"/>
        <v>Average Performance</v>
      </c>
      <c r="K1598">
        <f t="shared" si="123"/>
        <v>2003</v>
      </c>
      <c r="L1598" t="str">
        <f t="shared" si="124"/>
        <v>November</v>
      </c>
    </row>
    <row r="1599" spans="1:12" x14ac:dyDescent="0.25">
      <c r="A1599" t="s">
        <v>75</v>
      </c>
      <c r="C1599" t="s">
        <v>266</v>
      </c>
      <c r="D1599" t="str">
        <f t="shared" si="120"/>
        <v>Ships</v>
      </c>
      <c r="E1599" t="s">
        <v>329</v>
      </c>
      <c r="F1599" s="5">
        <v>3170.7</v>
      </c>
      <c r="G1599" s="5">
        <v>634.14</v>
      </c>
      <c r="I1599" t="str">
        <f t="shared" si="121"/>
        <v>Low Sales</v>
      </c>
      <c r="J1599" t="str">
        <f t="shared" si="122"/>
        <v>Average Performance</v>
      </c>
      <c r="K1599">
        <f t="shared" si="123"/>
        <v>2003</v>
      </c>
      <c r="L1599" t="str">
        <f t="shared" si="124"/>
        <v>November</v>
      </c>
    </row>
    <row r="1600" spans="1:12" x14ac:dyDescent="0.25">
      <c r="A1600" t="s">
        <v>76</v>
      </c>
      <c r="B1600" t="s">
        <v>258</v>
      </c>
      <c r="C1600" t="s">
        <v>266</v>
      </c>
      <c r="D1600" t="str">
        <f t="shared" si="120"/>
        <v>Ships</v>
      </c>
      <c r="E1600" t="s">
        <v>329</v>
      </c>
      <c r="F1600" s="5">
        <v>4534.6000000000004</v>
      </c>
      <c r="G1600" s="5">
        <v>906.92000000000007</v>
      </c>
      <c r="I1600" t="str">
        <f t="shared" si="121"/>
        <v>Low Sales</v>
      </c>
      <c r="J1600" t="str">
        <f t="shared" si="122"/>
        <v>Average Performance</v>
      </c>
      <c r="K1600">
        <f t="shared" si="123"/>
        <v>2003</v>
      </c>
      <c r="L1600" t="str">
        <f t="shared" si="124"/>
        <v>November</v>
      </c>
    </row>
    <row r="1601" spans="1:12" x14ac:dyDescent="0.25">
      <c r="A1601" t="s">
        <v>128</v>
      </c>
      <c r="B1601" t="s">
        <v>258</v>
      </c>
      <c r="C1601" t="s">
        <v>266</v>
      </c>
      <c r="D1601" t="str">
        <f t="shared" si="120"/>
        <v>Ships</v>
      </c>
      <c r="E1601" t="s">
        <v>329</v>
      </c>
      <c r="F1601" s="5">
        <v>4301.1499999999996</v>
      </c>
      <c r="G1601" s="5">
        <v>860.23</v>
      </c>
      <c r="I1601" t="str">
        <f t="shared" si="121"/>
        <v>Low Sales</v>
      </c>
      <c r="J1601" t="str">
        <f t="shared" si="122"/>
        <v>Average Performance</v>
      </c>
      <c r="K1601">
        <f t="shared" si="123"/>
        <v>2004</v>
      </c>
      <c r="L1601" t="str">
        <f t="shared" si="124"/>
        <v>January</v>
      </c>
    </row>
    <row r="1602" spans="1:12" x14ac:dyDescent="0.25">
      <c r="A1602" t="s">
        <v>226</v>
      </c>
      <c r="B1602" t="s">
        <v>258</v>
      </c>
      <c r="C1602" t="s">
        <v>266</v>
      </c>
      <c r="D1602" t="str">
        <f t="shared" si="120"/>
        <v>Ships</v>
      </c>
      <c r="E1602" t="s">
        <v>329</v>
      </c>
      <c r="F1602" s="5">
        <v>6804.63</v>
      </c>
      <c r="G1602" s="5">
        <v>1360.9259999999999</v>
      </c>
      <c r="I1602" t="str">
        <f t="shared" si="121"/>
        <v>Low Sales</v>
      </c>
      <c r="J1602" t="str">
        <f t="shared" si="122"/>
        <v>Average Performance</v>
      </c>
      <c r="K1602">
        <f t="shared" si="123"/>
        <v>2004</v>
      </c>
      <c r="L1602" t="str">
        <f t="shared" si="124"/>
        <v>February</v>
      </c>
    </row>
    <row r="1603" spans="1:12" x14ac:dyDescent="0.25">
      <c r="A1603" t="s">
        <v>227</v>
      </c>
      <c r="B1603" t="s">
        <v>258</v>
      </c>
      <c r="C1603" t="s">
        <v>266</v>
      </c>
      <c r="D1603" t="str">
        <f t="shared" ref="D1603:D1651" si="125">PROPER(TRIM(C1603))</f>
        <v>Ships</v>
      </c>
      <c r="E1603" t="s">
        <v>329</v>
      </c>
      <c r="F1603" s="5">
        <v>5652.94</v>
      </c>
      <c r="G1603" s="5">
        <v>1130.588</v>
      </c>
      <c r="I1603" t="str">
        <f t="shared" ref="I1603:I1666" si="126">IF(F1603&gt;50000,"High Sales","Low Sales")</f>
        <v>Low Sales</v>
      </c>
      <c r="J1603" t="str">
        <f t="shared" ref="J1603:J1666" si="127">IF(AND(F1603&gt;30000,G1603&gt;5000),"Good Performance","Average Performance")</f>
        <v>Average Performance</v>
      </c>
      <c r="K1603">
        <f t="shared" ref="K1603:K1666" si="128">YEAR(A1603)</f>
        <v>2004</v>
      </c>
      <c r="L1603" t="str">
        <f t="shared" ref="L1603:L1666" si="129">TEXT(A1603,"mmmm")</f>
        <v>March</v>
      </c>
    </row>
    <row r="1604" spans="1:12" x14ac:dyDescent="0.25">
      <c r="A1604" t="s">
        <v>79</v>
      </c>
      <c r="C1604" t="s">
        <v>266</v>
      </c>
      <c r="D1604" t="str">
        <f t="shared" si="125"/>
        <v>Ships</v>
      </c>
      <c r="E1604" t="s">
        <v>329</v>
      </c>
      <c r="F1604" s="5">
        <v>6960.48</v>
      </c>
      <c r="G1604" s="5">
        <v>1392.096</v>
      </c>
      <c r="I1604" t="str">
        <f t="shared" si="126"/>
        <v>Low Sales</v>
      </c>
      <c r="J1604" t="str">
        <f t="shared" si="127"/>
        <v>Average Performance</v>
      </c>
      <c r="K1604">
        <f t="shared" si="128"/>
        <v>2004</v>
      </c>
      <c r="L1604" t="str">
        <f t="shared" si="129"/>
        <v>May</v>
      </c>
    </row>
    <row r="1605" spans="1:12" x14ac:dyDescent="0.25">
      <c r="A1605" t="s">
        <v>80</v>
      </c>
      <c r="C1605" t="s">
        <v>266</v>
      </c>
      <c r="D1605" t="str">
        <f t="shared" si="125"/>
        <v>Ships</v>
      </c>
      <c r="E1605" t="s">
        <v>329</v>
      </c>
      <c r="F1605" s="5">
        <v>4512.6000000000004</v>
      </c>
      <c r="G1605" s="5">
        <v>902.5200000000001</v>
      </c>
      <c r="I1605" t="str">
        <f t="shared" si="126"/>
        <v>Low Sales</v>
      </c>
      <c r="J1605" t="str">
        <f t="shared" si="127"/>
        <v>Average Performance</v>
      </c>
      <c r="K1605">
        <f t="shared" si="128"/>
        <v>2004</v>
      </c>
      <c r="L1605" t="str">
        <f t="shared" si="129"/>
        <v>June</v>
      </c>
    </row>
    <row r="1606" spans="1:12" x14ac:dyDescent="0.25">
      <c r="A1606" t="s">
        <v>81</v>
      </c>
      <c r="B1606" t="s">
        <v>258</v>
      </c>
      <c r="C1606" t="s">
        <v>266</v>
      </c>
      <c r="D1606" t="str">
        <f t="shared" si="125"/>
        <v>Ships</v>
      </c>
      <c r="E1606" t="s">
        <v>329</v>
      </c>
      <c r="F1606" s="5">
        <v>2784.76</v>
      </c>
      <c r="G1606" s="5">
        <v>556.95200000000011</v>
      </c>
      <c r="I1606" t="str">
        <f t="shared" si="126"/>
        <v>Low Sales</v>
      </c>
      <c r="J1606" t="str">
        <f t="shared" si="127"/>
        <v>Average Performance</v>
      </c>
      <c r="K1606">
        <f t="shared" si="128"/>
        <v>2004</v>
      </c>
      <c r="L1606" t="str">
        <f t="shared" si="129"/>
        <v>July</v>
      </c>
    </row>
    <row r="1607" spans="1:12" x14ac:dyDescent="0.25">
      <c r="A1607" t="s">
        <v>82</v>
      </c>
      <c r="C1607" t="s">
        <v>266</v>
      </c>
      <c r="D1607" t="str">
        <f t="shared" si="125"/>
        <v>Ships</v>
      </c>
      <c r="E1607" t="s">
        <v>329</v>
      </c>
      <c r="F1607" s="5">
        <v>5316.36</v>
      </c>
      <c r="G1607" s="5">
        <v>1063.2719999999999</v>
      </c>
      <c r="I1607" t="str">
        <f t="shared" si="126"/>
        <v>Low Sales</v>
      </c>
      <c r="J1607" t="str">
        <f t="shared" si="127"/>
        <v>Average Performance</v>
      </c>
      <c r="K1607">
        <f t="shared" si="128"/>
        <v>2004</v>
      </c>
      <c r="L1607" t="str">
        <f t="shared" si="129"/>
        <v>August</v>
      </c>
    </row>
    <row r="1608" spans="1:12" x14ac:dyDescent="0.25">
      <c r="A1608" t="s">
        <v>133</v>
      </c>
      <c r="B1608" t="s">
        <v>258</v>
      </c>
      <c r="C1608" t="s">
        <v>266</v>
      </c>
      <c r="D1608" t="str">
        <f t="shared" si="125"/>
        <v>Ships</v>
      </c>
      <c r="E1608" t="s">
        <v>329</v>
      </c>
      <c r="F1608" s="5">
        <v>2941.89</v>
      </c>
      <c r="G1608" s="5">
        <v>588.37800000000004</v>
      </c>
      <c r="I1608" t="str">
        <f t="shared" si="126"/>
        <v>Low Sales</v>
      </c>
      <c r="J1608" t="str">
        <f t="shared" si="127"/>
        <v>Average Performance</v>
      </c>
      <c r="K1608">
        <f t="shared" si="128"/>
        <v>2004</v>
      </c>
      <c r="L1608" t="str">
        <f t="shared" si="129"/>
        <v>September</v>
      </c>
    </row>
    <row r="1609" spans="1:12" x14ac:dyDescent="0.25">
      <c r="A1609" t="s">
        <v>84</v>
      </c>
      <c r="B1609" t="s">
        <v>258</v>
      </c>
      <c r="C1609" t="s">
        <v>266</v>
      </c>
      <c r="D1609" t="str">
        <f t="shared" si="125"/>
        <v>Ships</v>
      </c>
      <c r="E1609" t="s">
        <v>329</v>
      </c>
      <c r="F1609" s="5">
        <v>3207.4</v>
      </c>
      <c r="G1609" s="5">
        <v>641.48</v>
      </c>
      <c r="I1609" t="str">
        <f t="shared" si="126"/>
        <v>Low Sales</v>
      </c>
      <c r="J1609" t="str">
        <f t="shared" si="127"/>
        <v>Average Performance</v>
      </c>
      <c r="K1609">
        <f t="shared" si="128"/>
        <v>2004</v>
      </c>
      <c r="L1609" t="str">
        <f t="shared" si="129"/>
        <v>October</v>
      </c>
    </row>
    <row r="1610" spans="1:12" x14ac:dyDescent="0.25">
      <c r="A1610" t="s">
        <v>243</v>
      </c>
      <c r="B1610" t="s">
        <v>258</v>
      </c>
      <c r="C1610" t="s">
        <v>266</v>
      </c>
      <c r="D1610" t="str">
        <f t="shared" si="125"/>
        <v>Ships</v>
      </c>
      <c r="E1610" t="s">
        <v>329</v>
      </c>
      <c r="F1610" s="5">
        <v>4215.05</v>
      </c>
      <c r="G1610" s="5">
        <v>843.0100000000001</v>
      </c>
      <c r="I1610" t="str">
        <f t="shared" si="126"/>
        <v>Low Sales</v>
      </c>
      <c r="J1610" t="str">
        <f t="shared" si="127"/>
        <v>Average Performance</v>
      </c>
      <c r="K1610">
        <f t="shared" si="128"/>
        <v>2004</v>
      </c>
      <c r="L1610" t="str">
        <f t="shared" si="129"/>
        <v>October</v>
      </c>
    </row>
    <row r="1611" spans="1:12" x14ac:dyDescent="0.25">
      <c r="A1611" t="s">
        <v>229</v>
      </c>
      <c r="B1611" t="s">
        <v>258</v>
      </c>
      <c r="C1611" t="s">
        <v>266</v>
      </c>
      <c r="D1611" t="str">
        <f t="shared" si="125"/>
        <v>Ships</v>
      </c>
      <c r="E1611" t="s">
        <v>329</v>
      </c>
      <c r="F1611" s="5">
        <v>4333.29</v>
      </c>
      <c r="G1611" s="5">
        <v>866.65800000000002</v>
      </c>
      <c r="I1611" t="str">
        <f t="shared" si="126"/>
        <v>Low Sales</v>
      </c>
      <c r="J1611" t="str">
        <f t="shared" si="127"/>
        <v>Average Performance</v>
      </c>
      <c r="K1611">
        <f t="shared" si="128"/>
        <v>2004</v>
      </c>
      <c r="L1611" t="str">
        <f t="shared" si="129"/>
        <v>November</v>
      </c>
    </row>
    <row r="1612" spans="1:12" x14ac:dyDescent="0.25">
      <c r="A1612" t="s">
        <v>87</v>
      </c>
      <c r="C1612" t="s">
        <v>266</v>
      </c>
      <c r="D1612" t="str">
        <f t="shared" si="125"/>
        <v>Ships</v>
      </c>
      <c r="E1612" t="s">
        <v>329</v>
      </c>
      <c r="F1612" s="5">
        <v>2087.13</v>
      </c>
      <c r="G1612" s="5">
        <v>417.42599999999999</v>
      </c>
      <c r="I1612" t="str">
        <f t="shared" si="126"/>
        <v>Low Sales</v>
      </c>
      <c r="J1612" t="str">
        <f t="shared" si="127"/>
        <v>Average Performance</v>
      </c>
      <c r="K1612">
        <f t="shared" si="128"/>
        <v>2004</v>
      </c>
      <c r="L1612" t="str">
        <f t="shared" si="129"/>
        <v>November</v>
      </c>
    </row>
    <row r="1613" spans="1:12" x14ac:dyDescent="0.25">
      <c r="A1613" t="s">
        <v>88</v>
      </c>
      <c r="B1613" t="s">
        <v>258</v>
      </c>
      <c r="C1613" t="s">
        <v>266</v>
      </c>
      <c r="D1613" t="str">
        <f t="shared" si="125"/>
        <v>Ships</v>
      </c>
      <c r="E1613" t="s">
        <v>329</v>
      </c>
      <c r="F1613" s="5">
        <v>1711.22</v>
      </c>
      <c r="G1613" s="5">
        <v>342.24400000000003</v>
      </c>
      <c r="I1613" t="str">
        <f t="shared" si="126"/>
        <v>Low Sales</v>
      </c>
      <c r="J1613" t="str">
        <f t="shared" si="127"/>
        <v>Average Performance</v>
      </c>
      <c r="K1613">
        <f t="shared" si="128"/>
        <v>2004</v>
      </c>
      <c r="L1613" t="str">
        <f t="shared" si="129"/>
        <v>December</v>
      </c>
    </row>
    <row r="1614" spans="1:12" x14ac:dyDescent="0.25">
      <c r="A1614" t="s">
        <v>142</v>
      </c>
      <c r="B1614" t="s">
        <v>260</v>
      </c>
      <c r="C1614" t="s">
        <v>266</v>
      </c>
      <c r="D1614" t="str">
        <f t="shared" si="125"/>
        <v>Ships</v>
      </c>
      <c r="E1614" t="s">
        <v>329</v>
      </c>
      <c r="F1614" s="5">
        <v>3910.53</v>
      </c>
      <c r="G1614" s="5">
        <v>782.10600000000011</v>
      </c>
      <c r="I1614" t="str">
        <f t="shared" si="126"/>
        <v>Low Sales</v>
      </c>
      <c r="J1614" t="str">
        <f t="shared" si="127"/>
        <v>Average Performance</v>
      </c>
      <c r="K1614">
        <f t="shared" si="128"/>
        <v>2005</v>
      </c>
      <c r="L1614" t="str">
        <f t="shared" si="129"/>
        <v>January</v>
      </c>
    </row>
    <row r="1615" spans="1:12" x14ac:dyDescent="0.25">
      <c r="A1615" t="s">
        <v>91</v>
      </c>
      <c r="C1615" t="s">
        <v>266</v>
      </c>
      <c r="D1615" t="str">
        <f t="shared" si="125"/>
        <v>Ships</v>
      </c>
      <c r="E1615" t="s">
        <v>329</v>
      </c>
      <c r="F1615" s="5">
        <v>2255.12</v>
      </c>
      <c r="G1615" s="5">
        <v>451.024</v>
      </c>
      <c r="I1615" t="str">
        <f t="shared" si="126"/>
        <v>Low Sales</v>
      </c>
      <c r="J1615" t="str">
        <f t="shared" si="127"/>
        <v>Average Performance</v>
      </c>
      <c r="K1615">
        <f t="shared" si="128"/>
        <v>2005</v>
      </c>
      <c r="L1615" t="str">
        <f t="shared" si="129"/>
        <v>February</v>
      </c>
    </row>
    <row r="1616" spans="1:12" x14ac:dyDescent="0.25">
      <c r="A1616" t="s">
        <v>147</v>
      </c>
      <c r="C1616" t="s">
        <v>266</v>
      </c>
      <c r="D1616" t="str">
        <f t="shared" si="125"/>
        <v>Ships</v>
      </c>
      <c r="E1616" t="s">
        <v>329</v>
      </c>
      <c r="F1616" s="5">
        <v>5720.75</v>
      </c>
      <c r="G1616" s="5">
        <v>1144.1500000000001</v>
      </c>
      <c r="I1616" t="str">
        <f t="shared" si="126"/>
        <v>Low Sales</v>
      </c>
      <c r="J1616" t="str">
        <f t="shared" si="127"/>
        <v>Average Performance</v>
      </c>
      <c r="K1616">
        <f t="shared" si="128"/>
        <v>2005</v>
      </c>
      <c r="L1616" t="str">
        <f t="shared" si="129"/>
        <v>March</v>
      </c>
    </row>
    <row r="1617" spans="1:12" x14ac:dyDescent="0.25">
      <c r="A1617" t="s">
        <v>94</v>
      </c>
      <c r="C1617" t="s">
        <v>266</v>
      </c>
      <c r="D1617" t="str">
        <f t="shared" si="125"/>
        <v>Ships</v>
      </c>
      <c r="E1617" t="s">
        <v>329</v>
      </c>
      <c r="F1617" s="5">
        <v>3335.23</v>
      </c>
      <c r="G1617" s="5">
        <v>667.04600000000005</v>
      </c>
      <c r="I1617" t="str">
        <f t="shared" si="126"/>
        <v>Low Sales</v>
      </c>
      <c r="J1617" t="str">
        <f t="shared" si="127"/>
        <v>Average Performance</v>
      </c>
      <c r="K1617">
        <f t="shared" si="128"/>
        <v>2005</v>
      </c>
      <c r="L1617" t="str">
        <f t="shared" si="129"/>
        <v>May</v>
      </c>
    </row>
    <row r="1618" spans="1:12" x14ac:dyDescent="0.25">
      <c r="A1618" t="s">
        <v>212</v>
      </c>
      <c r="B1618" t="s">
        <v>258</v>
      </c>
      <c r="C1618" t="s">
        <v>264</v>
      </c>
      <c r="D1618" t="str">
        <f t="shared" si="125"/>
        <v>Vintage Cars</v>
      </c>
      <c r="E1618" t="s">
        <v>330</v>
      </c>
      <c r="F1618" s="5">
        <v>2472.96</v>
      </c>
      <c r="G1618" s="5">
        <v>494.59199999999998</v>
      </c>
      <c r="I1618" t="str">
        <f t="shared" si="126"/>
        <v>Low Sales</v>
      </c>
      <c r="J1618" t="str">
        <f t="shared" si="127"/>
        <v>Average Performance</v>
      </c>
      <c r="K1618">
        <f t="shared" si="128"/>
        <v>2003</v>
      </c>
      <c r="L1618" t="str">
        <f t="shared" si="129"/>
        <v>January</v>
      </c>
    </row>
    <row r="1619" spans="1:12" x14ac:dyDescent="0.25">
      <c r="A1619" t="s">
        <v>184</v>
      </c>
      <c r="B1619" t="s">
        <v>258</v>
      </c>
      <c r="C1619" t="s">
        <v>264</v>
      </c>
      <c r="D1619" t="str">
        <f t="shared" si="125"/>
        <v>Vintage Cars</v>
      </c>
      <c r="E1619" t="s">
        <v>330</v>
      </c>
      <c r="F1619" s="5">
        <v>1729.65</v>
      </c>
      <c r="G1619" s="5">
        <v>345.93000000000012</v>
      </c>
      <c r="I1619" t="str">
        <f t="shared" si="126"/>
        <v>Low Sales</v>
      </c>
      <c r="J1619" t="str">
        <f t="shared" si="127"/>
        <v>Average Performance</v>
      </c>
      <c r="K1619">
        <f t="shared" si="128"/>
        <v>2003</v>
      </c>
      <c r="L1619" t="str">
        <f t="shared" si="129"/>
        <v>March</v>
      </c>
    </row>
    <row r="1620" spans="1:12" x14ac:dyDescent="0.25">
      <c r="A1620" t="s">
        <v>172</v>
      </c>
      <c r="C1620" t="s">
        <v>264</v>
      </c>
      <c r="D1620" t="str">
        <f t="shared" si="125"/>
        <v>Vintage Cars</v>
      </c>
      <c r="E1620" t="s">
        <v>330</v>
      </c>
      <c r="F1620" s="5">
        <v>995.5</v>
      </c>
      <c r="G1620" s="5">
        <v>199.1</v>
      </c>
      <c r="I1620" t="str">
        <f t="shared" si="126"/>
        <v>Low Sales</v>
      </c>
      <c r="J1620" t="str">
        <f t="shared" si="127"/>
        <v>Average Performance</v>
      </c>
      <c r="K1620">
        <f t="shared" si="128"/>
        <v>2003</v>
      </c>
      <c r="L1620" t="str">
        <f t="shared" si="129"/>
        <v>May</v>
      </c>
    </row>
    <row r="1621" spans="1:12" x14ac:dyDescent="0.25">
      <c r="A1621" t="s">
        <v>174</v>
      </c>
      <c r="C1621" t="s">
        <v>264</v>
      </c>
      <c r="D1621" t="str">
        <f t="shared" si="125"/>
        <v>Vintage Cars</v>
      </c>
      <c r="E1621" t="s">
        <v>330</v>
      </c>
      <c r="F1621" s="5">
        <v>2414.7199999999998</v>
      </c>
      <c r="G1621" s="5">
        <v>482.94400000000002</v>
      </c>
      <c r="I1621" t="str">
        <f t="shared" si="126"/>
        <v>Low Sales</v>
      </c>
      <c r="J1621" t="str">
        <f t="shared" si="127"/>
        <v>Average Performance</v>
      </c>
      <c r="K1621">
        <f t="shared" si="128"/>
        <v>2003</v>
      </c>
      <c r="L1621" t="str">
        <f t="shared" si="129"/>
        <v>September</v>
      </c>
    </row>
    <row r="1622" spans="1:12" x14ac:dyDescent="0.25">
      <c r="A1622" t="s">
        <v>175</v>
      </c>
      <c r="C1622" t="s">
        <v>264</v>
      </c>
      <c r="D1622" t="str">
        <f t="shared" si="125"/>
        <v>Vintage Cars</v>
      </c>
      <c r="E1622" t="s">
        <v>330</v>
      </c>
      <c r="F1622" s="5">
        <v>1560.47</v>
      </c>
      <c r="G1622" s="5">
        <v>312.09400000000011</v>
      </c>
      <c r="I1622" t="str">
        <f t="shared" si="126"/>
        <v>Low Sales</v>
      </c>
      <c r="J1622" t="str">
        <f t="shared" si="127"/>
        <v>Average Performance</v>
      </c>
      <c r="K1622">
        <f t="shared" si="128"/>
        <v>2003</v>
      </c>
      <c r="L1622" t="str">
        <f t="shared" si="129"/>
        <v>October</v>
      </c>
    </row>
    <row r="1623" spans="1:12" x14ac:dyDescent="0.25">
      <c r="A1623" t="s">
        <v>161</v>
      </c>
      <c r="B1623" t="s">
        <v>258</v>
      </c>
      <c r="C1623" t="s">
        <v>264</v>
      </c>
      <c r="D1623" t="str">
        <f t="shared" si="125"/>
        <v>Vintage Cars</v>
      </c>
      <c r="E1623" t="s">
        <v>330</v>
      </c>
      <c r="F1623" s="5">
        <v>1112.94</v>
      </c>
      <c r="G1623" s="5">
        <v>222.58799999999999</v>
      </c>
      <c r="I1623" t="str">
        <f t="shared" si="126"/>
        <v>Low Sales</v>
      </c>
      <c r="J1623" t="str">
        <f t="shared" si="127"/>
        <v>Average Performance</v>
      </c>
      <c r="K1623">
        <f t="shared" si="128"/>
        <v>2003</v>
      </c>
      <c r="L1623" t="str">
        <f t="shared" si="129"/>
        <v>November</v>
      </c>
    </row>
    <row r="1624" spans="1:12" x14ac:dyDescent="0.25">
      <c r="A1624" t="s">
        <v>109</v>
      </c>
      <c r="C1624" t="s">
        <v>264</v>
      </c>
      <c r="D1624" t="str">
        <f t="shared" si="125"/>
        <v>Vintage Cars</v>
      </c>
      <c r="E1624" t="s">
        <v>330</v>
      </c>
      <c r="F1624" s="5">
        <v>1138.94</v>
      </c>
      <c r="G1624" s="5">
        <v>227.78800000000001</v>
      </c>
      <c r="I1624" t="str">
        <f t="shared" si="126"/>
        <v>Low Sales</v>
      </c>
      <c r="J1624" t="str">
        <f t="shared" si="127"/>
        <v>Average Performance</v>
      </c>
      <c r="K1624">
        <f t="shared" si="128"/>
        <v>2003</v>
      </c>
      <c r="L1624" t="str">
        <f t="shared" si="129"/>
        <v>November</v>
      </c>
    </row>
    <row r="1625" spans="1:12" x14ac:dyDescent="0.25">
      <c r="A1625" t="s">
        <v>176</v>
      </c>
      <c r="B1625" t="s">
        <v>259</v>
      </c>
      <c r="C1625" t="s">
        <v>264</v>
      </c>
      <c r="D1625" t="str">
        <f t="shared" si="125"/>
        <v>Vintage Cars</v>
      </c>
      <c r="E1625" t="s">
        <v>330</v>
      </c>
      <c r="F1625" s="5">
        <v>1012.4</v>
      </c>
      <c r="G1625" s="5">
        <v>202.48</v>
      </c>
      <c r="I1625" t="str">
        <f t="shared" si="126"/>
        <v>Low Sales</v>
      </c>
      <c r="J1625" t="str">
        <f t="shared" si="127"/>
        <v>Average Performance</v>
      </c>
      <c r="K1625">
        <f t="shared" si="128"/>
        <v>2003</v>
      </c>
      <c r="L1625" t="str">
        <f t="shared" si="129"/>
        <v>November</v>
      </c>
    </row>
    <row r="1626" spans="1:12" x14ac:dyDescent="0.25">
      <c r="A1626" t="s">
        <v>177</v>
      </c>
      <c r="B1626" t="s">
        <v>258</v>
      </c>
      <c r="C1626" t="s">
        <v>264</v>
      </c>
      <c r="D1626" t="str">
        <f t="shared" si="125"/>
        <v>Vintage Cars</v>
      </c>
      <c r="E1626" t="s">
        <v>330</v>
      </c>
      <c r="F1626" s="5">
        <v>913.92</v>
      </c>
      <c r="G1626" s="5">
        <v>182.78399999999999</v>
      </c>
      <c r="I1626" t="str">
        <f t="shared" si="126"/>
        <v>Low Sales</v>
      </c>
      <c r="J1626" t="str">
        <f t="shared" si="127"/>
        <v>Average Performance</v>
      </c>
      <c r="K1626">
        <f t="shared" si="128"/>
        <v>2003</v>
      </c>
      <c r="L1626" t="str">
        <f t="shared" si="129"/>
        <v>December</v>
      </c>
    </row>
    <row r="1627" spans="1:12" x14ac:dyDescent="0.25">
      <c r="A1627" t="s">
        <v>206</v>
      </c>
      <c r="B1627" t="s">
        <v>258</v>
      </c>
      <c r="C1627" t="s">
        <v>264</v>
      </c>
      <c r="D1627" t="str">
        <f t="shared" si="125"/>
        <v>Vintage Cars</v>
      </c>
      <c r="E1627" t="s">
        <v>330</v>
      </c>
      <c r="F1627" s="5">
        <v>2349.06</v>
      </c>
      <c r="G1627" s="5">
        <v>469.81200000000001</v>
      </c>
      <c r="I1627" t="str">
        <f t="shared" si="126"/>
        <v>Low Sales</v>
      </c>
      <c r="J1627" t="str">
        <f t="shared" si="127"/>
        <v>Average Performance</v>
      </c>
      <c r="K1627">
        <f t="shared" si="128"/>
        <v>2004</v>
      </c>
      <c r="L1627" t="str">
        <f t="shared" si="129"/>
        <v>January</v>
      </c>
    </row>
    <row r="1628" spans="1:12" x14ac:dyDescent="0.25">
      <c r="A1628" t="s">
        <v>178</v>
      </c>
      <c r="B1628" t="s">
        <v>258</v>
      </c>
      <c r="C1628" t="s">
        <v>264</v>
      </c>
      <c r="D1628" t="str">
        <f t="shared" si="125"/>
        <v>Vintage Cars</v>
      </c>
      <c r="E1628" t="s">
        <v>330</v>
      </c>
      <c r="F1628" s="5">
        <v>1161.1199999999999</v>
      </c>
      <c r="G1628" s="5">
        <v>232.22399999999999</v>
      </c>
      <c r="I1628" t="str">
        <f t="shared" si="126"/>
        <v>Low Sales</v>
      </c>
      <c r="J1628" t="str">
        <f t="shared" si="127"/>
        <v>Average Performance</v>
      </c>
      <c r="K1628">
        <f t="shared" si="128"/>
        <v>2004</v>
      </c>
      <c r="L1628" t="str">
        <f t="shared" si="129"/>
        <v>March</v>
      </c>
    </row>
    <row r="1629" spans="1:12" x14ac:dyDescent="0.25">
      <c r="A1629" t="s">
        <v>179</v>
      </c>
      <c r="B1629" t="s">
        <v>258</v>
      </c>
      <c r="C1629" t="s">
        <v>264</v>
      </c>
      <c r="D1629" t="str">
        <f t="shared" si="125"/>
        <v>Vintage Cars</v>
      </c>
      <c r="E1629" t="s">
        <v>330</v>
      </c>
      <c r="F1629" s="5">
        <v>1764.75</v>
      </c>
      <c r="G1629" s="5">
        <v>352.95</v>
      </c>
      <c r="I1629" t="str">
        <f t="shared" si="126"/>
        <v>Low Sales</v>
      </c>
      <c r="J1629" t="str">
        <f t="shared" si="127"/>
        <v>Average Performance</v>
      </c>
      <c r="K1629">
        <f t="shared" si="128"/>
        <v>2004</v>
      </c>
      <c r="L1629" t="str">
        <f t="shared" si="129"/>
        <v>April</v>
      </c>
    </row>
    <row r="1630" spans="1:12" x14ac:dyDescent="0.25">
      <c r="A1630" t="s">
        <v>220</v>
      </c>
      <c r="B1630" t="s">
        <v>258</v>
      </c>
      <c r="C1630" t="s">
        <v>264</v>
      </c>
      <c r="D1630" t="str">
        <f t="shared" si="125"/>
        <v>Vintage Cars</v>
      </c>
      <c r="E1630" t="s">
        <v>330</v>
      </c>
      <c r="F1630" s="5">
        <v>1690.9</v>
      </c>
      <c r="G1630" s="5">
        <v>338.18000000000012</v>
      </c>
      <c r="I1630" t="str">
        <f t="shared" si="126"/>
        <v>Low Sales</v>
      </c>
      <c r="J1630" t="str">
        <f t="shared" si="127"/>
        <v>Average Performance</v>
      </c>
      <c r="K1630">
        <f t="shared" si="128"/>
        <v>2004</v>
      </c>
      <c r="L1630" t="str">
        <f t="shared" si="129"/>
        <v>June</v>
      </c>
    </row>
    <row r="1631" spans="1:12" x14ac:dyDescent="0.25">
      <c r="A1631" t="s">
        <v>47</v>
      </c>
      <c r="B1631" t="s">
        <v>258</v>
      </c>
      <c r="C1631" t="s">
        <v>264</v>
      </c>
      <c r="D1631" t="str">
        <f t="shared" si="125"/>
        <v>Vintage Cars</v>
      </c>
      <c r="E1631" t="s">
        <v>330</v>
      </c>
      <c r="F1631" s="5">
        <v>2137.0500000000002</v>
      </c>
      <c r="G1631" s="5">
        <v>427.41000000000008</v>
      </c>
      <c r="I1631" t="str">
        <f t="shared" si="126"/>
        <v>Low Sales</v>
      </c>
      <c r="J1631" t="str">
        <f t="shared" si="127"/>
        <v>Average Performance</v>
      </c>
      <c r="K1631">
        <f t="shared" si="128"/>
        <v>2004</v>
      </c>
      <c r="L1631" t="str">
        <f t="shared" si="129"/>
        <v>August</v>
      </c>
    </row>
    <row r="1632" spans="1:12" x14ac:dyDescent="0.25">
      <c r="A1632" t="s">
        <v>181</v>
      </c>
      <c r="B1632" t="s">
        <v>258</v>
      </c>
      <c r="C1632" t="s">
        <v>264</v>
      </c>
      <c r="D1632" t="str">
        <f t="shared" si="125"/>
        <v>Vintage Cars</v>
      </c>
      <c r="E1632" t="s">
        <v>330</v>
      </c>
      <c r="F1632" s="5">
        <v>2177.1</v>
      </c>
      <c r="G1632" s="5">
        <v>435.42</v>
      </c>
      <c r="I1632" t="str">
        <f t="shared" si="126"/>
        <v>Low Sales</v>
      </c>
      <c r="J1632" t="str">
        <f t="shared" si="127"/>
        <v>Average Performance</v>
      </c>
      <c r="K1632">
        <f t="shared" si="128"/>
        <v>2004</v>
      </c>
      <c r="L1632" t="str">
        <f t="shared" si="129"/>
        <v>September</v>
      </c>
    </row>
    <row r="1633" spans="1:12" x14ac:dyDescent="0.25">
      <c r="A1633" t="s">
        <v>49</v>
      </c>
      <c r="B1633" t="s">
        <v>258</v>
      </c>
      <c r="C1633" t="s">
        <v>264</v>
      </c>
      <c r="D1633" t="str">
        <f t="shared" si="125"/>
        <v>Vintage Cars</v>
      </c>
      <c r="E1633" t="s">
        <v>330</v>
      </c>
      <c r="F1633" s="5">
        <v>1734.48</v>
      </c>
      <c r="G1633" s="5">
        <v>346.89600000000002</v>
      </c>
      <c r="I1633" t="str">
        <f t="shared" si="126"/>
        <v>Low Sales</v>
      </c>
      <c r="J1633" t="str">
        <f t="shared" si="127"/>
        <v>Average Performance</v>
      </c>
      <c r="K1633">
        <f t="shared" si="128"/>
        <v>2004</v>
      </c>
      <c r="L1633" t="str">
        <f t="shared" si="129"/>
        <v>October</v>
      </c>
    </row>
    <row r="1634" spans="1:12" x14ac:dyDescent="0.25">
      <c r="A1634" t="s">
        <v>50</v>
      </c>
      <c r="C1634" t="s">
        <v>264</v>
      </c>
      <c r="D1634" t="str">
        <f t="shared" si="125"/>
        <v>Vintage Cars</v>
      </c>
      <c r="E1634" t="s">
        <v>330</v>
      </c>
      <c r="F1634" s="5">
        <v>865.49</v>
      </c>
      <c r="G1634" s="5">
        <v>173.09800000000001</v>
      </c>
      <c r="I1634" t="str">
        <f t="shared" si="126"/>
        <v>Low Sales</v>
      </c>
      <c r="J1634" t="str">
        <f t="shared" si="127"/>
        <v>Average Performance</v>
      </c>
      <c r="K1634">
        <f t="shared" si="128"/>
        <v>2004</v>
      </c>
      <c r="L1634" t="str">
        <f t="shared" si="129"/>
        <v>October</v>
      </c>
    </row>
    <row r="1635" spans="1:12" x14ac:dyDescent="0.25">
      <c r="A1635" t="s">
        <v>51</v>
      </c>
      <c r="C1635" t="s">
        <v>264</v>
      </c>
      <c r="D1635" t="str">
        <f t="shared" si="125"/>
        <v>Vintage Cars</v>
      </c>
      <c r="E1635" t="s">
        <v>330</v>
      </c>
      <c r="F1635" s="5">
        <v>3500.1</v>
      </c>
      <c r="G1635" s="5">
        <v>700.02</v>
      </c>
      <c r="I1635" t="str">
        <f t="shared" si="126"/>
        <v>Low Sales</v>
      </c>
      <c r="J1635" t="str">
        <f t="shared" si="127"/>
        <v>Average Performance</v>
      </c>
      <c r="K1635">
        <f t="shared" si="128"/>
        <v>2004</v>
      </c>
      <c r="L1635" t="str">
        <f t="shared" si="129"/>
        <v>November</v>
      </c>
    </row>
    <row r="1636" spans="1:12" x14ac:dyDescent="0.25">
      <c r="A1636" t="s">
        <v>165</v>
      </c>
      <c r="B1636" t="s">
        <v>258</v>
      </c>
      <c r="C1636" t="s">
        <v>264</v>
      </c>
      <c r="D1636" t="str">
        <f t="shared" si="125"/>
        <v>Vintage Cars</v>
      </c>
      <c r="E1636" t="s">
        <v>330</v>
      </c>
      <c r="F1636" s="5">
        <v>2223.52</v>
      </c>
      <c r="G1636" s="5">
        <v>444.70400000000001</v>
      </c>
      <c r="I1636" t="str">
        <f t="shared" si="126"/>
        <v>Low Sales</v>
      </c>
      <c r="J1636" t="str">
        <f t="shared" si="127"/>
        <v>Average Performance</v>
      </c>
      <c r="K1636">
        <f t="shared" si="128"/>
        <v>2004</v>
      </c>
      <c r="L1636" t="str">
        <f t="shared" si="129"/>
        <v>November</v>
      </c>
    </row>
    <row r="1637" spans="1:12" x14ac:dyDescent="0.25">
      <c r="A1637" t="s">
        <v>207</v>
      </c>
      <c r="B1637" t="s">
        <v>258</v>
      </c>
      <c r="C1637" t="s">
        <v>264</v>
      </c>
      <c r="D1637" t="str">
        <f t="shared" si="125"/>
        <v>Vintage Cars</v>
      </c>
      <c r="E1637" t="s">
        <v>330</v>
      </c>
      <c r="F1637" s="5">
        <v>2311.6799999999998</v>
      </c>
      <c r="G1637" s="5">
        <v>462.33600000000001</v>
      </c>
      <c r="I1637" t="str">
        <f t="shared" si="126"/>
        <v>Low Sales</v>
      </c>
      <c r="J1637" t="str">
        <f t="shared" si="127"/>
        <v>Average Performance</v>
      </c>
      <c r="K1637">
        <f t="shared" si="128"/>
        <v>2004</v>
      </c>
      <c r="L1637" t="str">
        <f t="shared" si="129"/>
        <v>November</v>
      </c>
    </row>
    <row r="1638" spans="1:12" x14ac:dyDescent="0.25">
      <c r="A1638" t="s">
        <v>166</v>
      </c>
      <c r="B1638" t="s">
        <v>258</v>
      </c>
      <c r="C1638" t="s">
        <v>264</v>
      </c>
      <c r="D1638" t="str">
        <f t="shared" si="125"/>
        <v>Vintage Cars</v>
      </c>
      <c r="E1638" t="s">
        <v>330</v>
      </c>
      <c r="F1638" s="5">
        <v>828.36</v>
      </c>
      <c r="G1638" s="5">
        <v>165.672</v>
      </c>
      <c r="I1638" t="str">
        <f t="shared" si="126"/>
        <v>Low Sales</v>
      </c>
      <c r="J1638" t="str">
        <f t="shared" si="127"/>
        <v>Average Performance</v>
      </c>
      <c r="K1638">
        <f t="shared" si="128"/>
        <v>2004</v>
      </c>
      <c r="L1638" t="str">
        <f t="shared" si="129"/>
        <v>December</v>
      </c>
    </row>
    <row r="1639" spans="1:12" x14ac:dyDescent="0.25">
      <c r="A1639" t="s">
        <v>189</v>
      </c>
      <c r="C1639" t="s">
        <v>264</v>
      </c>
      <c r="D1639" t="str">
        <f t="shared" si="125"/>
        <v>Vintage Cars</v>
      </c>
      <c r="E1639" t="s">
        <v>330</v>
      </c>
      <c r="F1639" s="5">
        <v>856.52</v>
      </c>
      <c r="G1639" s="5">
        <v>171.304</v>
      </c>
      <c r="I1639" t="str">
        <f t="shared" si="126"/>
        <v>Low Sales</v>
      </c>
      <c r="J1639" t="str">
        <f t="shared" si="127"/>
        <v>Average Performance</v>
      </c>
      <c r="K1639">
        <f t="shared" si="128"/>
        <v>2005</v>
      </c>
      <c r="L1639" t="str">
        <f t="shared" si="129"/>
        <v>January</v>
      </c>
    </row>
    <row r="1640" spans="1:12" x14ac:dyDescent="0.25">
      <c r="A1640" t="s">
        <v>182</v>
      </c>
      <c r="B1640" t="s">
        <v>258</v>
      </c>
      <c r="C1640" t="s">
        <v>264</v>
      </c>
      <c r="D1640" t="str">
        <f t="shared" si="125"/>
        <v>Vintage Cars</v>
      </c>
      <c r="E1640" t="s">
        <v>330</v>
      </c>
      <c r="F1640" s="5">
        <v>1845.45</v>
      </c>
      <c r="G1640" s="5">
        <v>369.09</v>
      </c>
      <c r="I1640" t="str">
        <f t="shared" si="126"/>
        <v>Low Sales</v>
      </c>
      <c r="J1640" t="str">
        <f t="shared" si="127"/>
        <v>Average Performance</v>
      </c>
      <c r="K1640">
        <f t="shared" si="128"/>
        <v>2005</v>
      </c>
      <c r="L1640" t="str">
        <f t="shared" si="129"/>
        <v>February</v>
      </c>
    </row>
    <row r="1641" spans="1:12" x14ac:dyDescent="0.25">
      <c r="A1641" t="s">
        <v>57</v>
      </c>
      <c r="B1641" t="s">
        <v>259</v>
      </c>
      <c r="C1641" t="s">
        <v>264</v>
      </c>
      <c r="D1641" t="str">
        <f t="shared" si="125"/>
        <v>Vintage Cars</v>
      </c>
      <c r="E1641" t="s">
        <v>330</v>
      </c>
      <c r="F1641" s="5">
        <v>4042.08</v>
      </c>
      <c r="G1641" s="5">
        <v>808.41600000000005</v>
      </c>
      <c r="I1641" t="str">
        <f t="shared" si="126"/>
        <v>Low Sales</v>
      </c>
      <c r="J1641" t="str">
        <f t="shared" si="127"/>
        <v>Average Performance</v>
      </c>
      <c r="K1641">
        <f t="shared" si="128"/>
        <v>2005</v>
      </c>
      <c r="L1641" t="str">
        <f t="shared" si="129"/>
        <v>March</v>
      </c>
    </row>
    <row r="1642" spans="1:12" x14ac:dyDescent="0.25">
      <c r="A1642" t="s">
        <v>208</v>
      </c>
      <c r="C1642" t="s">
        <v>264</v>
      </c>
      <c r="D1642" t="str">
        <f t="shared" si="125"/>
        <v>Vintage Cars</v>
      </c>
      <c r="E1642" t="s">
        <v>330</v>
      </c>
      <c r="F1642" s="5">
        <v>1828</v>
      </c>
      <c r="G1642" s="5">
        <v>365.6</v>
      </c>
      <c r="I1642" t="str">
        <f t="shared" si="126"/>
        <v>Low Sales</v>
      </c>
      <c r="J1642" t="str">
        <f t="shared" si="127"/>
        <v>Average Performance</v>
      </c>
      <c r="K1642">
        <f t="shared" si="128"/>
        <v>2005</v>
      </c>
      <c r="L1642" t="str">
        <f t="shared" si="129"/>
        <v>May</v>
      </c>
    </row>
    <row r="1643" spans="1:12" x14ac:dyDescent="0.25">
      <c r="A1643" t="s">
        <v>32</v>
      </c>
      <c r="B1643" t="s">
        <v>258</v>
      </c>
      <c r="C1643" t="s">
        <v>263</v>
      </c>
      <c r="D1643" t="str">
        <f t="shared" si="125"/>
        <v>Trucks And Buses</v>
      </c>
      <c r="E1643" t="s">
        <v>331</v>
      </c>
      <c r="F1643" s="5">
        <v>3680.28</v>
      </c>
      <c r="G1643" s="5">
        <v>736.05600000000004</v>
      </c>
      <c r="I1643" t="str">
        <f t="shared" si="126"/>
        <v>Low Sales</v>
      </c>
      <c r="J1643" t="str">
        <f t="shared" si="127"/>
        <v>Average Performance</v>
      </c>
      <c r="K1643">
        <f t="shared" si="128"/>
        <v>2003</v>
      </c>
      <c r="L1643" t="str">
        <f t="shared" si="129"/>
        <v>January</v>
      </c>
    </row>
    <row r="1644" spans="1:12" x14ac:dyDescent="0.25">
      <c r="A1644" t="s">
        <v>95</v>
      </c>
      <c r="B1644" t="s">
        <v>258</v>
      </c>
      <c r="C1644" t="s">
        <v>263</v>
      </c>
      <c r="D1644" t="str">
        <f t="shared" si="125"/>
        <v>Trucks And Buses</v>
      </c>
      <c r="E1644" t="s">
        <v>331</v>
      </c>
      <c r="F1644" s="5">
        <v>2925.09</v>
      </c>
      <c r="G1644" s="5">
        <v>585.01800000000003</v>
      </c>
      <c r="I1644" t="str">
        <f t="shared" si="126"/>
        <v>Low Sales</v>
      </c>
      <c r="J1644" t="str">
        <f t="shared" si="127"/>
        <v>Average Performance</v>
      </c>
      <c r="K1644">
        <f t="shared" si="128"/>
        <v>2003</v>
      </c>
      <c r="L1644" t="str">
        <f t="shared" si="129"/>
        <v>April</v>
      </c>
    </row>
    <row r="1645" spans="1:12" x14ac:dyDescent="0.25">
      <c r="A1645" t="s">
        <v>34</v>
      </c>
      <c r="B1645" t="s">
        <v>258</v>
      </c>
      <c r="C1645" t="s">
        <v>263</v>
      </c>
      <c r="D1645" t="str">
        <f t="shared" si="125"/>
        <v>Trucks And Buses</v>
      </c>
      <c r="E1645" t="s">
        <v>331</v>
      </c>
      <c r="F1645" s="5">
        <v>3415.77</v>
      </c>
      <c r="G1645" s="5">
        <v>683.154</v>
      </c>
      <c r="I1645" t="str">
        <f t="shared" si="126"/>
        <v>Low Sales</v>
      </c>
      <c r="J1645" t="str">
        <f t="shared" si="127"/>
        <v>Average Performance</v>
      </c>
      <c r="K1645">
        <f t="shared" si="128"/>
        <v>2003</v>
      </c>
      <c r="L1645" t="str">
        <f t="shared" si="129"/>
        <v>May</v>
      </c>
    </row>
    <row r="1646" spans="1:12" x14ac:dyDescent="0.25">
      <c r="A1646" t="s">
        <v>35</v>
      </c>
      <c r="C1646" t="s">
        <v>263</v>
      </c>
      <c r="D1646" t="str">
        <f t="shared" si="125"/>
        <v>Trucks And Buses</v>
      </c>
      <c r="E1646" t="s">
        <v>331</v>
      </c>
      <c r="F1646" s="5">
        <v>5105.1400000000003</v>
      </c>
      <c r="G1646" s="5">
        <v>1021.028</v>
      </c>
      <c r="I1646" t="str">
        <f t="shared" si="126"/>
        <v>Low Sales</v>
      </c>
      <c r="J1646" t="str">
        <f t="shared" si="127"/>
        <v>Average Performance</v>
      </c>
      <c r="K1646">
        <f t="shared" si="128"/>
        <v>2003</v>
      </c>
      <c r="L1646" t="str">
        <f t="shared" si="129"/>
        <v>July</v>
      </c>
    </row>
    <row r="1647" spans="1:12" x14ac:dyDescent="0.25">
      <c r="A1647" t="s">
        <v>151</v>
      </c>
      <c r="B1647" t="s">
        <v>258</v>
      </c>
      <c r="C1647" t="s">
        <v>263</v>
      </c>
      <c r="D1647" t="str">
        <f t="shared" si="125"/>
        <v>Trucks And Buses</v>
      </c>
      <c r="E1647" t="s">
        <v>331</v>
      </c>
      <c r="F1647" s="5">
        <v>5098.8</v>
      </c>
      <c r="G1647" s="5">
        <v>1019.76</v>
      </c>
      <c r="I1647" t="str">
        <f t="shared" si="126"/>
        <v>Low Sales</v>
      </c>
      <c r="J1647" t="str">
        <f t="shared" si="127"/>
        <v>Average Performance</v>
      </c>
      <c r="K1647">
        <f t="shared" si="128"/>
        <v>2003</v>
      </c>
      <c r="L1647" t="str">
        <f t="shared" si="129"/>
        <v>September</v>
      </c>
    </row>
    <row r="1648" spans="1:12" x14ac:dyDescent="0.25">
      <c r="A1648" t="s">
        <v>127</v>
      </c>
      <c r="B1648" t="s">
        <v>260</v>
      </c>
      <c r="C1648" t="s">
        <v>263</v>
      </c>
      <c r="D1648" t="str">
        <f t="shared" si="125"/>
        <v>Trucks And Buses</v>
      </c>
      <c r="E1648" t="s">
        <v>331</v>
      </c>
      <c r="F1648" s="5">
        <v>4661.76</v>
      </c>
      <c r="G1648" s="5">
        <v>932.35200000000009</v>
      </c>
      <c r="I1648" t="str">
        <f t="shared" si="126"/>
        <v>Low Sales</v>
      </c>
      <c r="J1648" t="str">
        <f t="shared" si="127"/>
        <v>Average Performance</v>
      </c>
      <c r="K1648">
        <f t="shared" si="128"/>
        <v>2003</v>
      </c>
      <c r="L1648" t="str">
        <f t="shared" si="129"/>
        <v>October</v>
      </c>
    </row>
    <row r="1649" spans="1:12" x14ac:dyDescent="0.25">
      <c r="A1649" t="s">
        <v>38</v>
      </c>
      <c r="B1649" t="s">
        <v>258</v>
      </c>
      <c r="C1649" t="s">
        <v>263</v>
      </c>
      <c r="D1649" t="str">
        <f t="shared" si="125"/>
        <v>Trucks And Buses</v>
      </c>
      <c r="E1649" t="s">
        <v>331</v>
      </c>
      <c r="F1649" s="5">
        <v>2969.96</v>
      </c>
      <c r="G1649" s="5">
        <v>593.99200000000008</v>
      </c>
      <c r="I1649" t="str">
        <f t="shared" si="126"/>
        <v>Low Sales</v>
      </c>
      <c r="J1649" t="str">
        <f t="shared" si="127"/>
        <v>Average Performance</v>
      </c>
      <c r="K1649">
        <f t="shared" si="128"/>
        <v>2003</v>
      </c>
      <c r="L1649" t="str">
        <f t="shared" si="129"/>
        <v>November</v>
      </c>
    </row>
    <row r="1650" spans="1:12" x14ac:dyDescent="0.25">
      <c r="A1650" t="s">
        <v>75</v>
      </c>
      <c r="B1650" t="s">
        <v>258</v>
      </c>
      <c r="C1650" t="s">
        <v>263</v>
      </c>
      <c r="D1650" t="str">
        <f t="shared" si="125"/>
        <v>Trucks And Buses</v>
      </c>
      <c r="E1650" t="s">
        <v>331</v>
      </c>
      <c r="F1650" s="5">
        <v>3496.32</v>
      </c>
      <c r="G1650" s="5">
        <v>699.26400000000012</v>
      </c>
      <c r="I1650" t="str">
        <f t="shared" si="126"/>
        <v>Low Sales</v>
      </c>
      <c r="J1650" t="str">
        <f t="shared" si="127"/>
        <v>Average Performance</v>
      </c>
      <c r="K1650">
        <f t="shared" si="128"/>
        <v>2003</v>
      </c>
      <c r="L1650" t="str">
        <f t="shared" si="129"/>
        <v>November</v>
      </c>
    </row>
    <row r="1651" spans="1:12" x14ac:dyDescent="0.25">
      <c r="A1651" t="s">
        <v>40</v>
      </c>
      <c r="B1651" t="s">
        <v>258</v>
      </c>
      <c r="C1651" t="s">
        <v>263</v>
      </c>
      <c r="D1651" t="str">
        <f t="shared" si="125"/>
        <v>Trucks And Buses</v>
      </c>
      <c r="E1651" t="s">
        <v>331</v>
      </c>
      <c r="F1651" s="5">
        <v>5760.93</v>
      </c>
      <c r="G1651" s="5">
        <v>1152.1859999999999</v>
      </c>
      <c r="I1651" t="str">
        <f t="shared" si="126"/>
        <v>Low Sales</v>
      </c>
      <c r="J1651" t="str">
        <f t="shared" si="127"/>
        <v>Average Performance</v>
      </c>
      <c r="K1651">
        <f t="shared" si="128"/>
        <v>2003</v>
      </c>
      <c r="L1651" t="str">
        <f t="shared" si="129"/>
        <v>November</v>
      </c>
    </row>
    <row r="1652" spans="1:12" x14ac:dyDescent="0.25">
      <c r="A1652" t="s">
        <v>97</v>
      </c>
      <c r="C1652" t="s">
        <v>263</v>
      </c>
      <c r="D1652" t="str">
        <f>PROPER(TRIM(C1652))</f>
        <v>Trucks And Buses</v>
      </c>
      <c r="E1652" t="s">
        <v>331</v>
      </c>
      <c r="F1652" s="5">
        <v>6819.04</v>
      </c>
      <c r="G1652" s="5">
        <v>1363.808</v>
      </c>
      <c r="I1652" t="str">
        <f t="shared" si="126"/>
        <v>Low Sales</v>
      </c>
      <c r="J1652" t="str">
        <f t="shared" si="127"/>
        <v>Average Performance</v>
      </c>
      <c r="K1652">
        <f t="shared" si="128"/>
        <v>2003</v>
      </c>
      <c r="L1652" t="str">
        <f t="shared" si="129"/>
        <v>December</v>
      </c>
    </row>
    <row r="1653" spans="1:12" x14ac:dyDescent="0.25">
      <c r="A1653" t="s">
        <v>98</v>
      </c>
      <c r="B1653" t="s">
        <v>259</v>
      </c>
      <c r="C1653" t="s">
        <v>263</v>
      </c>
      <c r="D1653" t="str">
        <f t="shared" ref="D1653:D1666" si="130">PROPER(TRIM(C1653))</f>
        <v>Trucks And Buses</v>
      </c>
      <c r="E1653" t="s">
        <v>331</v>
      </c>
      <c r="F1653" s="5">
        <v>3148.88</v>
      </c>
      <c r="G1653" s="5">
        <v>629.77600000000007</v>
      </c>
      <c r="I1653" t="str">
        <f t="shared" si="126"/>
        <v>Low Sales</v>
      </c>
      <c r="J1653" t="str">
        <f t="shared" si="127"/>
        <v>Average Performance</v>
      </c>
      <c r="K1653">
        <f t="shared" si="128"/>
        <v>2004</v>
      </c>
      <c r="L1653" t="str">
        <f t="shared" si="129"/>
        <v>February</v>
      </c>
    </row>
    <row r="1654" spans="1:12" x14ac:dyDescent="0.25">
      <c r="A1654" t="s">
        <v>99</v>
      </c>
      <c r="C1654" t="s">
        <v>263</v>
      </c>
      <c r="D1654" t="str">
        <f t="shared" si="130"/>
        <v>Trucks And Buses</v>
      </c>
      <c r="E1654" t="s">
        <v>331</v>
      </c>
      <c r="F1654" s="5">
        <v>5704.32</v>
      </c>
      <c r="G1654" s="5">
        <v>1140.864</v>
      </c>
      <c r="I1654" t="str">
        <f t="shared" si="126"/>
        <v>Low Sales</v>
      </c>
      <c r="J1654" t="str">
        <f t="shared" si="127"/>
        <v>Average Performance</v>
      </c>
      <c r="K1654">
        <f t="shared" si="128"/>
        <v>2004</v>
      </c>
      <c r="L1654" t="str">
        <f t="shared" si="129"/>
        <v>March</v>
      </c>
    </row>
    <row r="1655" spans="1:12" x14ac:dyDescent="0.25">
      <c r="A1655" t="s">
        <v>131</v>
      </c>
      <c r="B1655" t="s">
        <v>258</v>
      </c>
      <c r="C1655" t="s">
        <v>263</v>
      </c>
      <c r="D1655" t="str">
        <f t="shared" si="130"/>
        <v>Trucks And Buses</v>
      </c>
      <c r="E1655" t="s">
        <v>331</v>
      </c>
      <c r="F1655" s="5">
        <v>3520.6</v>
      </c>
      <c r="G1655" s="5">
        <v>704.12</v>
      </c>
      <c r="I1655" t="str">
        <f t="shared" si="126"/>
        <v>Low Sales</v>
      </c>
      <c r="J1655" t="str">
        <f t="shared" si="127"/>
        <v>Average Performance</v>
      </c>
      <c r="K1655">
        <f t="shared" si="128"/>
        <v>2004</v>
      </c>
      <c r="L1655" t="str">
        <f t="shared" si="129"/>
        <v>May</v>
      </c>
    </row>
    <row r="1656" spans="1:12" x14ac:dyDescent="0.25">
      <c r="A1656" t="s">
        <v>45</v>
      </c>
      <c r="B1656" t="s">
        <v>259</v>
      </c>
      <c r="C1656" t="s">
        <v>263</v>
      </c>
      <c r="D1656" t="str">
        <f t="shared" si="130"/>
        <v>Trucks And Buses</v>
      </c>
      <c r="E1656" t="s">
        <v>331</v>
      </c>
      <c r="F1656" s="5">
        <v>5285.62</v>
      </c>
      <c r="G1656" s="5">
        <v>1057.124</v>
      </c>
      <c r="I1656" t="str">
        <f t="shared" si="126"/>
        <v>Low Sales</v>
      </c>
      <c r="J1656" t="str">
        <f t="shared" si="127"/>
        <v>Average Performance</v>
      </c>
      <c r="K1656">
        <f t="shared" si="128"/>
        <v>2004</v>
      </c>
      <c r="L1656" t="str">
        <f t="shared" si="129"/>
        <v>June</v>
      </c>
    </row>
    <row r="1657" spans="1:12" x14ac:dyDescent="0.25">
      <c r="A1657" t="s">
        <v>132</v>
      </c>
      <c r="C1657" t="s">
        <v>263</v>
      </c>
      <c r="D1657" t="str">
        <f t="shared" si="130"/>
        <v>Trucks And Buses</v>
      </c>
      <c r="E1657" t="s">
        <v>331</v>
      </c>
      <c r="F1657" s="5">
        <v>5605.05</v>
      </c>
      <c r="G1657" s="5">
        <v>1121.01</v>
      </c>
      <c r="I1657" t="str">
        <f t="shared" si="126"/>
        <v>Low Sales</v>
      </c>
      <c r="J1657" t="str">
        <f t="shared" si="127"/>
        <v>Average Performance</v>
      </c>
      <c r="K1657">
        <f t="shared" si="128"/>
        <v>2004</v>
      </c>
      <c r="L1657" t="str">
        <f t="shared" si="129"/>
        <v>July</v>
      </c>
    </row>
    <row r="1658" spans="1:12" x14ac:dyDescent="0.25">
      <c r="A1658" t="s">
        <v>100</v>
      </c>
      <c r="C1658" t="s">
        <v>263</v>
      </c>
      <c r="D1658" t="str">
        <f t="shared" si="130"/>
        <v>Trucks And Buses</v>
      </c>
      <c r="E1658" t="s">
        <v>331</v>
      </c>
      <c r="F1658" s="5">
        <v>2779.5</v>
      </c>
      <c r="G1658" s="5">
        <v>555.9</v>
      </c>
      <c r="I1658" t="str">
        <f t="shared" si="126"/>
        <v>Low Sales</v>
      </c>
      <c r="J1658" t="str">
        <f t="shared" si="127"/>
        <v>Average Performance</v>
      </c>
      <c r="K1658">
        <f t="shared" si="128"/>
        <v>2004</v>
      </c>
      <c r="L1658" t="str">
        <f t="shared" si="129"/>
        <v>August</v>
      </c>
    </row>
    <row r="1659" spans="1:12" x14ac:dyDescent="0.25">
      <c r="A1659" t="s">
        <v>48</v>
      </c>
      <c r="B1659" t="s">
        <v>258</v>
      </c>
      <c r="C1659" t="s">
        <v>263</v>
      </c>
      <c r="D1659" t="str">
        <f t="shared" si="130"/>
        <v>Trucks And Buses</v>
      </c>
      <c r="E1659" t="s">
        <v>331</v>
      </c>
      <c r="F1659" s="5">
        <v>5398.08</v>
      </c>
      <c r="G1659" s="5">
        <v>1079.616</v>
      </c>
      <c r="I1659" t="str">
        <f t="shared" si="126"/>
        <v>Low Sales</v>
      </c>
      <c r="J1659" t="str">
        <f t="shared" si="127"/>
        <v>Average Performance</v>
      </c>
      <c r="K1659">
        <f t="shared" si="128"/>
        <v>2004</v>
      </c>
      <c r="L1659" t="str">
        <f t="shared" si="129"/>
        <v>September</v>
      </c>
    </row>
    <row r="1660" spans="1:12" x14ac:dyDescent="0.25">
      <c r="A1660" t="s">
        <v>101</v>
      </c>
      <c r="C1660" t="s">
        <v>263</v>
      </c>
      <c r="D1660" t="str">
        <f t="shared" si="130"/>
        <v>Trucks And Buses</v>
      </c>
      <c r="E1660" t="s">
        <v>331</v>
      </c>
      <c r="F1660" s="5">
        <v>3189.6</v>
      </c>
      <c r="G1660" s="5">
        <v>637.92000000000007</v>
      </c>
      <c r="I1660" t="str">
        <f t="shared" si="126"/>
        <v>Low Sales</v>
      </c>
      <c r="J1660" t="str">
        <f t="shared" si="127"/>
        <v>Average Performance</v>
      </c>
      <c r="K1660">
        <f t="shared" si="128"/>
        <v>2004</v>
      </c>
      <c r="L1660" t="str">
        <f t="shared" si="129"/>
        <v>October</v>
      </c>
    </row>
    <row r="1661" spans="1:12" x14ac:dyDescent="0.25">
      <c r="A1661" t="s">
        <v>102</v>
      </c>
      <c r="C1661" t="s">
        <v>263</v>
      </c>
      <c r="D1661" t="str">
        <f t="shared" si="130"/>
        <v>Trucks And Buses</v>
      </c>
      <c r="E1661" t="s">
        <v>331</v>
      </c>
      <c r="F1661" s="5">
        <v>5581.8</v>
      </c>
      <c r="G1661" s="5">
        <v>1116.3599999999999</v>
      </c>
      <c r="I1661" t="str">
        <f t="shared" si="126"/>
        <v>Low Sales</v>
      </c>
      <c r="J1661" t="str">
        <f t="shared" si="127"/>
        <v>Average Performance</v>
      </c>
      <c r="K1661">
        <f t="shared" si="128"/>
        <v>2004</v>
      </c>
      <c r="L1661" t="str">
        <f t="shared" si="129"/>
        <v>October</v>
      </c>
    </row>
    <row r="1662" spans="1:12" x14ac:dyDescent="0.25">
      <c r="A1662" t="s">
        <v>86</v>
      </c>
      <c r="C1662" t="s">
        <v>263</v>
      </c>
      <c r="D1662" t="str">
        <f t="shared" si="130"/>
        <v>Trucks And Buses</v>
      </c>
      <c r="E1662" t="s">
        <v>331</v>
      </c>
      <c r="F1662" s="5">
        <v>3820.44</v>
      </c>
      <c r="G1662" s="5">
        <v>764.08800000000008</v>
      </c>
      <c r="I1662" t="str">
        <f t="shared" si="126"/>
        <v>Low Sales</v>
      </c>
      <c r="J1662" t="str">
        <f t="shared" si="127"/>
        <v>Average Performance</v>
      </c>
      <c r="K1662">
        <f t="shared" si="128"/>
        <v>2004</v>
      </c>
      <c r="L1662" t="str">
        <f t="shared" si="129"/>
        <v>November</v>
      </c>
    </row>
    <row r="1663" spans="1:12" x14ac:dyDescent="0.25">
      <c r="A1663" t="s">
        <v>103</v>
      </c>
      <c r="B1663" t="s">
        <v>258</v>
      </c>
      <c r="C1663" t="s">
        <v>263</v>
      </c>
      <c r="D1663" t="str">
        <f t="shared" si="130"/>
        <v>Trucks And Buses</v>
      </c>
      <c r="E1663" t="s">
        <v>331</v>
      </c>
      <c r="F1663" s="5">
        <v>5528.04</v>
      </c>
      <c r="G1663" s="5">
        <v>1105.6079999999999</v>
      </c>
      <c r="I1663" t="str">
        <f t="shared" si="126"/>
        <v>Low Sales</v>
      </c>
      <c r="J1663" t="str">
        <f t="shared" si="127"/>
        <v>Average Performance</v>
      </c>
      <c r="K1663">
        <f t="shared" si="128"/>
        <v>2004</v>
      </c>
      <c r="L1663" t="str">
        <f t="shared" si="129"/>
        <v>November</v>
      </c>
    </row>
    <row r="1664" spans="1:12" x14ac:dyDescent="0.25">
      <c r="A1664" t="s">
        <v>85</v>
      </c>
      <c r="B1664" t="s">
        <v>258</v>
      </c>
      <c r="C1664" t="s">
        <v>263</v>
      </c>
      <c r="D1664" t="str">
        <f t="shared" si="130"/>
        <v>Trucks And Buses</v>
      </c>
      <c r="E1664" t="s">
        <v>331</v>
      </c>
      <c r="F1664" s="5">
        <v>5981.42</v>
      </c>
      <c r="G1664" s="5">
        <v>1196.2840000000001</v>
      </c>
      <c r="I1664" t="str">
        <f t="shared" si="126"/>
        <v>Low Sales</v>
      </c>
      <c r="J1664" t="str">
        <f t="shared" si="127"/>
        <v>Average Performance</v>
      </c>
      <c r="K1664">
        <f t="shared" si="128"/>
        <v>2004</v>
      </c>
      <c r="L1664" t="str">
        <f t="shared" si="129"/>
        <v>November</v>
      </c>
    </row>
    <row r="1665" spans="1:12" x14ac:dyDescent="0.25">
      <c r="A1665" t="s">
        <v>54</v>
      </c>
      <c r="B1665" t="s">
        <v>258</v>
      </c>
      <c r="C1665" t="s">
        <v>263</v>
      </c>
      <c r="D1665" t="str">
        <f t="shared" si="130"/>
        <v>Trucks And Buses</v>
      </c>
      <c r="E1665" t="s">
        <v>331</v>
      </c>
      <c r="F1665" s="5">
        <v>5684.65</v>
      </c>
      <c r="G1665" s="5">
        <v>1136.93</v>
      </c>
      <c r="I1665" t="str">
        <f t="shared" si="126"/>
        <v>Low Sales</v>
      </c>
      <c r="J1665" t="str">
        <f t="shared" si="127"/>
        <v>Average Performance</v>
      </c>
      <c r="K1665">
        <f t="shared" si="128"/>
        <v>2004</v>
      </c>
      <c r="L1665" t="str">
        <f t="shared" si="129"/>
        <v>December</v>
      </c>
    </row>
    <row r="1666" spans="1:12" x14ac:dyDescent="0.25">
      <c r="A1666" t="s">
        <v>135</v>
      </c>
      <c r="C1666" t="s">
        <v>263</v>
      </c>
      <c r="D1666" t="str">
        <f t="shared" si="130"/>
        <v>Trucks And Buses</v>
      </c>
      <c r="E1666" t="s">
        <v>331</v>
      </c>
      <c r="F1666" s="5">
        <v>3449.4</v>
      </c>
      <c r="G1666" s="5">
        <v>689.88000000000011</v>
      </c>
      <c r="I1666" t="str">
        <f t="shared" si="126"/>
        <v>Low Sales</v>
      </c>
      <c r="J1666" t="str">
        <f t="shared" si="127"/>
        <v>Average Performance</v>
      </c>
      <c r="K1666">
        <f t="shared" si="128"/>
        <v>2005</v>
      </c>
      <c r="L1666" t="str">
        <f t="shared" si="129"/>
        <v>January</v>
      </c>
    </row>
    <row r="1667" spans="1:12" x14ac:dyDescent="0.25">
      <c r="A1667" t="s">
        <v>56</v>
      </c>
      <c r="C1667" t="s">
        <v>263</v>
      </c>
      <c r="D1667" t="str">
        <f>PROPER(TRIM(C1667))</f>
        <v>Trucks And Buses</v>
      </c>
      <c r="E1667" t="s">
        <v>331</v>
      </c>
      <c r="F1667" s="5">
        <v>2654.4</v>
      </c>
      <c r="G1667" s="5">
        <v>530.88</v>
      </c>
      <c r="I1667" t="str">
        <f t="shared" ref="I1667:I1730" si="131">IF(F1667&gt;50000,"High Sales","Low Sales")</f>
        <v>Low Sales</v>
      </c>
      <c r="J1667" t="str">
        <f t="shared" ref="J1667:J1730" si="132">IF(AND(F1667&gt;30000,G1667&gt;5000),"Good Performance","Average Performance")</f>
        <v>Average Performance</v>
      </c>
      <c r="K1667">
        <f t="shared" ref="K1667:K1730" si="133">YEAR(A1667)</f>
        <v>2005</v>
      </c>
      <c r="L1667" t="str">
        <f t="shared" ref="L1667:L1730" si="134">TEXT(A1667,"mmmm")</f>
        <v>February</v>
      </c>
    </row>
    <row r="1668" spans="1:12" x14ac:dyDescent="0.25">
      <c r="A1668" t="s">
        <v>153</v>
      </c>
      <c r="B1668" t="s">
        <v>258</v>
      </c>
      <c r="C1668" t="s">
        <v>263</v>
      </c>
      <c r="D1668" t="str">
        <f t="shared" ref="D1668:D1682" si="135">PROPER(TRIM(C1668))</f>
        <v>Trucks And Buses</v>
      </c>
      <c r="E1668" t="s">
        <v>331</v>
      </c>
      <c r="F1668" s="5">
        <v>8498</v>
      </c>
      <c r="G1668" s="5">
        <v>1699.6</v>
      </c>
      <c r="I1668" t="str">
        <f t="shared" si="131"/>
        <v>Low Sales</v>
      </c>
      <c r="J1668" t="str">
        <f t="shared" si="132"/>
        <v>Average Performance</v>
      </c>
      <c r="K1668">
        <f t="shared" si="133"/>
        <v>2005</v>
      </c>
      <c r="L1668" t="str">
        <f t="shared" si="134"/>
        <v>May</v>
      </c>
    </row>
    <row r="1669" spans="1:12" x14ac:dyDescent="0.25">
      <c r="A1669" t="s">
        <v>59</v>
      </c>
      <c r="B1669" t="s">
        <v>258</v>
      </c>
      <c r="C1669" t="s">
        <v>263</v>
      </c>
      <c r="D1669" t="str">
        <f t="shared" si="135"/>
        <v>Trucks And Buses</v>
      </c>
      <c r="E1669" t="s">
        <v>331</v>
      </c>
      <c r="F1669" s="5">
        <v>5510.54</v>
      </c>
      <c r="G1669" s="5">
        <v>1102.1079999999999</v>
      </c>
      <c r="I1669" t="str">
        <f t="shared" si="131"/>
        <v>Low Sales</v>
      </c>
      <c r="J1669" t="str">
        <f t="shared" si="132"/>
        <v>Average Performance</v>
      </c>
      <c r="K1669">
        <f t="shared" si="133"/>
        <v>2005</v>
      </c>
      <c r="L1669" t="str">
        <f t="shared" si="134"/>
        <v>May</v>
      </c>
    </row>
    <row r="1670" spans="1:12" x14ac:dyDescent="0.25">
      <c r="A1670" t="s">
        <v>104</v>
      </c>
      <c r="B1670" t="s">
        <v>260</v>
      </c>
      <c r="C1670" t="s">
        <v>261</v>
      </c>
      <c r="D1670" t="str">
        <f t="shared" si="135"/>
        <v>Motorcycles</v>
      </c>
      <c r="E1670" t="s">
        <v>332</v>
      </c>
      <c r="F1670" s="5">
        <v>2060.4499999999998</v>
      </c>
      <c r="G1670" s="5">
        <v>412.09</v>
      </c>
      <c r="I1670" t="str">
        <f t="shared" si="131"/>
        <v>Low Sales</v>
      </c>
      <c r="J1670" t="str">
        <f t="shared" si="132"/>
        <v>Average Performance</v>
      </c>
      <c r="K1670">
        <f t="shared" si="133"/>
        <v>2003</v>
      </c>
      <c r="L1670" t="str">
        <f t="shared" si="134"/>
        <v>March</v>
      </c>
    </row>
    <row r="1671" spans="1:12" x14ac:dyDescent="0.25">
      <c r="A1671" t="s">
        <v>7</v>
      </c>
      <c r="B1671" t="s">
        <v>258</v>
      </c>
      <c r="C1671" t="s">
        <v>261</v>
      </c>
      <c r="D1671" t="str">
        <f t="shared" si="135"/>
        <v>Motorcycles</v>
      </c>
      <c r="E1671" t="s">
        <v>332</v>
      </c>
      <c r="F1671" s="5">
        <v>2460.16</v>
      </c>
      <c r="G1671" s="5">
        <v>492.03199999999998</v>
      </c>
      <c r="I1671" t="str">
        <f t="shared" si="131"/>
        <v>Low Sales</v>
      </c>
      <c r="J1671" t="str">
        <f t="shared" si="132"/>
        <v>Average Performance</v>
      </c>
      <c r="K1671">
        <f t="shared" si="133"/>
        <v>2003</v>
      </c>
      <c r="L1671" t="str">
        <f t="shared" si="134"/>
        <v>May</v>
      </c>
    </row>
    <row r="1672" spans="1:12" x14ac:dyDescent="0.25">
      <c r="A1672" t="s">
        <v>106</v>
      </c>
      <c r="C1672" t="s">
        <v>261</v>
      </c>
      <c r="D1672" t="str">
        <f t="shared" si="135"/>
        <v>Motorcycles</v>
      </c>
      <c r="E1672" t="s">
        <v>332</v>
      </c>
      <c r="F1672" s="5">
        <v>1787.56</v>
      </c>
      <c r="G1672" s="5">
        <v>357.512</v>
      </c>
      <c r="I1672" t="str">
        <f t="shared" si="131"/>
        <v>Low Sales</v>
      </c>
      <c r="J1672" t="str">
        <f t="shared" si="132"/>
        <v>Average Performance</v>
      </c>
      <c r="K1672">
        <f t="shared" si="133"/>
        <v>2003</v>
      </c>
      <c r="L1672" t="str">
        <f t="shared" si="134"/>
        <v>July</v>
      </c>
    </row>
    <row r="1673" spans="1:12" x14ac:dyDescent="0.25">
      <c r="A1673" t="s">
        <v>9</v>
      </c>
      <c r="C1673" t="s">
        <v>261</v>
      </c>
      <c r="D1673" t="str">
        <f t="shared" si="135"/>
        <v>Motorcycles</v>
      </c>
      <c r="E1673" t="s">
        <v>332</v>
      </c>
      <c r="F1673" s="5">
        <v>1645.65</v>
      </c>
      <c r="G1673" s="5">
        <v>329.13000000000011</v>
      </c>
      <c r="I1673" t="str">
        <f t="shared" si="131"/>
        <v>Low Sales</v>
      </c>
      <c r="J1673" t="str">
        <f t="shared" si="132"/>
        <v>Average Performance</v>
      </c>
      <c r="K1673">
        <f t="shared" si="133"/>
        <v>2003</v>
      </c>
      <c r="L1673" t="str">
        <f t="shared" si="134"/>
        <v>August</v>
      </c>
    </row>
    <row r="1674" spans="1:12" x14ac:dyDescent="0.25">
      <c r="A1674" t="s">
        <v>10</v>
      </c>
      <c r="C1674" t="s">
        <v>261</v>
      </c>
      <c r="D1674" t="str">
        <f t="shared" si="135"/>
        <v>Motorcycles</v>
      </c>
      <c r="E1674" t="s">
        <v>332</v>
      </c>
      <c r="F1674" s="5">
        <v>2169.1799999999998</v>
      </c>
      <c r="G1674" s="5">
        <v>433.83600000000001</v>
      </c>
      <c r="I1674" t="str">
        <f t="shared" si="131"/>
        <v>Low Sales</v>
      </c>
      <c r="J1674" t="str">
        <f t="shared" si="132"/>
        <v>Average Performance</v>
      </c>
      <c r="K1674">
        <f t="shared" si="133"/>
        <v>2003</v>
      </c>
      <c r="L1674" t="str">
        <f t="shared" si="134"/>
        <v>October</v>
      </c>
    </row>
    <row r="1675" spans="1:12" x14ac:dyDescent="0.25">
      <c r="A1675" t="s">
        <v>108</v>
      </c>
      <c r="B1675" t="s">
        <v>259</v>
      </c>
      <c r="C1675" t="s">
        <v>261</v>
      </c>
      <c r="D1675" t="str">
        <f t="shared" si="135"/>
        <v>Motorcycles</v>
      </c>
      <c r="E1675" t="s">
        <v>332</v>
      </c>
      <c r="F1675" s="5">
        <v>2816.18</v>
      </c>
      <c r="G1675" s="5">
        <v>563.23599999999999</v>
      </c>
      <c r="I1675" t="str">
        <f t="shared" si="131"/>
        <v>Low Sales</v>
      </c>
      <c r="J1675" t="str">
        <f t="shared" si="132"/>
        <v>Average Performance</v>
      </c>
      <c r="K1675">
        <f t="shared" si="133"/>
        <v>2003</v>
      </c>
      <c r="L1675" t="str">
        <f t="shared" si="134"/>
        <v>November</v>
      </c>
    </row>
    <row r="1676" spans="1:12" x14ac:dyDescent="0.25">
      <c r="A1676" t="s">
        <v>12</v>
      </c>
      <c r="B1676" t="s">
        <v>258</v>
      </c>
      <c r="C1676" t="s">
        <v>261</v>
      </c>
      <c r="D1676" t="str">
        <f t="shared" si="135"/>
        <v>Motorcycles</v>
      </c>
      <c r="E1676" t="s">
        <v>332</v>
      </c>
      <c r="F1676" s="5">
        <v>2521.0500000000002</v>
      </c>
      <c r="G1676" s="5">
        <v>504.21</v>
      </c>
      <c r="I1676" t="str">
        <f t="shared" si="131"/>
        <v>Low Sales</v>
      </c>
      <c r="J1676" t="str">
        <f t="shared" si="132"/>
        <v>Average Performance</v>
      </c>
      <c r="K1676">
        <f t="shared" si="133"/>
        <v>2003</v>
      </c>
      <c r="L1676" t="str">
        <f t="shared" si="134"/>
        <v>November</v>
      </c>
    </row>
    <row r="1677" spans="1:12" x14ac:dyDescent="0.25">
      <c r="A1677" t="s">
        <v>246</v>
      </c>
      <c r="B1677" t="s">
        <v>258</v>
      </c>
      <c r="C1677" t="s">
        <v>261</v>
      </c>
      <c r="D1677" t="str">
        <f t="shared" si="135"/>
        <v>Motorcycles</v>
      </c>
      <c r="E1677" t="s">
        <v>332</v>
      </c>
      <c r="F1677" s="5">
        <v>3199.98</v>
      </c>
      <c r="G1677" s="5">
        <v>639.99600000000009</v>
      </c>
      <c r="I1677" t="str">
        <f t="shared" si="131"/>
        <v>Low Sales</v>
      </c>
      <c r="J1677" t="str">
        <f t="shared" si="132"/>
        <v>Average Performance</v>
      </c>
      <c r="K1677">
        <f t="shared" si="133"/>
        <v>2003</v>
      </c>
      <c r="L1677" t="str">
        <f t="shared" si="134"/>
        <v>November</v>
      </c>
    </row>
    <row r="1678" spans="1:12" x14ac:dyDescent="0.25">
      <c r="A1678" t="s">
        <v>15</v>
      </c>
      <c r="B1678" t="s">
        <v>258</v>
      </c>
      <c r="C1678" t="s">
        <v>261</v>
      </c>
      <c r="D1678" t="str">
        <f t="shared" si="135"/>
        <v>Motorcycles</v>
      </c>
      <c r="E1678" t="s">
        <v>332</v>
      </c>
      <c r="F1678" s="5">
        <v>1338.12</v>
      </c>
      <c r="G1678" s="5">
        <v>267.62400000000002</v>
      </c>
      <c r="I1678" t="str">
        <f t="shared" si="131"/>
        <v>Low Sales</v>
      </c>
      <c r="J1678" t="str">
        <f t="shared" si="132"/>
        <v>Average Performance</v>
      </c>
      <c r="K1678">
        <f t="shared" si="133"/>
        <v>2004</v>
      </c>
      <c r="L1678" t="str">
        <f t="shared" si="134"/>
        <v>January</v>
      </c>
    </row>
    <row r="1679" spans="1:12" x14ac:dyDescent="0.25">
      <c r="A1679" t="s">
        <v>139</v>
      </c>
      <c r="B1679" t="s">
        <v>258</v>
      </c>
      <c r="C1679" t="s">
        <v>261</v>
      </c>
      <c r="D1679" t="str">
        <f t="shared" si="135"/>
        <v>Motorcycles</v>
      </c>
      <c r="E1679" t="s">
        <v>332</v>
      </c>
      <c r="F1679" s="5">
        <v>2972.58</v>
      </c>
      <c r="G1679" s="5">
        <v>594.51599999999996</v>
      </c>
      <c r="I1679" t="str">
        <f t="shared" si="131"/>
        <v>Low Sales</v>
      </c>
      <c r="J1679" t="str">
        <f t="shared" si="132"/>
        <v>Average Performance</v>
      </c>
      <c r="K1679">
        <f t="shared" si="133"/>
        <v>2004</v>
      </c>
      <c r="L1679" t="str">
        <f t="shared" si="134"/>
        <v>February</v>
      </c>
    </row>
    <row r="1680" spans="1:12" x14ac:dyDescent="0.25">
      <c r="A1680" t="s">
        <v>17</v>
      </c>
      <c r="C1680" t="s">
        <v>261</v>
      </c>
      <c r="D1680" t="str">
        <f t="shared" si="135"/>
        <v>Motorcycles</v>
      </c>
      <c r="E1680" t="s">
        <v>332</v>
      </c>
      <c r="F1680" s="5">
        <v>2070.9</v>
      </c>
      <c r="G1680" s="5">
        <v>414.18000000000012</v>
      </c>
      <c r="I1680" t="str">
        <f t="shared" si="131"/>
        <v>Low Sales</v>
      </c>
      <c r="J1680" t="str">
        <f t="shared" si="132"/>
        <v>Average Performance</v>
      </c>
      <c r="K1680">
        <f t="shared" si="133"/>
        <v>2004</v>
      </c>
      <c r="L1680" t="str">
        <f t="shared" si="134"/>
        <v>April</v>
      </c>
    </row>
    <row r="1681" spans="1:12" x14ac:dyDescent="0.25">
      <c r="A1681" t="s">
        <v>230</v>
      </c>
      <c r="B1681" t="s">
        <v>258</v>
      </c>
      <c r="C1681" t="s">
        <v>261</v>
      </c>
      <c r="D1681" t="str">
        <f t="shared" si="135"/>
        <v>Motorcycles</v>
      </c>
      <c r="E1681" t="s">
        <v>332</v>
      </c>
      <c r="F1681" s="5">
        <v>3092.6</v>
      </c>
      <c r="G1681" s="5">
        <v>618.52</v>
      </c>
      <c r="I1681" t="str">
        <f t="shared" si="131"/>
        <v>Low Sales</v>
      </c>
      <c r="J1681" t="str">
        <f t="shared" si="132"/>
        <v>Average Performance</v>
      </c>
      <c r="K1681">
        <f t="shared" si="133"/>
        <v>2004</v>
      </c>
      <c r="L1681" t="str">
        <f t="shared" si="134"/>
        <v>May</v>
      </c>
    </row>
    <row r="1682" spans="1:12" x14ac:dyDescent="0.25">
      <c r="A1682" t="s">
        <v>236</v>
      </c>
      <c r="C1682" t="s">
        <v>261</v>
      </c>
      <c r="D1682" t="str">
        <f t="shared" si="135"/>
        <v>Motorcycles</v>
      </c>
      <c r="E1682" t="s">
        <v>332</v>
      </c>
      <c r="F1682" s="5">
        <v>2408.6999999999998</v>
      </c>
      <c r="G1682" s="5">
        <v>481.74</v>
      </c>
      <c r="I1682" t="str">
        <f t="shared" si="131"/>
        <v>Low Sales</v>
      </c>
      <c r="J1682" t="str">
        <f t="shared" si="132"/>
        <v>Average Performance</v>
      </c>
      <c r="K1682">
        <f t="shared" si="133"/>
        <v>2004</v>
      </c>
      <c r="L1682" t="str">
        <f t="shared" si="134"/>
        <v>June</v>
      </c>
    </row>
    <row r="1683" spans="1:12" x14ac:dyDescent="0.25">
      <c r="A1683" t="s">
        <v>116</v>
      </c>
      <c r="C1683" t="s">
        <v>261</v>
      </c>
      <c r="D1683" t="str">
        <f>PROPER(TRIM(C1683))</f>
        <v>Motorcycles</v>
      </c>
      <c r="E1683" t="s">
        <v>332</v>
      </c>
      <c r="F1683" s="5">
        <v>3472.54</v>
      </c>
      <c r="G1683" s="5">
        <v>694.50800000000004</v>
      </c>
      <c r="I1683" t="str">
        <f t="shared" si="131"/>
        <v>Low Sales</v>
      </c>
      <c r="J1683" t="str">
        <f t="shared" si="132"/>
        <v>Average Performance</v>
      </c>
      <c r="K1683">
        <f t="shared" si="133"/>
        <v>2004</v>
      </c>
      <c r="L1683" t="str">
        <f t="shared" si="134"/>
        <v>August</v>
      </c>
    </row>
    <row r="1684" spans="1:12" x14ac:dyDescent="0.25">
      <c r="A1684" t="s">
        <v>21</v>
      </c>
      <c r="C1684" t="s">
        <v>261</v>
      </c>
      <c r="D1684" t="str">
        <f t="shared" ref="D1684:D1747" si="136">PROPER(TRIM(C1684))</f>
        <v>Motorcycles</v>
      </c>
      <c r="E1684" t="s">
        <v>332</v>
      </c>
      <c r="F1684" s="5">
        <v>2263.2800000000002</v>
      </c>
      <c r="G1684" s="5">
        <v>452.65600000000012</v>
      </c>
      <c r="I1684" t="str">
        <f t="shared" si="131"/>
        <v>Low Sales</v>
      </c>
      <c r="J1684" t="str">
        <f t="shared" si="132"/>
        <v>Average Performance</v>
      </c>
      <c r="K1684">
        <f t="shared" si="133"/>
        <v>2004</v>
      </c>
      <c r="L1684" t="str">
        <f t="shared" si="134"/>
        <v>August</v>
      </c>
    </row>
    <row r="1685" spans="1:12" x14ac:dyDescent="0.25">
      <c r="A1685" t="s">
        <v>22</v>
      </c>
      <c r="B1685" t="s">
        <v>258</v>
      </c>
      <c r="C1685" t="s">
        <v>261</v>
      </c>
      <c r="D1685" t="str">
        <f t="shared" si="136"/>
        <v>Motorcycles</v>
      </c>
      <c r="E1685" t="s">
        <v>332</v>
      </c>
      <c r="F1685" s="5">
        <v>2194.17</v>
      </c>
      <c r="G1685" s="5">
        <v>438.83400000000012</v>
      </c>
      <c r="I1685" t="str">
        <f t="shared" si="131"/>
        <v>Low Sales</v>
      </c>
      <c r="J1685" t="str">
        <f t="shared" si="132"/>
        <v>Average Performance</v>
      </c>
      <c r="K1685">
        <f t="shared" si="133"/>
        <v>2004</v>
      </c>
      <c r="L1685" t="str">
        <f t="shared" si="134"/>
        <v>September</v>
      </c>
    </row>
    <row r="1686" spans="1:12" x14ac:dyDescent="0.25">
      <c r="A1686" t="s">
        <v>23</v>
      </c>
      <c r="B1686" t="s">
        <v>258</v>
      </c>
      <c r="C1686" t="s">
        <v>261</v>
      </c>
      <c r="D1686" t="str">
        <f t="shared" si="136"/>
        <v>Motorcycles</v>
      </c>
      <c r="E1686" t="s">
        <v>332</v>
      </c>
      <c r="F1686" s="5">
        <v>1346.4</v>
      </c>
      <c r="G1686" s="5">
        <v>269.27999999999997</v>
      </c>
      <c r="I1686" t="str">
        <f t="shared" si="131"/>
        <v>Low Sales</v>
      </c>
      <c r="J1686" t="str">
        <f t="shared" si="132"/>
        <v>Average Performance</v>
      </c>
      <c r="K1686">
        <f t="shared" si="133"/>
        <v>2004</v>
      </c>
      <c r="L1686" t="str">
        <f t="shared" si="134"/>
        <v>October</v>
      </c>
    </row>
    <row r="1687" spans="1:12" x14ac:dyDescent="0.25">
      <c r="A1687" t="s">
        <v>120</v>
      </c>
      <c r="C1687" t="s">
        <v>261</v>
      </c>
      <c r="D1687" t="str">
        <f t="shared" si="136"/>
        <v>Motorcycles</v>
      </c>
      <c r="E1687" t="s">
        <v>332</v>
      </c>
      <c r="F1687" s="5">
        <v>2533.63</v>
      </c>
      <c r="G1687" s="5">
        <v>506.72600000000011</v>
      </c>
      <c r="I1687" t="str">
        <f t="shared" si="131"/>
        <v>Low Sales</v>
      </c>
      <c r="J1687" t="str">
        <f t="shared" si="132"/>
        <v>Average Performance</v>
      </c>
      <c r="K1687">
        <f t="shared" si="133"/>
        <v>2004</v>
      </c>
      <c r="L1687" t="str">
        <f t="shared" si="134"/>
        <v>November</v>
      </c>
    </row>
    <row r="1688" spans="1:12" x14ac:dyDescent="0.25">
      <c r="A1688" t="s">
        <v>233</v>
      </c>
      <c r="B1688" t="s">
        <v>260</v>
      </c>
      <c r="C1688" t="s">
        <v>261</v>
      </c>
      <c r="D1688" t="str">
        <f t="shared" si="136"/>
        <v>Motorcycles</v>
      </c>
      <c r="E1688" t="s">
        <v>332</v>
      </c>
      <c r="F1688" s="5">
        <v>3403.26</v>
      </c>
      <c r="G1688" s="5">
        <v>680.65200000000004</v>
      </c>
      <c r="I1688" t="str">
        <f t="shared" si="131"/>
        <v>Low Sales</v>
      </c>
      <c r="J1688" t="str">
        <f t="shared" si="132"/>
        <v>Average Performance</v>
      </c>
      <c r="K1688">
        <f t="shared" si="133"/>
        <v>2004</v>
      </c>
      <c r="L1688" t="str">
        <f t="shared" si="134"/>
        <v>November</v>
      </c>
    </row>
    <row r="1689" spans="1:12" x14ac:dyDescent="0.25">
      <c r="A1689" t="s">
        <v>26</v>
      </c>
      <c r="B1689" t="s">
        <v>258</v>
      </c>
      <c r="C1689" t="s">
        <v>261</v>
      </c>
      <c r="D1689" t="str">
        <f t="shared" si="136"/>
        <v>Motorcycles</v>
      </c>
      <c r="E1689" t="s">
        <v>332</v>
      </c>
      <c r="F1689" s="5">
        <v>3307.2</v>
      </c>
      <c r="G1689" s="5">
        <v>661.44</v>
      </c>
      <c r="I1689" t="str">
        <f t="shared" si="131"/>
        <v>Low Sales</v>
      </c>
      <c r="J1689" t="str">
        <f t="shared" si="132"/>
        <v>Average Performance</v>
      </c>
      <c r="K1689">
        <f t="shared" si="133"/>
        <v>2004</v>
      </c>
      <c r="L1689" t="str">
        <f t="shared" si="134"/>
        <v>November</v>
      </c>
    </row>
    <row r="1690" spans="1:12" x14ac:dyDescent="0.25">
      <c r="A1690" t="s">
        <v>234</v>
      </c>
      <c r="B1690" t="s">
        <v>258</v>
      </c>
      <c r="C1690" t="s">
        <v>261</v>
      </c>
      <c r="D1690" t="str">
        <f t="shared" si="136"/>
        <v>Motorcycles</v>
      </c>
      <c r="E1690" t="s">
        <v>332</v>
      </c>
      <c r="F1690" s="5">
        <v>2896.65</v>
      </c>
      <c r="G1690" s="5">
        <v>579.33000000000004</v>
      </c>
      <c r="I1690" t="str">
        <f t="shared" si="131"/>
        <v>Low Sales</v>
      </c>
      <c r="J1690" t="str">
        <f t="shared" si="132"/>
        <v>Average Performance</v>
      </c>
      <c r="K1690">
        <f t="shared" si="133"/>
        <v>2004</v>
      </c>
      <c r="L1690" t="str">
        <f t="shared" si="134"/>
        <v>December</v>
      </c>
    </row>
    <row r="1691" spans="1:12" x14ac:dyDescent="0.25">
      <c r="A1691" t="s">
        <v>121</v>
      </c>
      <c r="B1691" t="s">
        <v>258</v>
      </c>
      <c r="C1691" t="s">
        <v>261</v>
      </c>
      <c r="D1691" t="str">
        <f t="shared" si="136"/>
        <v>Motorcycles</v>
      </c>
      <c r="E1691" t="s">
        <v>332</v>
      </c>
      <c r="F1691" s="5">
        <v>2632.89</v>
      </c>
      <c r="G1691" s="5">
        <v>526.57799999999997</v>
      </c>
      <c r="I1691" t="str">
        <f t="shared" si="131"/>
        <v>Low Sales</v>
      </c>
      <c r="J1691" t="str">
        <f t="shared" si="132"/>
        <v>Average Performance</v>
      </c>
      <c r="K1691">
        <f t="shared" si="133"/>
        <v>2005</v>
      </c>
      <c r="L1691" t="str">
        <f t="shared" si="134"/>
        <v>January</v>
      </c>
    </row>
    <row r="1692" spans="1:12" x14ac:dyDescent="0.25">
      <c r="A1692" t="s">
        <v>28</v>
      </c>
      <c r="B1692" t="s">
        <v>258</v>
      </c>
      <c r="C1692" t="s">
        <v>261</v>
      </c>
      <c r="D1692" t="str">
        <f t="shared" si="136"/>
        <v>Motorcycles</v>
      </c>
      <c r="E1692" t="s">
        <v>332</v>
      </c>
      <c r="F1692" s="5">
        <v>2046</v>
      </c>
      <c r="G1692" s="5">
        <v>409.2</v>
      </c>
      <c r="I1692" t="str">
        <f t="shared" si="131"/>
        <v>Low Sales</v>
      </c>
      <c r="J1692" t="str">
        <f t="shared" si="132"/>
        <v>Average Performance</v>
      </c>
      <c r="K1692">
        <f t="shared" si="133"/>
        <v>2005</v>
      </c>
      <c r="L1692" t="str">
        <f t="shared" si="134"/>
        <v>February</v>
      </c>
    </row>
    <row r="1693" spans="1:12" x14ac:dyDescent="0.25">
      <c r="A1693" t="s">
        <v>168</v>
      </c>
      <c r="C1693" t="s">
        <v>261</v>
      </c>
      <c r="D1693" t="str">
        <f t="shared" si="136"/>
        <v>Motorcycles</v>
      </c>
      <c r="E1693" t="s">
        <v>332</v>
      </c>
      <c r="F1693" s="5">
        <v>2279.5500000000002</v>
      </c>
      <c r="G1693" s="5">
        <v>455.91000000000008</v>
      </c>
      <c r="I1693" t="str">
        <f t="shared" si="131"/>
        <v>Low Sales</v>
      </c>
      <c r="J1693" t="str">
        <f t="shared" si="132"/>
        <v>Average Performance</v>
      </c>
      <c r="K1693">
        <f t="shared" si="133"/>
        <v>2005</v>
      </c>
      <c r="L1693" t="str">
        <f t="shared" si="134"/>
        <v>March</v>
      </c>
    </row>
    <row r="1694" spans="1:12" x14ac:dyDescent="0.25">
      <c r="A1694" t="s">
        <v>30</v>
      </c>
      <c r="B1694" t="s">
        <v>258</v>
      </c>
      <c r="C1694" t="s">
        <v>261</v>
      </c>
      <c r="D1694" t="str">
        <f t="shared" si="136"/>
        <v>Motorcycles</v>
      </c>
      <c r="E1694" t="s">
        <v>332</v>
      </c>
      <c r="F1694" s="5">
        <v>2150.5500000000002</v>
      </c>
      <c r="G1694" s="5">
        <v>430.11000000000013</v>
      </c>
      <c r="I1694" t="str">
        <f t="shared" si="131"/>
        <v>Low Sales</v>
      </c>
      <c r="J1694" t="str">
        <f t="shared" si="132"/>
        <v>Average Performance</v>
      </c>
      <c r="K1694">
        <f t="shared" si="133"/>
        <v>2005</v>
      </c>
      <c r="L1694" t="str">
        <f t="shared" si="134"/>
        <v>April</v>
      </c>
    </row>
    <row r="1695" spans="1:12" x14ac:dyDescent="0.25">
      <c r="A1695" t="s">
        <v>184</v>
      </c>
      <c r="B1695" t="s">
        <v>258</v>
      </c>
      <c r="C1695" t="s">
        <v>262</v>
      </c>
      <c r="D1695" t="str">
        <f t="shared" si="136"/>
        <v>Classic Cars</v>
      </c>
      <c r="E1695" t="s">
        <v>333</v>
      </c>
      <c r="F1695" s="5">
        <v>3360.45</v>
      </c>
      <c r="G1695" s="5">
        <v>672.09</v>
      </c>
      <c r="I1695" t="str">
        <f t="shared" si="131"/>
        <v>Low Sales</v>
      </c>
      <c r="J1695" t="str">
        <f t="shared" si="132"/>
        <v>Average Performance</v>
      </c>
      <c r="K1695">
        <f t="shared" si="133"/>
        <v>2003</v>
      </c>
      <c r="L1695" t="str">
        <f t="shared" si="134"/>
        <v>March</v>
      </c>
    </row>
    <row r="1696" spans="1:12" x14ac:dyDescent="0.25">
      <c r="A1696" t="s">
        <v>172</v>
      </c>
      <c r="C1696" t="s">
        <v>262</v>
      </c>
      <c r="D1696" t="str">
        <f t="shared" si="136"/>
        <v>Classic Cars</v>
      </c>
      <c r="E1696" t="s">
        <v>333</v>
      </c>
      <c r="F1696" s="5">
        <v>2326.4</v>
      </c>
      <c r="G1696" s="5">
        <v>465.28</v>
      </c>
      <c r="I1696" t="str">
        <f t="shared" si="131"/>
        <v>Low Sales</v>
      </c>
      <c r="J1696" t="str">
        <f t="shared" si="132"/>
        <v>Average Performance</v>
      </c>
      <c r="K1696">
        <f t="shared" si="133"/>
        <v>2003</v>
      </c>
      <c r="L1696" t="str">
        <f t="shared" si="134"/>
        <v>May</v>
      </c>
    </row>
    <row r="1697" spans="1:12" x14ac:dyDescent="0.25">
      <c r="A1697" t="s">
        <v>159</v>
      </c>
      <c r="B1697" t="s">
        <v>259</v>
      </c>
      <c r="C1697" t="s">
        <v>262</v>
      </c>
      <c r="D1697" t="str">
        <f t="shared" si="136"/>
        <v>Classic Cars</v>
      </c>
      <c r="E1697" t="s">
        <v>333</v>
      </c>
      <c r="F1697" s="5">
        <v>1545.6</v>
      </c>
      <c r="G1697" s="5">
        <v>309.12</v>
      </c>
      <c r="I1697" t="str">
        <f t="shared" si="131"/>
        <v>Low Sales</v>
      </c>
      <c r="J1697" t="str">
        <f t="shared" si="132"/>
        <v>Average Performance</v>
      </c>
      <c r="K1697">
        <f t="shared" si="133"/>
        <v>2003</v>
      </c>
      <c r="L1697" t="str">
        <f t="shared" si="134"/>
        <v>September</v>
      </c>
    </row>
    <row r="1698" spans="1:12" x14ac:dyDescent="0.25">
      <c r="A1698" t="s">
        <v>160</v>
      </c>
      <c r="B1698" t="s">
        <v>258</v>
      </c>
      <c r="C1698" t="s">
        <v>262</v>
      </c>
      <c r="D1698" t="str">
        <f t="shared" si="136"/>
        <v>Classic Cars</v>
      </c>
      <c r="E1698" t="s">
        <v>333</v>
      </c>
      <c r="F1698" s="5">
        <v>2144.6</v>
      </c>
      <c r="G1698" s="5">
        <v>428.92</v>
      </c>
      <c r="I1698" t="str">
        <f t="shared" si="131"/>
        <v>Low Sales</v>
      </c>
      <c r="J1698" t="str">
        <f t="shared" si="132"/>
        <v>Average Performance</v>
      </c>
      <c r="K1698">
        <f t="shared" si="133"/>
        <v>2003</v>
      </c>
      <c r="L1698" t="str">
        <f t="shared" si="134"/>
        <v>October</v>
      </c>
    </row>
    <row r="1699" spans="1:12" x14ac:dyDescent="0.25">
      <c r="A1699" t="s">
        <v>161</v>
      </c>
      <c r="C1699" t="s">
        <v>262</v>
      </c>
      <c r="D1699" t="str">
        <f t="shared" si="136"/>
        <v>Classic Cars</v>
      </c>
      <c r="E1699" t="s">
        <v>333</v>
      </c>
      <c r="F1699" s="5">
        <v>1639.22</v>
      </c>
      <c r="G1699" s="5">
        <v>327.84400000000011</v>
      </c>
      <c r="I1699" t="str">
        <f t="shared" si="131"/>
        <v>Low Sales</v>
      </c>
      <c r="J1699" t="str">
        <f t="shared" si="132"/>
        <v>Average Performance</v>
      </c>
      <c r="K1699">
        <f t="shared" si="133"/>
        <v>2003</v>
      </c>
      <c r="L1699" t="str">
        <f t="shared" si="134"/>
        <v>November</v>
      </c>
    </row>
    <row r="1700" spans="1:12" x14ac:dyDescent="0.25">
      <c r="A1700" t="s">
        <v>109</v>
      </c>
      <c r="C1700" t="s">
        <v>262</v>
      </c>
      <c r="D1700" t="str">
        <f t="shared" si="136"/>
        <v>Classic Cars</v>
      </c>
      <c r="E1700" t="s">
        <v>333</v>
      </c>
      <c r="F1700" s="5">
        <v>2649.6</v>
      </c>
      <c r="G1700" s="5">
        <v>529.91999999999996</v>
      </c>
      <c r="I1700" t="str">
        <f t="shared" si="131"/>
        <v>Low Sales</v>
      </c>
      <c r="J1700" t="str">
        <f t="shared" si="132"/>
        <v>Average Performance</v>
      </c>
      <c r="K1700">
        <f t="shared" si="133"/>
        <v>2003</v>
      </c>
      <c r="L1700" t="str">
        <f t="shared" si="134"/>
        <v>November</v>
      </c>
    </row>
    <row r="1701" spans="1:12" x14ac:dyDescent="0.25">
      <c r="A1701" t="s">
        <v>110</v>
      </c>
      <c r="C1701" t="s">
        <v>262</v>
      </c>
      <c r="D1701" t="str">
        <f t="shared" si="136"/>
        <v>Classic Cars</v>
      </c>
      <c r="E1701" t="s">
        <v>333</v>
      </c>
      <c r="F1701" s="5">
        <v>3845.6</v>
      </c>
      <c r="G1701" s="5">
        <v>769.12</v>
      </c>
      <c r="I1701" t="str">
        <f t="shared" si="131"/>
        <v>Low Sales</v>
      </c>
      <c r="J1701" t="str">
        <f t="shared" si="132"/>
        <v>Average Performance</v>
      </c>
      <c r="K1701">
        <f t="shared" si="133"/>
        <v>2003</v>
      </c>
      <c r="L1701" t="str">
        <f t="shared" si="134"/>
        <v>November</v>
      </c>
    </row>
    <row r="1702" spans="1:12" x14ac:dyDescent="0.25">
      <c r="A1702" t="s">
        <v>111</v>
      </c>
      <c r="C1702" t="s">
        <v>262</v>
      </c>
      <c r="D1702" t="str">
        <f t="shared" si="136"/>
        <v>Classic Cars</v>
      </c>
      <c r="E1702" t="s">
        <v>333</v>
      </c>
      <c r="F1702" s="5">
        <v>4527.04</v>
      </c>
      <c r="G1702" s="5">
        <v>905.40800000000002</v>
      </c>
      <c r="I1702" t="str">
        <f t="shared" si="131"/>
        <v>Low Sales</v>
      </c>
      <c r="J1702" t="str">
        <f t="shared" si="132"/>
        <v>Average Performance</v>
      </c>
      <c r="K1702">
        <f t="shared" si="133"/>
        <v>2003</v>
      </c>
      <c r="L1702" t="str">
        <f t="shared" si="134"/>
        <v>December</v>
      </c>
    </row>
    <row r="1703" spans="1:12" x14ac:dyDescent="0.25">
      <c r="A1703" t="s">
        <v>144</v>
      </c>
      <c r="B1703" t="s">
        <v>258</v>
      </c>
      <c r="C1703" t="s">
        <v>262</v>
      </c>
      <c r="D1703" t="str">
        <f t="shared" si="136"/>
        <v>Classic Cars</v>
      </c>
      <c r="E1703" t="s">
        <v>333</v>
      </c>
      <c r="F1703" s="5">
        <v>3966.3</v>
      </c>
      <c r="G1703" s="5">
        <v>793.2600000000001</v>
      </c>
      <c r="I1703" t="str">
        <f t="shared" si="131"/>
        <v>Low Sales</v>
      </c>
      <c r="J1703" t="str">
        <f t="shared" si="132"/>
        <v>Average Performance</v>
      </c>
      <c r="K1703">
        <f t="shared" si="133"/>
        <v>2004</v>
      </c>
      <c r="L1703" t="str">
        <f t="shared" si="134"/>
        <v>January</v>
      </c>
    </row>
    <row r="1704" spans="1:12" x14ac:dyDescent="0.25">
      <c r="A1704" t="s">
        <v>178</v>
      </c>
      <c r="B1704" t="s">
        <v>258</v>
      </c>
      <c r="C1704" t="s">
        <v>262</v>
      </c>
      <c r="D1704" t="str">
        <f t="shared" si="136"/>
        <v>Classic Cars</v>
      </c>
      <c r="E1704" t="s">
        <v>333</v>
      </c>
      <c r="F1704" s="5">
        <v>4142.58</v>
      </c>
      <c r="G1704" s="5">
        <v>828.51600000000008</v>
      </c>
      <c r="I1704" t="str">
        <f t="shared" si="131"/>
        <v>Low Sales</v>
      </c>
      <c r="J1704" t="str">
        <f t="shared" si="132"/>
        <v>Average Performance</v>
      </c>
      <c r="K1704">
        <f t="shared" si="133"/>
        <v>2004</v>
      </c>
      <c r="L1704" t="str">
        <f t="shared" si="134"/>
        <v>March</v>
      </c>
    </row>
    <row r="1705" spans="1:12" x14ac:dyDescent="0.25">
      <c r="A1705" t="s">
        <v>162</v>
      </c>
      <c r="B1705" t="s">
        <v>258</v>
      </c>
      <c r="C1705" t="s">
        <v>262</v>
      </c>
      <c r="D1705" t="str">
        <f t="shared" si="136"/>
        <v>Classic Cars</v>
      </c>
      <c r="E1705" t="s">
        <v>333</v>
      </c>
      <c r="F1705" s="5">
        <v>4441.5</v>
      </c>
      <c r="G1705" s="5">
        <v>888.30000000000007</v>
      </c>
      <c r="I1705" t="str">
        <f t="shared" si="131"/>
        <v>Low Sales</v>
      </c>
      <c r="J1705" t="str">
        <f t="shared" si="132"/>
        <v>Average Performance</v>
      </c>
      <c r="K1705">
        <f t="shared" si="133"/>
        <v>2004</v>
      </c>
      <c r="L1705" t="str">
        <f t="shared" si="134"/>
        <v>April</v>
      </c>
    </row>
    <row r="1706" spans="1:12" x14ac:dyDescent="0.25">
      <c r="A1706" t="s">
        <v>244</v>
      </c>
      <c r="C1706" t="s">
        <v>262</v>
      </c>
      <c r="D1706" t="str">
        <f t="shared" si="136"/>
        <v>Classic Cars</v>
      </c>
      <c r="E1706" t="s">
        <v>333</v>
      </c>
      <c r="F1706" s="5">
        <v>3315.12</v>
      </c>
      <c r="G1706" s="5">
        <v>663.024</v>
      </c>
      <c r="I1706" t="str">
        <f t="shared" si="131"/>
        <v>Low Sales</v>
      </c>
      <c r="J1706" t="str">
        <f t="shared" si="132"/>
        <v>Average Performance</v>
      </c>
      <c r="K1706">
        <f t="shared" si="133"/>
        <v>2004</v>
      </c>
      <c r="L1706" t="str">
        <f t="shared" si="134"/>
        <v>July</v>
      </c>
    </row>
    <row r="1707" spans="1:12" x14ac:dyDescent="0.25">
      <c r="A1707" t="s">
        <v>245</v>
      </c>
      <c r="B1707" t="s">
        <v>258</v>
      </c>
      <c r="C1707" t="s">
        <v>262</v>
      </c>
      <c r="D1707" t="str">
        <f t="shared" si="136"/>
        <v>Classic Cars</v>
      </c>
      <c r="E1707" t="s">
        <v>333</v>
      </c>
      <c r="F1707" s="5">
        <v>3918.53</v>
      </c>
      <c r="G1707" s="5">
        <v>783.70600000000013</v>
      </c>
      <c r="I1707" t="str">
        <f t="shared" si="131"/>
        <v>Low Sales</v>
      </c>
      <c r="J1707" t="str">
        <f t="shared" si="132"/>
        <v>Average Performance</v>
      </c>
      <c r="K1707">
        <f t="shared" si="133"/>
        <v>2004</v>
      </c>
      <c r="L1707" t="str">
        <f t="shared" si="134"/>
        <v>August</v>
      </c>
    </row>
    <row r="1708" spans="1:12" x14ac:dyDescent="0.25">
      <c r="A1708" t="s">
        <v>188</v>
      </c>
      <c r="B1708" t="s">
        <v>259</v>
      </c>
      <c r="C1708" t="s">
        <v>262</v>
      </c>
      <c r="D1708" t="str">
        <f t="shared" si="136"/>
        <v>Classic Cars</v>
      </c>
      <c r="E1708" t="s">
        <v>333</v>
      </c>
      <c r="F1708" s="5">
        <v>2830.45</v>
      </c>
      <c r="G1708" s="5">
        <v>566.09</v>
      </c>
      <c r="I1708" t="str">
        <f t="shared" si="131"/>
        <v>Low Sales</v>
      </c>
      <c r="J1708" t="str">
        <f t="shared" si="132"/>
        <v>Average Performance</v>
      </c>
      <c r="K1708">
        <f t="shared" si="133"/>
        <v>2004</v>
      </c>
      <c r="L1708" t="str">
        <f t="shared" si="134"/>
        <v>September</v>
      </c>
    </row>
    <row r="1709" spans="1:12" x14ac:dyDescent="0.25">
      <c r="A1709" t="s">
        <v>72</v>
      </c>
      <c r="B1709" t="s">
        <v>258</v>
      </c>
      <c r="C1709" t="s">
        <v>262</v>
      </c>
      <c r="D1709" t="str">
        <f t="shared" si="136"/>
        <v>Classic Cars</v>
      </c>
      <c r="E1709" t="s">
        <v>333</v>
      </c>
      <c r="F1709" s="5">
        <v>5298.86</v>
      </c>
      <c r="G1709" s="5">
        <v>1059.7719999999999</v>
      </c>
      <c r="I1709" t="str">
        <f t="shared" si="131"/>
        <v>Low Sales</v>
      </c>
      <c r="J1709" t="str">
        <f t="shared" si="132"/>
        <v>Average Performance</v>
      </c>
      <c r="K1709">
        <f t="shared" si="133"/>
        <v>2003</v>
      </c>
      <c r="L1709" t="str">
        <f t="shared" si="134"/>
        <v>October</v>
      </c>
    </row>
    <row r="1710" spans="1:12" x14ac:dyDescent="0.25">
      <c r="A1710" t="s">
        <v>119</v>
      </c>
      <c r="B1710" t="s">
        <v>258</v>
      </c>
      <c r="C1710" t="s">
        <v>262</v>
      </c>
      <c r="D1710" t="str">
        <f t="shared" si="136"/>
        <v>Classic Cars</v>
      </c>
      <c r="E1710" t="s">
        <v>333</v>
      </c>
      <c r="F1710" s="5">
        <v>2620.8000000000002</v>
      </c>
      <c r="G1710" s="5">
        <v>524.16000000000008</v>
      </c>
      <c r="I1710" t="str">
        <f t="shared" si="131"/>
        <v>Low Sales</v>
      </c>
      <c r="J1710" t="str">
        <f t="shared" si="132"/>
        <v>Average Performance</v>
      </c>
      <c r="K1710">
        <f t="shared" si="133"/>
        <v>2004</v>
      </c>
      <c r="L1710" t="str">
        <f t="shared" si="134"/>
        <v>October</v>
      </c>
    </row>
    <row r="1711" spans="1:12" x14ac:dyDescent="0.25">
      <c r="A1711" t="s">
        <v>51</v>
      </c>
      <c r="C1711" t="s">
        <v>262</v>
      </c>
      <c r="D1711" t="str">
        <f t="shared" si="136"/>
        <v>Classic Cars</v>
      </c>
      <c r="E1711" t="s">
        <v>333</v>
      </c>
      <c r="F1711" s="5">
        <v>2181</v>
      </c>
      <c r="G1711" s="5">
        <v>436.2</v>
      </c>
      <c r="I1711" t="str">
        <f t="shared" si="131"/>
        <v>Low Sales</v>
      </c>
      <c r="J1711" t="str">
        <f t="shared" si="132"/>
        <v>Average Performance</v>
      </c>
      <c r="K1711">
        <f t="shared" si="133"/>
        <v>2004</v>
      </c>
      <c r="L1711" t="str">
        <f t="shared" si="134"/>
        <v>November</v>
      </c>
    </row>
    <row r="1712" spans="1:12" x14ac:dyDescent="0.25">
      <c r="A1712" t="s">
        <v>165</v>
      </c>
      <c r="B1712" t="s">
        <v>258</v>
      </c>
      <c r="C1712" t="s">
        <v>262</v>
      </c>
      <c r="D1712" t="str">
        <f t="shared" si="136"/>
        <v>Classic Cars</v>
      </c>
      <c r="E1712" t="s">
        <v>333</v>
      </c>
      <c r="F1712" s="5">
        <v>3382.08</v>
      </c>
      <c r="G1712" s="5">
        <v>676.41600000000005</v>
      </c>
      <c r="I1712" t="str">
        <f t="shared" si="131"/>
        <v>Low Sales</v>
      </c>
      <c r="J1712" t="str">
        <f t="shared" si="132"/>
        <v>Average Performance</v>
      </c>
      <c r="K1712">
        <f t="shared" si="133"/>
        <v>2004</v>
      </c>
      <c r="L1712" t="str">
        <f t="shared" si="134"/>
        <v>November</v>
      </c>
    </row>
    <row r="1713" spans="1:12" x14ac:dyDescent="0.25">
      <c r="A1713" t="s">
        <v>53</v>
      </c>
      <c r="C1713" t="s">
        <v>262</v>
      </c>
      <c r="D1713" t="str">
        <f t="shared" si="136"/>
        <v>Classic Cars</v>
      </c>
      <c r="E1713" t="s">
        <v>333</v>
      </c>
      <c r="F1713" s="5">
        <v>2876.75</v>
      </c>
      <c r="G1713" s="5">
        <v>575.35</v>
      </c>
      <c r="I1713" t="str">
        <f t="shared" si="131"/>
        <v>Low Sales</v>
      </c>
      <c r="J1713" t="str">
        <f t="shared" si="132"/>
        <v>Average Performance</v>
      </c>
      <c r="K1713">
        <f t="shared" si="133"/>
        <v>2004</v>
      </c>
      <c r="L1713" t="str">
        <f t="shared" si="134"/>
        <v>November</v>
      </c>
    </row>
    <row r="1714" spans="1:12" x14ac:dyDescent="0.25">
      <c r="A1714" t="s">
        <v>247</v>
      </c>
      <c r="C1714" t="s">
        <v>262</v>
      </c>
      <c r="D1714" t="str">
        <f t="shared" si="136"/>
        <v>Classic Cars</v>
      </c>
      <c r="E1714" t="s">
        <v>333</v>
      </c>
      <c r="F1714" s="5">
        <v>4107.2</v>
      </c>
      <c r="G1714" s="5">
        <v>821.44</v>
      </c>
      <c r="I1714" t="str">
        <f t="shared" si="131"/>
        <v>Low Sales</v>
      </c>
      <c r="J1714" t="str">
        <f t="shared" si="132"/>
        <v>Average Performance</v>
      </c>
      <c r="K1714">
        <f t="shared" si="133"/>
        <v>2005</v>
      </c>
      <c r="L1714" t="str">
        <f t="shared" si="134"/>
        <v>January</v>
      </c>
    </row>
    <row r="1715" spans="1:12" x14ac:dyDescent="0.25">
      <c r="A1715" t="s">
        <v>182</v>
      </c>
      <c r="B1715" t="s">
        <v>258</v>
      </c>
      <c r="C1715" t="s">
        <v>262</v>
      </c>
      <c r="D1715" t="str">
        <f t="shared" si="136"/>
        <v>Classic Cars</v>
      </c>
      <c r="E1715" t="s">
        <v>333</v>
      </c>
      <c r="F1715" s="5">
        <v>1350</v>
      </c>
      <c r="G1715" s="5">
        <v>270</v>
      </c>
      <c r="I1715" t="str">
        <f t="shared" si="131"/>
        <v>Low Sales</v>
      </c>
      <c r="J1715" t="str">
        <f t="shared" si="132"/>
        <v>Average Performance</v>
      </c>
      <c r="K1715">
        <f t="shared" si="133"/>
        <v>2005</v>
      </c>
      <c r="L1715" t="str">
        <f t="shared" si="134"/>
        <v>February</v>
      </c>
    </row>
    <row r="1716" spans="1:12" x14ac:dyDescent="0.25">
      <c r="A1716" t="s">
        <v>191</v>
      </c>
      <c r="C1716" t="s">
        <v>262</v>
      </c>
      <c r="D1716" t="str">
        <f t="shared" si="136"/>
        <v>Classic Cars</v>
      </c>
      <c r="E1716" t="s">
        <v>333</v>
      </c>
      <c r="F1716" s="5">
        <v>7182</v>
      </c>
      <c r="G1716" s="5">
        <v>1436.4</v>
      </c>
      <c r="I1716" t="str">
        <f t="shared" si="131"/>
        <v>Low Sales</v>
      </c>
      <c r="J1716" t="str">
        <f t="shared" si="132"/>
        <v>Average Performance</v>
      </c>
      <c r="K1716">
        <f t="shared" si="133"/>
        <v>2005</v>
      </c>
      <c r="L1716" t="str">
        <f t="shared" si="134"/>
        <v>April</v>
      </c>
    </row>
    <row r="1717" spans="1:12" x14ac:dyDescent="0.25">
      <c r="A1717" t="s">
        <v>208</v>
      </c>
      <c r="B1717" t="s">
        <v>259</v>
      </c>
      <c r="C1717" t="s">
        <v>262</v>
      </c>
      <c r="D1717" t="str">
        <f t="shared" si="136"/>
        <v>Classic Cars</v>
      </c>
      <c r="E1717" t="s">
        <v>333</v>
      </c>
      <c r="F1717" s="5">
        <v>3933.93</v>
      </c>
      <c r="G1717" s="5">
        <v>786.78600000000006</v>
      </c>
      <c r="I1717" t="str">
        <f t="shared" si="131"/>
        <v>Low Sales</v>
      </c>
      <c r="J1717" t="str">
        <f t="shared" si="132"/>
        <v>Average Performance</v>
      </c>
      <c r="K1717">
        <f t="shared" si="133"/>
        <v>2005</v>
      </c>
      <c r="L1717" t="str">
        <f t="shared" si="134"/>
        <v>May</v>
      </c>
    </row>
    <row r="1718" spans="1:12" x14ac:dyDescent="0.25">
      <c r="A1718" t="s">
        <v>140</v>
      </c>
      <c r="B1718" t="s">
        <v>258</v>
      </c>
      <c r="C1718" t="s">
        <v>262</v>
      </c>
      <c r="D1718" t="str">
        <f t="shared" si="136"/>
        <v>Classic Cars</v>
      </c>
      <c r="E1718" t="s">
        <v>334</v>
      </c>
      <c r="F1718" s="5">
        <v>1742.4</v>
      </c>
      <c r="G1718" s="5">
        <v>348.48</v>
      </c>
      <c r="I1718" t="str">
        <f t="shared" si="131"/>
        <v>Low Sales</v>
      </c>
      <c r="J1718" t="str">
        <f t="shared" si="132"/>
        <v>Average Performance</v>
      </c>
      <c r="K1718">
        <f t="shared" si="133"/>
        <v>2003</v>
      </c>
      <c r="L1718" t="str">
        <f t="shared" si="134"/>
        <v>January</v>
      </c>
    </row>
    <row r="1719" spans="1:12" x14ac:dyDescent="0.25">
      <c r="A1719" t="s">
        <v>95</v>
      </c>
      <c r="B1719" t="s">
        <v>258</v>
      </c>
      <c r="C1719" t="s">
        <v>262</v>
      </c>
      <c r="D1719" t="str">
        <f t="shared" si="136"/>
        <v>Classic Cars</v>
      </c>
      <c r="E1719" t="s">
        <v>334</v>
      </c>
      <c r="F1719" s="5">
        <v>721.44</v>
      </c>
      <c r="G1719" s="5">
        <v>144.28800000000001</v>
      </c>
      <c r="I1719" t="str">
        <f t="shared" si="131"/>
        <v>Low Sales</v>
      </c>
      <c r="J1719" t="str">
        <f t="shared" si="132"/>
        <v>Average Performance</v>
      </c>
      <c r="K1719">
        <f t="shared" si="133"/>
        <v>2003</v>
      </c>
      <c r="L1719" t="str">
        <f t="shared" si="134"/>
        <v>April</v>
      </c>
    </row>
    <row r="1720" spans="1:12" x14ac:dyDescent="0.25">
      <c r="A1720" t="s">
        <v>124</v>
      </c>
      <c r="C1720" t="s">
        <v>262</v>
      </c>
      <c r="D1720" t="str">
        <f t="shared" si="136"/>
        <v>Classic Cars</v>
      </c>
      <c r="E1720" t="s">
        <v>334</v>
      </c>
      <c r="F1720" s="5">
        <v>1489.41</v>
      </c>
      <c r="G1720" s="5">
        <v>297.88200000000001</v>
      </c>
      <c r="I1720" t="str">
        <f t="shared" si="131"/>
        <v>Low Sales</v>
      </c>
      <c r="J1720" t="str">
        <f t="shared" si="132"/>
        <v>Average Performance</v>
      </c>
      <c r="K1720">
        <f t="shared" si="133"/>
        <v>2003</v>
      </c>
      <c r="L1720" t="str">
        <f t="shared" si="134"/>
        <v>June</v>
      </c>
    </row>
    <row r="1721" spans="1:12" x14ac:dyDescent="0.25">
      <c r="A1721" t="s">
        <v>150</v>
      </c>
      <c r="B1721" t="s">
        <v>258</v>
      </c>
      <c r="C1721" t="s">
        <v>262</v>
      </c>
      <c r="D1721" t="str">
        <f t="shared" si="136"/>
        <v>Classic Cars</v>
      </c>
      <c r="E1721" t="s">
        <v>334</v>
      </c>
      <c r="F1721" s="5">
        <v>891.03</v>
      </c>
      <c r="G1721" s="5">
        <v>178.20599999999999</v>
      </c>
      <c r="I1721" t="str">
        <f t="shared" si="131"/>
        <v>Low Sales</v>
      </c>
      <c r="J1721" t="str">
        <f t="shared" si="132"/>
        <v>Average Performance</v>
      </c>
      <c r="K1721">
        <f t="shared" si="133"/>
        <v>2003</v>
      </c>
      <c r="L1721" t="str">
        <f t="shared" si="134"/>
        <v>August</v>
      </c>
    </row>
    <row r="1722" spans="1:12" x14ac:dyDescent="0.25">
      <c r="A1722" t="s">
        <v>151</v>
      </c>
      <c r="B1722" t="s">
        <v>258</v>
      </c>
      <c r="C1722" t="s">
        <v>262</v>
      </c>
      <c r="D1722" t="str">
        <f t="shared" si="136"/>
        <v>Classic Cars</v>
      </c>
      <c r="E1722" t="s">
        <v>334</v>
      </c>
      <c r="F1722" s="5">
        <v>1209.3</v>
      </c>
      <c r="G1722" s="5">
        <v>241.86</v>
      </c>
      <c r="I1722" t="str">
        <f t="shared" si="131"/>
        <v>Low Sales</v>
      </c>
      <c r="J1722" t="str">
        <f t="shared" si="132"/>
        <v>Average Performance</v>
      </c>
      <c r="K1722">
        <f t="shared" si="133"/>
        <v>2003</v>
      </c>
      <c r="L1722" t="str">
        <f t="shared" si="134"/>
        <v>September</v>
      </c>
    </row>
    <row r="1723" spans="1:12" x14ac:dyDescent="0.25">
      <c r="A1723" t="s">
        <v>127</v>
      </c>
      <c r="B1723" t="s">
        <v>260</v>
      </c>
      <c r="C1723" t="s">
        <v>262</v>
      </c>
      <c r="D1723" t="str">
        <f t="shared" si="136"/>
        <v>Classic Cars</v>
      </c>
      <c r="E1723" t="s">
        <v>334</v>
      </c>
      <c r="F1723" s="5">
        <v>859.14</v>
      </c>
      <c r="G1723" s="5">
        <v>171.828</v>
      </c>
      <c r="I1723" t="str">
        <f t="shared" si="131"/>
        <v>Low Sales</v>
      </c>
      <c r="J1723" t="str">
        <f t="shared" si="132"/>
        <v>Average Performance</v>
      </c>
      <c r="K1723">
        <f t="shared" si="133"/>
        <v>2003</v>
      </c>
      <c r="L1723" t="str">
        <f t="shared" si="134"/>
        <v>October</v>
      </c>
    </row>
    <row r="1724" spans="1:12" x14ac:dyDescent="0.25">
      <c r="A1724" t="s">
        <v>38</v>
      </c>
      <c r="B1724" t="s">
        <v>258</v>
      </c>
      <c r="C1724" t="s">
        <v>262</v>
      </c>
      <c r="D1724" t="str">
        <f t="shared" si="136"/>
        <v>Classic Cars</v>
      </c>
      <c r="E1724" t="s">
        <v>334</v>
      </c>
      <c r="F1724" s="5">
        <v>1151.44</v>
      </c>
      <c r="G1724" s="5">
        <v>230.28800000000001</v>
      </c>
      <c r="I1724" t="str">
        <f t="shared" si="131"/>
        <v>Low Sales</v>
      </c>
      <c r="J1724" t="str">
        <f t="shared" si="132"/>
        <v>Average Performance</v>
      </c>
      <c r="K1724">
        <f t="shared" si="133"/>
        <v>2003</v>
      </c>
      <c r="L1724" t="str">
        <f t="shared" si="134"/>
        <v>November</v>
      </c>
    </row>
    <row r="1725" spans="1:12" x14ac:dyDescent="0.25">
      <c r="A1725" t="s">
        <v>75</v>
      </c>
      <c r="B1725" t="s">
        <v>258</v>
      </c>
      <c r="C1725" t="s">
        <v>262</v>
      </c>
      <c r="D1725" t="str">
        <f t="shared" si="136"/>
        <v>Classic Cars</v>
      </c>
      <c r="E1725" t="s">
        <v>334</v>
      </c>
      <c r="F1725" s="5">
        <v>1336.44</v>
      </c>
      <c r="G1725" s="5">
        <v>267.28800000000001</v>
      </c>
      <c r="I1725" t="str">
        <f t="shared" si="131"/>
        <v>Low Sales</v>
      </c>
      <c r="J1725" t="str">
        <f t="shared" si="132"/>
        <v>Average Performance</v>
      </c>
      <c r="K1725">
        <f t="shared" si="133"/>
        <v>2003</v>
      </c>
      <c r="L1725" t="str">
        <f t="shared" si="134"/>
        <v>November</v>
      </c>
    </row>
    <row r="1726" spans="1:12" x14ac:dyDescent="0.25">
      <c r="A1726" t="s">
        <v>40</v>
      </c>
      <c r="C1726" t="s">
        <v>262</v>
      </c>
      <c r="D1726" t="str">
        <f t="shared" si="136"/>
        <v>Classic Cars</v>
      </c>
      <c r="E1726" t="s">
        <v>334</v>
      </c>
      <c r="F1726" s="5">
        <v>905.28</v>
      </c>
      <c r="G1726" s="5">
        <v>181.05600000000001</v>
      </c>
      <c r="I1726" t="str">
        <f t="shared" si="131"/>
        <v>Low Sales</v>
      </c>
      <c r="J1726" t="str">
        <f t="shared" si="132"/>
        <v>Average Performance</v>
      </c>
      <c r="K1726">
        <f t="shared" si="133"/>
        <v>2003</v>
      </c>
      <c r="L1726" t="str">
        <f t="shared" si="134"/>
        <v>November</v>
      </c>
    </row>
    <row r="1727" spans="1:12" x14ac:dyDescent="0.25">
      <c r="A1727" t="s">
        <v>97</v>
      </c>
      <c r="C1727" t="s">
        <v>262</v>
      </c>
      <c r="D1727" t="str">
        <f t="shared" si="136"/>
        <v>Classic Cars</v>
      </c>
      <c r="E1727" t="s">
        <v>334</v>
      </c>
      <c r="F1727" s="5">
        <v>1247.4000000000001</v>
      </c>
      <c r="G1727" s="5">
        <v>249.48</v>
      </c>
      <c r="I1727" t="str">
        <f t="shared" si="131"/>
        <v>Low Sales</v>
      </c>
      <c r="J1727" t="str">
        <f t="shared" si="132"/>
        <v>Average Performance</v>
      </c>
      <c r="K1727">
        <f t="shared" si="133"/>
        <v>2003</v>
      </c>
      <c r="L1727" t="str">
        <f t="shared" si="134"/>
        <v>December</v>
      </c>
    </row>
    <row r="1728" spans="1:12" x14ac:dyDescent="0.25">
      <c r="A1728" t="s">
        <v>152</v>
      </c>
      <c r="C1728" t="s">
        <v>262</v>
      </c>
      <c r="D1728" t="str">
        <f t="shared" si="136"/>
        <v>Classic Cars</v>
      </c>
      <c r="E1728" t="s">
        <v>334</v>
      </c>
      <c r="F1728" s="5">
        <v>846.51</v>
      </c>
      <c r="G1728" s="5">
        <v>169.30199999999999</v>
      </c>
      <c r="I1728" t="str">
        <f t="shared" si="131"/>
        <v>Low Sales</v>
      </c>
      <c r="J1728" t="str">
        <f t="shared" si="132"/>
        <v>Average Performance</v>
      </c>
      <c r="K1728">
        <f t="shared" si="133"/>
        <v>2004</v>
      </c>
      <c r="L1728" t="str">
        <f t="shared" si="134"/>
        <v>February</v>
      </c>
    </row>
    <row r="1729" spans="1:12" x14ac:dyDescent="0.25">
      <c r="A1729" t="s">
        <v>99</v>
      </c>
      <c r="C1729" t="s">
        <v>262</v>
      </c>
      <c r="D1729" t="str">
        <f t="shared" si="136"/>
        <v>Classic Cars</v>
      </c>
      <c r="E1729" t="s">
        <v>334</v>
      </c>
      <c r="F1729" s="5">
        <v>1085.04</v>
      </c>
      <c r="G1729" s="5">
        <v>217.00800000000001</v>
      </c>
      <c r="I1729" t="str">
        <f t="shared" si="131"/>
        <v>Low Sales</v>
      </c>
      <c r="J1729" t="str">
        <f t="shared" si="132"/>
        <v>Average Performance</v>
      </c>
      <c r="K1729">
        <f t="shared" si="133"/>
        <v>2004</v>
      </c>
      <c r="L1729" t="str">
        <f t="shared" si="134"/>
        <v>March</v>
      </c>
    </row>
    <row r="1730" spans="1:12" x14ac:dyDescent="0.25">
      <c r="A1730" t="s">
        <v>131</v>
      </c>
      <c r="B1730" t="s">
        <v>258</v>
      </c>
      <c r="C1730" t="s">
        <v>262</v>
      </c>
      <c r="D1730" t="str">
        <f t="shared" si="136"/>
        <v>Classic Cars</v>
      </c>
      <c r="E1730" t="s">
        <v>334</v>
      </c>
      <c r="F1730" s="5">
        <v>1767.43</v>
      </c>
      <c r="G1730" s="5">
        <v>353.48599999999999</v>
      </c>
      <c r="I1730" t="str">
        <f t="shared" si="131"/>
        <v>Low Sales</v>
      </c>
      <c r="J1730" t="str">
        <f t="shared" si="132"/>
        <v>Average Performance</v>
      </c>
      <c r="K1730">
        <f t="shared" si="133"/>
        <v>2004</v>
      </c>
      <c r="L1730" t="str">
        <f t="shared" si="134"/>
        <v>May</v>
      </c>
    </row>
    <row r="1731" spans="1:12" x14ac:dyDescent="0.25">
      <c r="A1731" t="s">
        <v>45</v>
      </c>
      <c r="B1731" t="s">
        <v>259</v>
      </c>
      <c r="C1731" t="s">
        <v>262</v>
      </c>
      <c r="D1731" t="str">
        <f t="shared" si="136"/>
        <v>Classic Cars</v>
      </c>
      <c r="E1731" t="s">
        <v>334</v>
      </c>
      <c r="F1731" s="5">
        <v>1030.44</v>
      </c>
      <c r="G1731" s="5">
        <v>206.08799999999999</v>
      </c>
      <c r="I1731" t="str">
        <f t="shared" ref="I1731:I1794" si="137">IF(F1731&gt;50000,"High Sales","Low Sales")</f>
        <v>Low Sales</v>
      </c>
      <c r="J1731" t="str">
        <f t="shared" ref="J1731:J1794" si="138">IF(AND(F1731&gt;30000,G1731&gt;5000),"Good Performance","Average Performance")</f>
        <v>Average Performance</v>
      </c>
      <c r="K1731">
        <f t="shared" ref="K1731:K1794" si="139">YEAR(A1731)</f>
        <v>2004</v>
      </c>
      <c r="L1731" t="str">
        <f t="shared" ref="L1731:L1794" si="140">TEXT(A1731,"mmmm")</f>
        <v>June</v>
      </c>
    </row>
    <row r="1732" spans="1:12" x14ac:dyDescent="0.25">
      <c r="A1732" t="s">
        <v>132</v>
      </c>
      <c r="C1732" t="s">
        <v>262</v>
      </c>
      <c r="D1732" t="str">
        <f t="shared" si="136"/>
        <v>Classic Cars</v>
      </c>
      <c r="E1732" t="s">
        <v>334</v>
      </c>
      <c r="F1732" s="5">
        <v>1585.36</v>
      </c>
      <c r="G1732" s="5">
        <v>317.072</v>
      </c>
      <c r="I1732" t="str">
        <f t="shared" si="137"/>
        <v>Low Sales</v>
      </c>
      <c r="J1732" t="str">
        <f t="shared" si="138"/>
        <v>Average Performance</v>
      </c>
      <c r="K1732">
        <f t="shared" si="139"/>
        <v>2004</v>
      </c>
      <c r="L1732" t="str">
        <f t="shared" si="140"/>
        <v>July</v>
      </c>
    </row>
    <row r="1733" spans="1:12" x14ac:dyDescent="0.25">
      <c r="A1733" t="s">
        <v>100</v>
      </c>
      <c r="C1733" t="s">
        <v>262</v>
      </c>
      <c r="D1733" t="str">
        <f t="shared" si="136"/>
        <v>Classic Cars</v>
      </c>
      <c r="E1733" t="s">
        <v>334</v>
      </c>
      <c r="F1733" s="5">
        <v>813.2</v>
      </c>
      <c r="G1733" s="5">
        <v>162.63999999999999</v>
      </c>
      <c r="I1733" t="str">
        <f t="shared" si="137"/>
        <v>Low Sales</v>
      </c>
      <c r="J1733" t="str">
        <f t="shared" si="138"/>
        <v>Average Performance</v>
      </c>
      <c r="K1733">
        <f t="shared" si="139"/>
        <v>2004</v>
      </c>
      <c r="L1733" t="str">
        <f t="shared" si="140"/>
        <v>August</v>
      </c>
    </row>
    <row r="1734" spans="1:12" x14ac:dyDescent="0.25">
      <c r="A1734" t="s">
        <v>48</v>
      </c>
      <c r="C1734" t="s">
        <v>262</v>
      </c>
      <c r="D1734" t="str">
        <f t="shared" si="136"/>
        <v>Classic Cars</v>
      </c>
      <c r="E1734" t="s">
        <v>334</v>
      </c>
      <c r="F1734" s="5">
        <v>1172.3399999999999</v>
      </c>
      <c r="G1734" s="5">
        <v>234.46799999999999</v>
      </c>
      <c r="I1734" t="str">
        <f t="shared" si="137"/>
        <v>Low Sales</v>
      </c>
      <c r="J1734" t="str">
        <f t="shared" si="138"/>
        <v>Average Performance</v>
      </c>
      <c r="K1734">
        <f t="shared" si="139"/>
        <v>2004</v>
      </c>
      <c r="L1734" t="str">
        <f t="shared" si="140"/>
        <v>September</v>
      </c>
    </row>
    <row r="1735" spans="1:12" x14ac:dyDescent="0.25">
      <c r="A1735" t="s">
        <v>101</v>
      </c>
      <c r="C1735" t="s">
        <v>262</v>
      </c>
      <c r="D1735" t="str">
        <f t="shared" si="136"/>
        <v>Classic Cars</v>
      </c>
      <c r="E1735" t="s">
        <v>334</v>
      </c>
      <c r="F1735" s="5">
        <v>1510.56</v>
      </c>
      <c r="G1735" s="5">
        <v>302.11200000000002</v>
      </c>
      <c r="I1735" t="str">
        <f t="shared" si="137"/>
        <v>Low Sales</v>
      </c>
      <c r="J1735" t="str">
        <f t="shared" si="138"/>
        <v>Average Performance</v>
      </c>
      <c r="K1735">
        <f t="shared" si="139"/>
        <v>2004</v>
      </c>
      <c r="L1735" t="str">
        <f t="shared" si="140"/>
        <v>October</v>
      </c>
    </row>
    <row r="1736" spans="1:12" x14ac:dyDescent="0.25">
      <c r="A1736" t="s">
        <v>102</v>
      </c>
      <c r="B1736" t="s">
        <v>258</v>
      </c>
      <c r="C1736" t="s">
        <v>262</v>
      </c>
      <c r="D1736" t="str">
        <f t="shared" si="136"/>
        <v>Classic Cars</v>
      </c>
      <c r="E1736" t="s">
        <v>334</v>
      </c>
      <c r="F1736" s="5">
        <v>1448.07</v>
      </c>
      <c r="G1736" s="5">
        <v>289.61399999999998</v>
      </c>
      <c r="I1736" t="str">
        <f t="shared" si="137"/>
        <v>Low Sales</v>
      </c>
      <c r="J1736" t="str">
        <f t="shared" si="138"/>
        <v>Average Performance</v>
      </c>
      <c r="K1736">
        <f t="shared" si="139"/>
        <v>2004</v>
      </c>
      <c r="L1736" t="str">
        <f t="shared" si="140"/>
        <v>October</v>
      </c>
    </row>
    <row r="1737" spans="1:12" x14ac:dyDescent="0.25">
      <c r="A1737" t="s">
        <v>86</v>
      </c>
      <c r="C1737" t="s">
        <v>262</v>
      </c>
      <c r="D1737" t="str">
        <f t="shared" si="136"/>
        <v>Classic Cars</v>
      </c>
      <c r="E1737" t="s">
        <v>334</v>
      </c>
      <c r="F1737" s="5">
        <v>3338.1</v>
      </c>
      <c r="G1737" s="5">
        <v>667.62</v>
      </c>
      <c r="I1737" t="str">
        <f t="shared" si="137"/>
        <v>Low Sales</v>
      </c>
      <c r="J1737" t="str">
        <f t="shared" si="138"/>
        <v>Average Performance</v>
      </c>
      <c r="K1737">
        <f t="shared" si="139"/>
        <v>2004</v>
      </c>
      <c r="L1737" t="str">
        <f t="shared" si="140"/>
        <v>November</v>
      </c>
    </row>
    <row r="1738" spans="1:12" x14ac:dyDescent="0.25">
      <c r="A1738" t="s">
        <v>103</v>
      </c>
      <c r="C1738" t="s">
        <v>262</v>
      </c>
      <c r="D1738" t="str">
        <f t="shared" si="136"/>
        <v>Classic Cars</v>
      </c>
      <c r="E1738" t="s">
        <v>334</v>
      </c>
      <c r="F1738" s="5">
        <v>1225.29</v>
      </c>
      <c r="G1738" s="5">
        <v>245.05799999999999</v>
      </c>
      <c r="I1738" t="str">
        <f t="shared" si="137"/>
        <v>Low Sales</v>
      </c>
      <c r="J1738" t="str">
        <f t="shared" si="138"/>
        <v>Average Performance</v>
      </c>
      <c r="K1738">
        <f t="shared" si="139"/>
        <v>2004</v>
      </c>
      <c r="L1738" t="str">
        <f t="shared" si="140"/>
        <v>November</v>
      </c>
    </row>
    <row r="1739" spans="1:12" x14ac:dyDescent="0.25">
      <c r="A1739" t="s">
        <v>146</v>
      </c>
      <c r="C1739" t="s">
        <v>262</v>
      </c>
      <c r="D1739" t="str">
        <f t="shared" si="136"/>
        <v>Classic Cars</v>
      </c>
      <c r="E1739" t="s">
        <v>334</v>
      </c>
      <c r="F1739" s="5">
        <v>1336.68</v>
      </c>
      <c r="G1739" s="5">
        <v>267.33600000000001</v>
      </c>
      <c r="I1739" t="str">
        <f t="shared" si="137"/>
        <v>Low Sales</v>
      </c>
      <c r="J1739" t="str">
        <f t="shared" si="138"/>
        <v>Average Performance</v>
      </c>
      <c r="K1739">
        <f t="shared" si="139"/>
        <v>2004</v>
      </c>
      <c r="L1739" t="str">
        <f t="shared" si="140"/>
        <v>December</v>
      </c>
    </row>
    <row r="1740" spans="1:12" x14ac:dyDescent="0.25">
      <c r="A1740" t="s">
        <v>54</v>
      </c>
      <c r="B1740" t="s">
        <v>258</v>
      </c>
      <c r="C1740" t="s">
        <v>262</v>
      </c>
      <c r="D1740" t="str">
        <f t="shared" si="136"/>
        <v>Classic Cars</v>
      </c>
      <c r="E1740" t="s">
        <v>334</v>
      </c>
      <c r="F1740" s="5">
        <v>2985.84</v>
      </c>
      <c r="G1740" s="5">
        <v>597.16800000000001</v>
      </c>
      <c r="I1740" t="str">
        <f t="shared" si="137"/>
        <v>Low Sales</v>
      </c>
      <c r="J1740" t="str">
        <f t="shared" si="138"/>
        <v>Average Performance</v>
      </c>
      <c r="K1740">
        <f t="shared" si="139"/>
        <v>2004</v>
      </c>
      <c r="L1740" t="str">
        <f t="shared" si="140"/>
        <v>December</v>
      </c>
    </row>
    <row r="1741" spans="1:12" x14ac:dyDescent="0.25">
      <c r="A1741" t="s">
        <v>135</v>
      </c>
      <c r="C1741" t="s">
        <v>262</v>
      </c>
      <c r="D1741" t="str">
        <f t="shared" si="136"/>
        <v>Classic Cars</v>
      </c>
      <c r="E1741" t="s">
        <v>334</v>
      </c>
      <c r="F1741" s="5">
        <v>5545.8</v>
      </c>
      <c r="G1741" s="5">
        <v>1109.1600000000001</v>
      </c>
      <c r="I1741" t="str">
        <f t="shared" si="137"/>
        <v>Low Sales</v>
      </c>
      <c r="J1741" t="str">
        <f t="shared" si="138"/>
        <v>Average Performance</v>
      </c>
      <c r="K1741">
        <f t="shared" si="139"/>
        <v>2005</v>
      </c>
      <c r="L1741" t="str">
        <f t="shared" si="140"/>
        <v>January</v>
      </c>
    </row>
    <row r="1742" spans="1:12" x14ac:dyDescent="0.25">
      <c r="A1742" t="s">
        <v>211</v>
      </c>
      <c r="B1742" t="s">
        <v>258</v>
      </c>
      <c r="C1742" t="s">
        <v>262</v>
      </c>
      <c r="D1742" t="str">
        <f t="shared" si="136"/>
        <v>Classic Cars</v>
      </c>
      <c r="E1742" t="s">
        <v>334</v>
      </c>
      <c r="F1742" s="5">
        <v>6089.6</v>
      </c>
      <c r="G1742" s="5">
        <v>1217.92</v>
      </c>
      <c r="I1742" t="str">
        <f t="shared" si="137"/>
        <v>Low Sales</v>
      </c>
      <c r="J1742" t="str">
        <f t="shared" si="138"/>
        <v>Average Performance</v>
      </c>
      <c r="K1742">
        <f t="shared" si="139"/>
        <v>2005</v>
      </c>
      <c r="L1742" t="str">
        <f t="shared" si="140"/>
        <v>February</v>
      </c>
    </row>
    <row r="1743" spans="1:12" x14ac:dyDescent="0.25">
      <c r="A1743" t="s">
        <v>228</v>
      </c>
      <c r="B1743" t="s">
        <v>258</v>
      </c>
      <c r="C1743" t="s">
        <v>262</v>
      </c>
      <c r="D1743" t="str">
        <f t="shared" si="136"/>
        <v>Classic Cars</v>
      </c>
      <c r="E1743" t="s">
        <v>334</v>
      </c>
      <c r="F1743" s="5">
        <v>1789.4</v>
      </c>
      <c r="G1743" s="5">
        <v>357.88000000000011</v>
      </c>
      <c r="I1743" t="str">
        <f t="shared" si="137"/>
        <v>Low Sales</v>
      </c>
      <c r="J1743" t="str">
        <f t="shared" si="138"/>
        <v>Average Performance</v>
      </c>
      <c r="K1743">
        <f t="shared" si="139"/>
        <v>2005</v>
      </c>
      <c r="L1743" t="str">
        <f t="shared" si="140"/>
        <v>March</v>
      </c>
    </row>
    <row r="1744" spans="1:12" x14ac:dyDescent="0.25">
      <c r="A1744" t="s">
        <v>153</v>
      </c>
      <c r="B1744" t="s">
        <v>258</v>
      </c>
      <c r="C1744" t="s">
        <v>262</v>
      </c>
      <c r="D1744" t="str">
        <f t="shared" si="136"/>
        <v>Classic Cars</v>
      </c>
      <c r="E1744" t="s">
        <v>334</v>
      </c>
      <c r="F1744" s="5">
        <v>1082.0999999999999</v>
      </c>
      <c r="G1744" s="5">
        <v>216.42</v>
      </c>
      <c r="I1744" t="str">
        <f t="shared" si="137"/>
        <v>Low Sales</v>
      </c>
      <c r="J1744" t="str">
        <f t="shared" si="138"/>
        <v>Average Performance</v>
      </c>
      <c r="K1744">
        <f t="shared" si="139"/>
        <v>2005</v>
      </c>
      <c r="L1744" t="str">
        <f t="shared" si="140"/>
        <v>May</v>
      </c>
    </row>
    <row r="1745" spans="1:12" x14ac:dyDescent="0.25">
      <c r="A1745" t="s">
        <v>59</v>
      </c>
      <c r="B1745" t="s">
        <v>258</v>
      </c>
      <c r="C1745" t="s">
        <v>262</v>
      </c>
      <c r="D1745" t="str">
        <f t="shared" si="136"/>
        <v>Classic Cars</v>
      </c>
      <c r="E1745" t="s">
        <v>334</v>
      </c>
      <c r="F1745" s="5">
        <v>1030.44</v>
      </c>
      <c r="G1745" s="5">
        <v>206.08799999999999</v>
      </c>
      <c r="I1745" t="str">
        <f t="shared" si="137"/>
        <v>Low Sales</v>
      </c>
      <c r="J1745" t="str">
        <f t="shared" si="138"/>
        <v>Average Performance</v>
      </c>
      <c r="K1745">
        <f t="shared" si="139"/>
        <v>2005</v>
      </c>
      <c r="L1745" t="str">
        <f t="shared" si="140"/>
        <v>May</v>
      </c>
    </row>
    <row r="1746" spans="1:12" x14ac:dyDescent="0.25">
      <c r="A1746" t="s">
        <v>192</v>
      </c>
      <c r="B1746" t="s">
        <v>258</v>
      </c>
      <c r="C1746" t="s">
        <v>265</v>
      </c>
      <c r="D1746" t="str">
        <f t="shared" si="136"/>
        <v>Planes</v>
      </c>
      <c r="E1746" t="s">
        <v>335</v>
      </c>
      <c r="F1746" s="5">
        <v>3659.32</v>
      </c>
      <c r="G1746" s="5">
        <v>731.86400000000003</v>
      </c>
      <c r="I1746" t="str">
        <f t="shared" si="137"/>
        <v>Low Sales</v>
      </c>
      <c r="J1746" t="str">
        <f t="shared" si="138"/>
        <v>Average Performance</v>
      </c>
      <c r="K1746">
        <f t="shared" si="139"/>
        <v>2003</v>
      </c>
      <c r="L1746" t="str">
        <f t="shared" si="140"/>
        <v>February</v>
      </c>
    </row>
    <row r="1747" spans="1:12" x14ac:dyDescent="0.25">
      <c r="A1747" t="s">
        <v>69</v>
      </c>
      <c r="B1747" t="s">
        <v>258</v>
      </c>
      <c r="C1747" t="s">
        <v>265</v>
      </c>
      <c r="D1747" t="str">
        <f t="shared" si="136"/>
        <v>Planes</v>
      </c>
      <c r="E1747" t="s">
        <v>335</v>
      </c>
      <c r="F1747" s="5">
        <v>2443.6</v>
      </c>
      <c r="G1747" s="5">
        <v>488.72</v>
      </c>
      <c r="I1747" t="str">
        <f t="shared" si="137"/>
        <v>Low Sales</v>
      </c>
      <c r="J1747" t="str">
        <f t="shared" si="138"/>
        <v>Average Performance</v>
      </c>
      <c r="K1747">
        <f t="shared" si="139"/>
        <v>2003</v>
      </c>
      <c r="L1747" t="str">
        <f t="shared" si="140"/>
        <v>April</v>
      </c>
    </row>
    <row r="1748" spans="1:12" x14ac:dyDescent="0.25">
      <c r="A1748" t="s">
        <v>193</v>
      </c>
      <c r="C1748" t="s">
        <v>265</v>
      </c>
      <c r="D1748" t="str">
        <f t="shared" ref="D1748:D1811" si="141">PROPER(TRIM(C1748))</f>
        <v>Planes</v>
      </c>
      <c r="E1748" t="s">
        <v>335</v>
      </c>
      <c r="F1748" s="5">
        <v>2349.9</v>
      </c>
      <c r="G1748" s="5">
        <v>469.98</v>
      </c>
      <c r="I1748" t="str">
        <f t="shared" si="137"/>
        <v>Low Sales</v>
      </c>
      <c r="J1748" t="str">
        <f t="shared" si="138"/>
        <v>Average Performance</v>
      </c>
      <c r="K1748">
        <f t="shared" si="139"/>
        <v>2003</v>
      </c>
      <c r="L1748" t="str">
        <f t="shared" si="140"/>
        <v>June</v>
      </c>
    </row>
    <row r="1749" spans="1:12" x14ac:dyDescent="0.25">
      <c r="A1749" t="s">
        <v>71</v>
      </c>
      <c r="C1749" t="s">
        <v>265</v>
      </c>
      <c r="D1749" t="str">
        <f t="shared" si="141"/>
        <v>Planes</v>
      </c>
      <c r="E1749" t="s">
        <v>335</v>
      </c>
      <c r="F1749" s="5">
        <v>1646.19</v>
      </c>
      <c r="G1749" s="5">
        <v>329.23800000000011</v>
      </c>
      <c r="I1749" t="str">
        <f t="shared" si="137"/>
        <v>Low Sales</v>
      </c>
      <c r="J1749" t="str">
        <f t="shared" si="138"/>
        <v>Average Performance</v>
      </c>
      <c r="K1749">
        <f t="shared" si="139"/>
        <v>2003</v>
      </c>
      <c r="L1749" t="str">
        <f t="shared" si="140"/>
        <v>August</v>
      </c>
    </row>
    <row r="1750" spans="1:12" x14ac:dyDescent="0.25">
      <c r="A1750" t="s">
        <v>72</v>
      </c>
      <c r="B1750" t="s">
        <v>258</v>
      </c>
      <c r="C1750" t="s">
        <v>265</v>
      </c>
      <c r="D1750" t="str">
        <f t="shared" si="141"/>
        <v>Planes</v>
      </c>
      <c r="E1750" t="s">
        <v>335</v>
      </c>
      <c r="F1750" s="5">
        <v>1670.26</v>
      </c>
      <c r="G1750" s="5">
        <v>334.05200000000002</v>
      </c>
      <c r="I1750" t="str">
        <f t="shared" si="137"/>
        <v>Low Sales</v>
      </c>
      <c r="J1750" t="str">
        <f t="shared" si="138"/>
        <v>Average Performance</v>
      </c>
      <c r="K1750">
        <f t="shared" si="139"/>
        <v>2003</v>
      </c>
      <c r="L1750" t="str">
        <f t="shared" si="140"/>
        <v>October</v>
      </c>
    </row>
    <row r="1751" spans="1:12" x14ac:dyDescent="0.25">
      <c r="A1751" t="s">
        <v>73</v>
      </c>
      <c r="B1751" t="s">
        <v>258</v>
      </c>
      <c r="C1751" t="s">
        <v>265</v>
      </c>
      <c r="D1751" t="str">
        <f t="shared" si="141"/>
        <v>Planes</v>
      </c>
      <c r="E1751" t="s">
        <v>335</v>
      </c>
      <c r="F1751" s="5">
        <v>1467.48</v>
      </c>
      <c r="G1751" s="5">
        <v>293.49599999999998</v>
      </c>
      <c r="I1751" t="str">
        <f t="shared" si="137"/>
        <v>Low Sales</v>
      </c>
      <c r="J1751" t="str">
        <f t="shared" si="138"/>
        <v>Average Performance</v>
      </c>
      <c r="K1751">
        <f t="shared" si="139"/>
        <v>2003</v>
      </c>
      <c r="L1751" t="str">
        <f t="shared" si="140"/>
        <v>October</v>
      </c>
    </row>
    <row r="1752" spans="1:12" x14ac:dyDescent="0.25">
      <c r="A1752" t="s">
        <v>74</v>
      </c>
      <c r="B1752" t="s">
        <v>258</v>
      </c>
      <c r="C1752" t="s">
        <v>265</v>
      </c>
      <c r="D1752" t="str">
        <f t="shared" si="141"/>
        <v>Planes</v>
      </c>
      <c r="E1752" t="s">
        <v>335</v>
      </c>
      <c r="F1752" s="5">
        <v>2748.56</v>
      </c>
      <c r="G1752" s="5">
        <v>549.71199999999999</v>
      </c>
      <c r="I1752" t="str">
        <f t="shared" si="137"/>
        <v>Low Sales</v>
      </c>
      <c r="J1752" t="str">
        <f t="shared" si="138"/>
        <v>Average Performance</v>
      </c>
      <c r="K1752">
        <f t="shared" si="139"/>
        <v>2003</v>
      </c>
      <c r="L1752" t="str">
        <f t="shared" si="140"/>
        <v>November</v>
      </c>
    </row>
    <row r="1753" spans="1:12" x14ac:dyDescent="0.25">
      <c r="A1753" t="s">
        <v>75</v>
      </c>
      <c r="B1753" t="s">
        <v>258</v>
      </c>
      <c r="C1753" t="s">
        <v>265</v>
      </c>
      <c r="D1753" t="str">
        <f t="shared" si="141"/>
        <v>Planes</v>
      </c>
      <c r="E1753" t="s">
        <v>335</v>
      </c>
      <c r="F1753" s="5">
        <v>1522.4</v>
      </c>
      <c r="G1753" s="5">
        <v>304.48</v>
      </c>
      <c r="I1753" t="str">
        <f t="shared" si="137"/>
        <v>Low Sales</v>
      </c>
      <c r="J1753" t="str">
        <f t="shared" si="138"/>
        <v>Average Performance</v>
      </c>
      <c r="K1753">
        <f t="shared" si="139"/>
        <v>2003</v>
      </c>
      <c r="L1753" t="str">
        <f t="shared" si="140"/>
        <v>November</v>
      </c>
    </row>
    <row r="1754" spans="1:12" x14ac:dyDescent="0.25">
      <c r="A1754" t="s">
        <v>194</v>
      </c>
      <c r="B1754" t="s">
        <v>260</v>
      </c>
      <c r="C1754" t="s">
        <v>265</v>
      </c>
      <c r="D1754" t="str">
        <f t="shared" si="141"/>
        <v>Planes</v>
      </c>
      <c r="E1754" t="s">
        <v>335</v>
      </c>
      <c r="F1754" s="5">
        <v>3255.36</v>
      </c>
      <c r="G1754" s="5">
        <v>651.07200000000012</v>
      </c>
      <c r="I1754" t="str">
        <f t="shared" si="137"/>
        <v>Low Sales</v>
      </c>
      <c r="J1754" t="str">
        <f t="shared" si="138"/>
        <v>Average Performance</v>
      </c>
      <c r="K1754">
        <f t="shared" si="139"/>
        <v>2003</v>
      </c>
      <c r="L1754" t="str">
        <f t="shared" si="140"/>
        <v>November</v>
      </c>
    </row>
    <row r="1755" spans="1:12" x14ac:dyDescent="0.25">
      <c r="A1755" t="s">
        <v>77</v>
      </c>
      <c r="C1755" t="s">
        <v>265</v>
      </c>
      <c r="D1755" t="str">
        <f t="shared" si="141"/>
        <v>Planes</v>
      </c>
      <c r="E1755" t="s">
        <v>335</v>
      </c>
      <c r="F1755" s="5">
        <v>3535.03</v>
      </c>
      <c r="G1755" s="5">
        <v>707.00600000000009</v>
      </c>
      <c r="I1755" t="str">
        <f t="shared" si="137"/>
        <v>Low Sales</v>
      </c>
      <c r="J1755" t="str">
        <f t="shared" si="138"/>
        <v>Average Performance</v>
      </c>
      <c r="K1755">
        <f t="shared" si="139"/>
        <v>2004</v>
      </c>
      <c r="L1755" t="str">
        <f t="shared" si="140"/>
        <v>January</v>
      </c>
    </row>
    <row r="1756" spans="1:12" x14ac:dyDescent="0.25">
      <c r="A1756" t="s">
        <v>78</v>
      </c>
      <c r="C1756" t="s">
        <v>265</v>
      </c>
      <c r="D1756" t="str">
        <f t="shared" si="141"/>
        <v>Planes</v>
      </c>
      <c r="E1756" t="s">
        <v>335</v>
      </c>
      <c r="F1756" s="5">
        <v>2608.96</v>
      </c>
      <c r="G1756" s="5">
        <v>521.79200000000003</v>
      </c>
      <c r="I1756" t="str">
        <f t="shared" si="137"/>
        <v>Low Sales</v>
      </c>
      <c r="J1756" t="str">
        <f t="shared" si="138"/>
        <v>Average Performance</v>
      </c>
      <c r="K1756">
        <f t="shared" si="139"/>
        <v>2004</v>
      </c>
      <c r="L1756" t="str">
        <f t="shared" si="140"/>
        <v>February</v>
      </c>
    </row>
    <row r="1757" spans="1:12" x14ac:dyDescent="0.25">
      <c r="A1757" t="s">
        <v>238</v>
      </c>
      <c r="C1757" t="s">
        <v>265</v>
      </c>
      <c r="D1757" t="str">
        <f t="shared" si="141"/>
        <v>Planes</v>
      </c>
      <c r="E1757" t="s">
        <v>335</v>
      </c>
      <c r="F1757" s="5">
        <v>1356.4</v>
      </c>
      <c r="G1757" s="5">
        <v>271.27999999999997</v>
      </c>
      <c r="I1757" t="str">
        <f t="shared" si="137"/>
        <v>Low Sales</v>
      </c>
      <c r="J1757" t="str">
        <f t="shared" si="138"/>
        <v>Average Performance</v>
      </c>
      <c r="K1757">
        <f t="shared" si="139"/>
        <v>2004</v>
      </c>
      <c r="L1757" t="str">
        <f t="shared" si="140"/>
        <v>May</v>
      </c>
    </row>
    <row r="1758" spans="1:12" x14ac:dyDescent="0.25">
      <c r="A1758" t="s">
        <v>196</v>
      </c>
      <c r="B1758" t="s">
        <v>258</v>
      </c>
      <c r="C1758" t="s">
        <v>265</v>
      </c>
      <c r="D1758" t="str">
        <f t="shared" si="141"/>
        <v>Planes</v>
      </c>
      <c r="E1758" t="s">
        <v>335</v>
      </c>
      <c r="F1758" s="5">
        <v>1611.36</v>
      </c>
      <c r="G1758" s="5">
        <v>322.27199999999999</v>
      </c>
      <c r="I1758" t="str">
        <f t="shared" si="137"/>
        <v>Low Sales</v>
      </c>
      <c r="J1758" t="str">
        <f t="shared" si="138"/>
        <v>Average Performance</v>
      </c>
      <c r="K1758">
        <f t="shared" si="139"/>
        <v>2004</v>
      </c>
      <c r="L1758" t="str">
        <f t="shared" si="140"/>
        <v>June</v>
      </c>
    </row>
    <row r="1759" spans="1:12" x14ac:dyDescent="0.25">
      <c r="A1759" t="s">
        <v>81</v>
      </c>
      <c r="C1759" t="s">
        <v>265</v>
      </c>
      <c r="D1759" t="str">
        <f t="shared" si="141"/>
        <v>Planes</v>
      </c>
      <c r="E1759" t="s">
        <v>335</v>
      </c>
      <c r="F1759" s="5">
        <v>2603.1999999999998</v>
      </c>
      <c r="G1759" s="5">
        <v>520.64</v>
      </c>
      <c r="I1759" t="str">
        <f t="shared" si="137"/>
        <v>Low Sales</v>
      </c>
      <c r="J1759" t="str">
        <f t="shared" si="138"/>
        <v>Average Performance</v>
      </c>
      <c r="K1759">
        <f t="shared" si="139"/>
        <v>2004</v>
      </c>
      <c r="L1759" t="str">
        <f t="shared" si="140"/>
        <v>July</v>
      </c>
    </row>
    <row r="1760" spans="1:12" x14ac:dyDescent="0.25">
      <c r="A1760" t="s">
        <v>197</v>
      </c>
      <c r="B1760" t="s">
        <v>258</v>
      </c>
      <c r="C1760" t="s">
        <v>265</v>
      </c>
      <c r="D1760" t="str">
        <f t="shared" si="141"/>
        <v>Planes</v>
      </c>
      <c r="E1760" t="s">
        <v>335</v>
      </c>
      <c r="F1760" s="5">
        <v>2219.6999999999998</v>
      </c>
      <c r="G1760" s="5">
        <v>443.94</v>
      </c>
      <c r="I1760" t="str">
        <f t="shared" si="137"/>
        <v>Low Sales</v>
      </c>
      <c r="J1760" t="str">
        <f t="shared" si="138"/>
        <v>Average Performance</v>
      </c>
      <c r="K1760">
        <f t="shared" si="139"/>
        <v>2004</v>
      </c>
      <c r="L1760" t="str">
        <f t="shared" si="140"/>
        <v>August</v>
      </c>
    </row>
    <row r="1761" spans="1:12" x14ac:dyDescent="0.25">
      <c r="A1761" t="s">
        <v>198</v>
      </c>
      <c r="B1761" t="s">
        <v>258</v>
      </c>
      <c r="C1761" t="s">
        <v>265</v>
      </c>
      <c r="D1761" t="str">
        <f t="shared" si="141"/>
        <v>Planes</v>
      </c>
      <c r="E1761" t="s">
        <v>335</v>
      </c>
      <c r="F1761" s="5">
        <v>1496.25</v>
      </c>
      <c r="G1761" s="5">
        <v>299.25</v>
      </c>
      <c r="I1761" t="str">
        <f t="shared" si="137"/>
        <v>Low Sales</v>
      </c>
      <c r="J1761" t="str">
        <f t="shared" si="138"/>
        <v>Average Performance</v>
      </c>
      <c r="K1761">
        <f t="shared" si="139"/>
        <v>2004</v>
      </c>
      <c r="L1761" t="str">
        <f t="shared" si="140"/>
        <v>September</v>
      </c>
    </row>
    <row r="1762" spans="1:12" x14ac:dyDescent="0.25">
      <c r="A1762" t="s">
        <v>84</v>
      </c>
      <c r="C1762" t="s">
        <v>265</v>
      </c>
      <c r="D1762" t="str">
        <f t="shared" si="141"/>
        <v>Planes</v>
      </c>
      <c r="E1762" t="s">
        <v>335</v>
      </c>
      <c r="F1762" s="5">
        <v>1884</v>
      </c>
      <c r="G1762" s="5">
        <v>376.8</v>
      </c>
      <c r="I1762" t="str">
        <f t="shared" si="137"/>
        <v>Low Sales</v>
      </c>
      <c r="J1762" t="str">
        <f t="shared" si="138"/>
        <v>Average Performance</v>
      </c>
      <c r="K1762">
        <f t="shared" si="139"/>
        <v>2004</v>
      </c>
      <c r="L1762" t="str">
        <f t="shared" si="140"/>
        <v>October</v>
      </c>
    </row>
    <row r="1763" spans="1:12" x14ac:dyDescent="0.25">
      <c r="A1763" t="s">
        <v>85</v>
      </c>
      <c r="B1763" t="s">
        <v>258</v>
      </c>
      <c r="C1763" t="s">
        <v>265</v>
      </c>
      <c r="D1763" t="str">
        <f t="shared" si="141"/>
        <v>Planes</v>
      </c>
      <c r="E1763" t="s">
        <v>335</v>
      </c>
      <c r="F1763" s="5">
        <v>2166.14</v>
      </c>
      <c r="G1763" s="5">
        <v>433.22800000000001</v>
      </c>
      <c r="I1763" t="str">
        <f t="shared" si="137"/>
        <v>Low Sales</v>
      </c>
      <c r="J1763" t="str">
        <f t="shared" si="138"/>
        <v>Average Performance</v>
      </c>
      <c r="K1763">
        <f t="shared" si="139"/>
        <v>2004</v>
      </c>
      <c r="L1763" t="str">
        <f t="shared" si="140"/>
        <v>November</v>
      </c>
    </row>
    <row r="1764" spans="1:12" x14ac:dyDescent="0.25">
      <c r="A1764" t="s">
        <v>239</v>
      </c>
      <c r="B1764" t="s">
        <v>258</v>
      </c>
      <c r="C1764" t="s">
        <v>265</v>
      </c>
      <c r="D1764" t="str">
        <f t="shared" si="141"/>
        <v>Planes</v>
      </c>
      <c r="E1764" t="s">
        <v>335</v>
      </c>
      <c r="F1764" s="5">
        <v>2828.16</v>
      </c>
      <c r="G1764" s="5">
        <v>565.63199999999995</v>
      </c>
      <c r="I1764" t="str">
        <f t="shared" si="137"/>
        <v>Low Sales</v>
      </c>
      <c r="J1764" t="str">
        <f t="shared" si="138"/>
        <v>Average Performance</v>
      </c>
      <c r="K1764">
        <f t="shared" si="139"/>
        <v>2004</v>
      </c>
      <c r="L1764" t="str">
        <f t="shared" si="140"/>
        <v>November</v>
      </c>
    </row>
    <row r="1765" spans="1:12" x14ac:dyDescent="0.25">
      <c r="A1765" t="s">
        <v>64</v>
      </c>
      <c r="B1765" t="s">
        <v>260</v>
      </c>
      <c r="C1765" t="s">
        <v>265</v>
      </c>
      <c r="D1765" t="str">
        <f t="shared" si="141"/>
        <v>Planes</v>
      </c>
      <c r="E1765" t="s">
        <v>335</v>
      </c>
      <c r="F1765" s="5">
        <v>6214.45</v>
      </c>
      <c r="G1765" s="5">
        <v>1242.8900000000001</v>
      </c>
      <c r="I1765" t="str">
        <f t="shared" si="137"/>
        <v>Low Sales</v>
      </c>
      <c r="J1765" t="str">
        <f t="shared" si="138"/>
        <v>Average Performance</v>
      </c>
      <c r="K1765">
        <f t="shared" si="139"/>
        <v>2004</v>
      </c>
      <c r="L1765" t="str">
        <f t="shared" si="140"/>
        <v>November</v>
      </c>
    </row>
    <row r="1766" spans="1:12" x14ac:dyDescent="0.25">
      <c r="A1766" t="s">
        <v>201</v>
      </c>
      <c r="B1766" t="s">
        <v>258</v>
      </c>
      <c r="C1766" t="s">
        <v>265</v>
      </c>
      <c r="D1766" t="str">
        <f t="shared" si="141"/>
        <v>Planes</v>
      </c>
      <c r="E1766" t="s">
        <v>335</v>
      </c>
      <c r="F1766" s="5">
        <v>1867</v>
      </c>
      <c r="G1766" s="5">
        <v>373.4</v>
      </c>
      <c r="I1766" t="str">
        <f t="shared" si="137"/>
        <v>Low Sales</v>
      </c>
      <c r="J1766" t="str">
        <f t="shared" si="138"/>
        <v>Average Performance</v>
      </c>
      <c r="K1766">
        <f t="shared" si="139"/>
        <v>2004</v>
      </c>
      <c r="L1766" t="str">
        <f t="shared" si="140"/>
        <v>December</v>
      </c>
    </row>
    <row r="1767" spans="1:12" x14ac:dyDescent="0.25">
      <c r="A1767" t="s">
        <v>90</v>
      </c>
      <c r="B1767" t="s">
        <v>258</v>
      </c>
      <c r="C1767" t="s">
        <v>265</v>
      </c>
      <c r="D1767" t="str">
        <f t="shared" si="141"/>
        <v>Planes</v>
      </c>
      <c r="E1767" t="s">
        <v>335</v>
      </c>
      <c r="F1767" s="5">
        <v>2676.72</v>
      </c>
      <c r="G1767" s="5">
        <v>535.34399999999994</v>
      </c>
      <c r="I1767" t="str">
        <f t="shared" si="137"/>
        <v>Low Sales</v>
      </c>
      <c r="J1767" t="str">
        <f t="shared" si="138"/>
        <v>Average Performance</v>
      </c>
      <c r="K1767">
        <f t="shared" si="139"/>
        <v>2005</v>
      </c>
      <c r="L1767" t="str">
        <f t="shared" si="140"/>
        <v>January</v>
      </c>
    </row>
    <row r="1768" spans="1:12" x14ac:dyDescent="0.25">
      <c r="A1768" t="s">
        <v>202</v>
      </c>
      <c r="B1768" t="s">
        <v>258</v>
      </c>
      <c r="C1768" t="s">
        <v>265</v>
      </c>
      <c r="D1768" t="str">
        <f t="shared" si="141"/>
        <v>Planes</v>
      </c>
      <c r="E1768" t="s">
        <v>335</v>
      </c>
      <c r="F1768" s="5">
        <v>2182.44</v>
      </c>
      <c r="G1768" s="5">
        <v>436.48800000000011</v>
      </c>
      <c r="I1768" t="str">
        <f t="shared" si="137"/>
        <v>Low Sales</v>
      </c>
      <c r="J1768" t="str">
        <f t="shared" si="138"/>
        <v>Average Performance</v>
      </c>
      <c r="K1768">
        <f t="shared" si="139"/>
        <v>2005</v>
      </c>
      <c r="L1768" t="str">
        <f t="shared" si="140"/>
        <v>March</v>
      </c>
    </row>
    <row r="1769" spans="1:12" x14ac:dyDescent="0.25">
      <c r="A1769" t="s">
        <v>203</v>
      </c>
      <c r="B1769" t="s">
        <v>258</v>
      </c>
      <c r="C1769" t="s">
        <v>265</v>
      </c>
      <c r="D1769" t="str">
        <f t="shared" si="141"/>
        <v>Planes</v>
      </c>
      <c r="E1769" t="s">
        <v>335</v>
      </c>
      <c r="F1769" s="5">
        <v>1611.4</v>
      </c>
      <c r="G1769" s="5">
        <v>322.27999999999997</v>
      </c>
      <c r="I1769" t="str">
        <f t="shared" si="137"/>
        <v>Low Sales</v>
      </c>
      <c r="J1769" t="str">
        <f t="shared" si="138"/>
        <v>Average Performance</v>
      </c>
      <c r="K1769">
        <f t="shared" si="139"/>
        <v>2005</v>
      </c>
      <c r="L1769" t="str">
        <f t="shared" si="140"/>
        <v>March</v>
      </c>
    </row>
    <row r="1770" spans="1:12" x14ac:dyDescent="0.25">
      <c r="A1770" t="s">
        <v>93</v>
      </c>
      <c r="C1770" t="s">
        <v>265</v>
      </c>
      <c r="D1770" t="str">
        <f t="shared" si="141"/>
        <v>Planes</v>
      </c>
      <c r="E1770" t="s">
        <v>335</v>
      </c>
      <c r="F1770" s="5">
        <v>1479.84</v>
      </c>
      <c r="G1770" s="5">
        <v>295.96800000000002</v>
      </c>
      <c r="I1770" t="str">
        <f t="shared" si="137"/>
        <v>Low Sales</v>
      </c>
      <c r="J1770" t="str">
        <f t="shared" si="138"/>
        <v>Average Performance</v>
      </c>
      <c r="K1770">
        <f t="shared" si="139"/>
        <v>2005</v>
      </c>
      <c r="L1770" t="str">
        <f t="shared" si="140"/>
        <v>April</v>
      </c>
    </row>
    <row r="1771" spans="1:12" x14ac:dyDescent="0.25">
      <c r="A1771" t="s">
        <v>240</v>
      </c>
      <c r="B1771" t="s">
        <v>259</v>
      </c>
      <c r="C1771" t="s">
        <v>265</v>
      </c>
      <c r="D1771" t="str">
        <f t="shared" si="141"/>
        <v>Planes</v>
      </c>
      <c r="E1771" t="s">
        <v>335</v>
      </c>
      <c r="F1771" s="5">
        <v>1424.22</v>
      </c>
      <c r="G1771" s="5">
        <v>284.84399999999999</v>
      </c>
      <c r="I1771" t="str">
        <f t="shared" si="137"/>
        <v>Low Sales</v>
      </c>
      <c r="J1771" t="str">
        <f t="shared" si="138"/>
        <v>Average Performance</v>
      </c>
      <c r="K1771">
        <f t="shared" si="139"/>
        <v>2005</v>
      </c>
      <c r="L1771" t="str">
        <f t="shared" si="140"/>
        <v>May</v>
      </c>
    </row>
    <row r="1772" spans="1:12" x14ac:dyDescent="0.25">
      <c r="A1772" t="s">
        <v>184</v>
      </c>
      <c r="B1772" t="s">
        <v>258</v>
      </c>
      <c r="C1772" t="s">
        <v>262</v>
      </c>
      <c r="D1772" t="str">
        <f t="shared" si="141"/>
        <v>Classic Cars</v>
      </c>
      <c r="E1772" t="s">
        <v>336</v>
      </c>
      <c r="F1772" s="5">
        <v>5942.28</v>
      </c>
      <c r="G1772" s="5">
        <v>1188.4559999999999</v>
      </c>
      <c r="I1772" t="str">
        <f t="shared" si="137"/>
        <v>Low Sales</v>
      </c>
      <c r="J1772" t="str">
        <f t="shared" si="138"/>
        <v>Average Performance</v>
      </c>
      <c r="K1772">
        <f t="shared" si="139"/>
        <v>2003</v>
      </c>
      <c r="L1772" t="str">
        <f t="shared" si="140"/>
        <v>March</v>
      </c>
    </row>
    <row r="1773" spans="1:12" x14ac:dyDescent="0.25">
      <c r="A1773" t="s">
        <v>172</v>
      </c>
      <c r="C1773" t="s">
        <v>262</v>
      </c>
      <c r="D1773" t="str">
        <f t="shared" si="141"/>
        <v>Classic Cars</v>
      </c>
      <c r="E1773" t="s">
        <v>336</v>
      </c>
      <c r="F1773" s="5">
        <v>2348.75</v>
      </c>
      <c r="G1773" s="5">
        <v>469.75</v>
      </c>
      <c r="I1773" t="str">
        <f t="shared" si="137"/>
        <v>Low Sales</v>
      </c>
      <c r="J1773" t="str">
        <f t="shared" si="138"/>
        <v>Average Performance</v>
      </c>
      <c r="K1773">
        <f t="shared" si="139"/>
        <v>2003</v>
      </c>
      <c r="L1773" t="str">
        <f t="shared" si="140"/>
        <v>May</v>
      </c>
    </row>
    <row r="1774" spans="1:12" x14ac:dyDescent="0.25">
      <c r="A1774" t="s">
        <v>159</v>
      </c>
      <c r="B1774" t="s">
        <v>259</v>
      </c>
      <c r="C1774" t="s">
        <v>262</v>
      </c>
      <c r="D1774" t="str">
        <f t="shared" si="141"/>
        <v>Classic Cars</v>
      </c>
      <c r="E1774" t="s">
        <v>336</v>
      </c>
      <c r="F1774" s="5">
        <v>4392.12</v>
      </c>
      <c r="G1774" s="5">
        <v>878.42399999999998</v>
      </c>
      <c r="I1774" t="str">
        <f t="shared" si="137"/>
        <v>Low Sales</v>
      </c>
      <c r="J1774" t="str">
        <f t="shared" si="138"/>
        <v>Average Performance</v>
      </c>
      <c r="K1774">
        <f t="shared" si="139"/>
        <v>2003</v>
      </c>
      <c r="L1774" t="str">
        <f t="shared" si="140"/>
        <v>September</v>
      </c>
    </row>
    <row r="1775" spans="1:12" x14ac:dyDescent="0.25">
      <c r="A1775" t="s">
        <v>160</v>
      </c>
      <c r="B1775" t="s">
        <v>258</v>
      </c>
      <c r="C1775" t="s">
        <v>262</v>
      </c>
      <c r="D1775" t="str">
        <f t="shared" si="141"/>
        <v>Classic Cars</v>
      </c>
      <c r="E1775" t="s">
        <v>336</v>
      </c>
      <c r="F1775" s="5">
        <v>2759.75</v>
      </c>
      <c r="G1775" s="5">
        <v>551.95000000000005</v>
      </c>
      <c r="I1775" t="str">
        <f t="shared" si="137"/>
        <v>Low Sales</v>
      </c>
      <c r="J1775" t="str">
        <f t="shared" si="138"/>
        <v>Average Performance</v>
      </c>
      <c r="K1775">
        <f t="shared" si="139"/>
        <v>2003</v>
      </c>
      <c r="L1775" t="str">
        <f t="shared" si="140"/>
        <v>October</v>
      </c>
    </row>
    <row r="1776" spans="1:12" x14ac:dyDescent="0.25">
      <c r="A1776" t="s">
        <v>161</v>
      </c>
      <c r="B1776" t="s">
        <v>258</v>
      </c>
      <c r="C1776" t="s">
        <v>262</v>
      </c>
      <c r="D1776" t="str">
        <f t="shared" si="141"/>
        <v>Classic Cars</v>
      </c>
      <c r="E1776" t="s">
        <v>336</v>
      </c>
      <c r="F1776" s="5">
        <v>2728.03</v>
      </c>
      <c r="G1776" s="5">
        <v>545.60600000000011</v>
      </c>
      <c r="I1776" t="str">
        <f t="shared" si="137"/>
        <v>Low Sales</v>
      </c>
      <c r="J1776" t="str">
        <f t="shared" si="138"/>
        <v>Average Performance</v>
      </c>
      <c r="K1776">
        <f t="shared" si="139"/>
        <v>2003</v>
      </c>
      <c r="L1776" t="str">
        <f t="shared" si="140"/>
        <v>November</v>
      </c>
    </row>
    <row r="1777" spans="1:12" x14ac:dyDescent="0.25">
      <c r="A1777" t="s">
        <v>109</v>
      </c>
      <c r="C1777" t="s">
        <v>262</v>
      </c>
      <c r="D1777" t="str">
        <f t="shared" si="141"/>
        <v>Classic Cars</v>
      </c>
      <c r="E1777" t="s">
        <v>336</v>
      </c>
      <c r="F1777" s="5">
        <v>2395.8000000000002</v>
      </c>
      <c r="G1777" s="5">
        <v>479.16000000000008</v>
      </c>
      <c r="I1777" t="str">
        <f t="shared" si="137"/>
        <v>Low Sales</v>
      </c>
      <c r="J1777" t="str">
        <f t="shared" si="138"/>
        <v>Average Performance</v>
      </c>
      <c r="K1777">
        <f t="shared" si="139"/>
        <v>2003</v>
      </c>
      <c r="L1777" t="str">
        <f t="shared" si="140"/>
        <v>November</v>
      </c>
    </row>
    <row r="1778" spans="1:12" x14ac:dyDescent="0.25">
      <c r="A1778" t="s">
        <v>110</v>
      </c>
      <c r="C1778" t="s">
        <v>262</v>
      </c>
      <c r="D1778" t="str">
        <f t="shared" si="141"/>
        <v>Classic Cars</v>
      </c>
      <c r="E1778" t="s">
        <v>336</v>
      </c>
      <c r="F1778" s="5">
        <v>3052.33</v>
      </c>
      <c r="G1778" s="5">
        <v>610.46600000000001</v>
      </c>
      <c r="I1778" t="str">
        <f t="shared" si="137"/>
        <v>Low Sales</v>
      </c>
      <c r="J1778" t="str">
        <f t="shared" si="138"/>
        <v>Average Performance</v>
      </c>
      <c r="K1778">
        <f t="shared" si="139"/>
        <v>2003</v>
      </c>
      <c r="L1778" t="str">
        <f t="shared" si="140"/>
        <v>November</v>
      </c>
    </row>
    <row r="1779" spans="1:12" x14ac:dyDescent="0.25">
      <c r="A1779" t="s">
        <v>111</v>
      </c>
      <c r="C1779" t="s">
        <v>262</v>
      </c>
      <c r="D1779" t="str">
        <f t="shared" si="141"/>
        <v>Classic Cars</v>
      </c>
      <c r="E1779" t="s">
        <v>336</v>
      </c>
      <c r="F1779" s="5">
        <v>4242</v>
      </c>
      <c r="G1779" s="5">
        <v>848.40000000000009</v>
      </c>
      <c r="I1779" t="str">
        <f t="shared" si="137"/>
        <v>Low Sales</v>
      </c>
      <c r="J1779" t="str">
        <f t="shared" si="138"/>
        <v>Average Performance</v>
      </c>
      <c r="K1779">
        <f t="shared" si="139"/>
        <v>2003</v>
      </c>
      <c r="L1779" t="str">
        <f t="shared" si="140"/>
        <v>December</v>
      </c>
    </row>
    <row r="1780" spans="1:12" x14ac:dyDescent="0.25">
      <c r="A1780" t="s">
        <v>242</v>
      </c>
      <c r="B1780" t="s">
        <v>258</v>
      </c>
      <c r="C1780" t="s">
        <v>262</v>
      </c>
      <c r="D1780" t="str">
        <f t="shared" si="141"/>
        <v>Classic Cars</v>
      </c>
      <c r="E1780" t="s">
        <v>336</v>
      </c>
      <c r="F1780" s="5">
        <v>2790.45</v>
      </c>
      <c r="G1780" s="5">
        <v>558.09</v>
      </c>
      <c r="I1780" t="str">
        <f t="shared" si="137"/>
        <v>Low Sales</v>
      </c>
      <c r="J1780" t="str">
        <f t="shared" si="138"/>
        <v>Average Performance</v>
      </c>
      <c r="K1780">
        <f t="shared" si="139"/>
        <v>2004</v>
      </c>
      <c r="L1780" t="str">
        <f t="shared" si="140"/>
        <v>January</v>
      </c>
    </row>
    <row r="1781" spans="1:12" x14ac:dyDescent="0.25">
      <c r="A1781" t="s">
        <v>178</v>
      </c>
      <c r="B1781" t="s">
        <v>258</v>
      </c>
      <c r="C1781" t="s">
        <v>262</v>
      </c>
      <c r="D1781" t="str">
        <f t="shared" si="141"/>
        <v>Classic Cars</v>
      </c>
      <c r="E1781" t="s">
        <v>336</v>
      </c>
      <c r="F1781" s="5">
        <v>4340.49</v>
      </c>
      <c r="G1781" s="5">
        <v>868.09799999999996</v>
      </c>
      <c r="I1781" t="str">
        <f t="shared" si="137"/>
        <v>Low Sales</v>
      </c>
      <c r="J1781" t="str">
        <f t="shared" si="138"/>
        <v>Average Performance</v>
      </c>
      <c r="K1781">
        <f t="shared" si="139"/>
        <v>2004</v>
      </c>
      <c r="L1781" t="str">
        <f t="shared" si="140"/>
        <v>March</v>
      </c>
    </row>
    <row r="1782" spans="1:12" x14ac:dyDescent="0.25">
      <c r="A1782" t="s">
        <v>162</v>
      </c>
      <c r="B1782" t="s">
        <v>258</v>
      </c>
      <c r="C1782" t="s">
        <v>262</v>
      </c>
      <c r="D1782" t="str">
        <f t="shared" si="141"/>
        <v>Classic Cars</v>
      </c>
      <c r="E1782" t="s">
        <v>336</v>
      </c>
      <c r="F1782" s="5">
        <v>2762.2</v>
      </c>
      <c r="G1782" s="5">
        <v>552.43999999999994</v>
      </c>
      <c r="I1782" t="str">
        <f t="shared" si="137"/>
        <v>Low Sales</v>
      </c>
      <c r="J1782" t="str">
        <f t="shared" si="138"/>
        <v>Average Performance</v>
      </c>
      <c r="K1782">
        <f t="shared" si="139"/>
        <v>2004</v>
      </c>
      <c r="L1782" t="str">
        <f t="shared" si="140"/>
        <v>April</v>
      </c>
    </row>
    <row r="1783" spans="1:12" x14ac:dyDescent="0.25">
      <c r="A1783" t="s">
        <v>244</v>
      </c>
      <c r="C1783" t="s">
        <v>262</v>
      </c>
      <c r="D1783" t="str">
        <f t="shared" si="141"/>
        <v>Classic Cars</v>
      </c>
      <c r="E1783" t="s">
        <v>336</v>
      </c>
      <c r="F1783" s="5">
        <v>4645.72</v>
      </c>
      <c r="G1783" s="5">
        <v>929.14400000000012</v>
      </c>
      <c r="I1783" t="str">
        <f t="shared" si="137"/>
        <v>Low Sales</v>
      </c>
      <c r="J1783" t="str">
        <f t="shared" si="138"/>
        <v>Average Performance</v>
      </c>
      <c r="K1783">
        <f t="shared" si="139"/>
        <v>2004</v>
      </c>
      <c r="L1783" t="str">
        <f t="shared" si="140"/>
        <v>July</v>
      </c>
    </row>
    <row r="1784" spans="1:12" x14ac:dyDescent="0.25">
      <c r="A1784" t="s">
        <v>245</v>
      </c>
      <c r="B1784" t="s">
        <v>258</v>
      </c>
      <c r="C1784" t="s">
        <v>262</v>
      </c>
      <c r="D1784" t="str">
        <f t="shared" si="141"/>
        <v>Classic Cars</v>
      </c>
      <c r="E1784" t="s">
        <v>336</v>
      </c>
      <c r="F1784" s="5">
        <v>5580.96</v>
      </c>
      <c r="G1784" s="5">
        <v>1116.192</v>
      </c>
      <c r="I1784" t="str">
        <f t="shared" si="137"/>
        <v>Low Sales</v>
      </c>
      <c r="J1784" t="str">
        <f t="shared" si="138"/>
        <v>Average Performance</v>
      </c>
      <c r="K1784">
        <f t="shared" si="139"/>
        <v>2004</v>
      </c>
      <c r="L1784" t="str">
        <f t="shared" si="140"/>
        <v>August</v>
      </c>
    </row>
    <row r="1785" spans="1:12" x14ac:dyDescent="0.25">
      <c r="A1785" t="s">
        <v>188</v>
      </c>
      <c r="B1785" t="s">
        <v>259</v>
      </c>
      <c r="C1785" t="s">
        <v>262</v>
      </c>
      <c r="D1785" t="str">
        <f t="shared" si="141"/>
        <v>Classic Cars</v>
      </c>
      <c r="E1785" t="s">
        <v>336</v>
      </c>
      <c r="F1785" s="5">
        <v>6539.04</v>
      </c>
      <c r="G1785" s="5">
        <v>1307.808</v>
      </c>
      <c r="I1785" t="str">
        <f t="shared" si="137"/>
        <v>Low Sales</v>
      </c>
      <c r="J1785" t="str">
        <f t="shared" si="138"/>
        <v>Average Performance</v>
      </c>
      <c r="K1785">
        <f t="shared" si="139"/>
        <v>2004</v>
      </c>
      <c r="L1785" t="str">
        <f t="shared" si="140"/>
        <v>September</v>
      </c>
    </row>
    <row r="1786" spans="1:12" x14ac:dyDescent="0.25">
      <c r="A1786" t="s">
        <v>72</v>
      </c>
      <c r="B1786" t="s">
        <v>258</v>
      </c>
      <c r="C1786" t="s">
        <v>262</v>
      </c>
      <c r="D1786" t="str">
        <f t="shared" si="141"/>
        <v>Classic Cars</v>
      </c>
      <c r="E1786" t="s">
        <v>336</v>
      </c>
      <c r="F1786" s="5">
        <v>5548.95</v>
      </c>
      <c r="G1786" s="5">
        <v>1109.79</v>
      </c>
      <c r="I1786" t="str">
        <f t="shared" si="137"/>
        <v>Low Sales</v>
      </c>
      <c r="J1786" t="str">
        <f t="shared" si="138"/>
        <v>Average Performance</v>
      </c>
      <c r="K1786">
        <f t="shared" si="139"/>
        <v>2003</v>
      </c>
      <c r="L1786" t="str">
        <f t="shared" si="140"/>
        <v>October</v>
      </c>
    </row>
    <row r="1787" spans="1:12" x14ac:dyDescent="0.25">
      <c r="A1787" t="s">
        <v>119</v>
      </c>
      <c r="B1787" t="s">
        <v>258</v>
      </c>
      <c r="C1787" t="s">
        <v>262</v>
      </c>
      <c r="D1787" t="str">
        <f t="shared" si="141"/>
        <v>Classic Cars</v>
      </c>
      <c r="E1787" t="s">
        <v>336</v>
      </c>
      <c r="F1787" s="5">
        <v>4595.41</v>
      </c>
      <c r="G1787" s="5">
        <v>919.08199999999999</v>
      </c>
      <c r="I1787" t="str">
        <f t="shared" si="137"/>
        <v>Low Sales</v>
      </c>
      <c r="J1787" t="str">
        <f t="shared" si="138"/>
        <v>Average Performance</v>
      </c>
      <c r="K1787">
        <f t="shared" si="139"/>
        <v>2004</v>
      </c>
      <c r="L1787" t="str">
        <f t="shared" si="140"/>
        <v>October</v>
      </c>
    </row>
    <row r="1788" spans="1:12" x14ac:dyDescent="0.25">
      <c r="A1788" t="s">
        <v>165</v>
      </c>
      <c r="B1788" t="s">
        <v>258</v>
      </c>
      <c r="C1788" t="s">
        <v>262</v>
      </c>
      <c r="D1788" t="str">
        <f t="shared" si="141"/>
        <v>Classic Cars</v>
      </c>
      <c r="E1788" t="s">
        <v>336</v>
      </c>
      <c r="F1788" s="5">
        <v>1859.44</v>
      </c>
      <c r="G1788" s="5">
        <v>371.88799999999998</v>
      </c>
      <c r="I1788" t="str">
        <f t="shared" si="137"/>
        <v>Low Sales</v>
      </c>
      <c r="J1788" t="str">
        <f t="shared" si="138"/>
        <v>Average Performance</v>
      </c>
      <c r="K1788">
        <f t="shared" si="139"/>
        <v>2004</v>
      </c>
      <c r="L1788" t="str">
        <f t="shared" si="140"/>
        <v>November</v>
      </c>
    </row>
    <row r="1789" spans="1:12" x14ac:dyDescent="0.25">
      <c r="A1789" t="s">
        <v>53</v>
      </c>
      <c r="C1789" t="s">
        <v>262</v>
      </c>
      <c r="D1789" t="str">
        <f t="shared" si="141"/>
        <v>Classic Cars</v>
      </c>
      <c r="E1789" t="s">
        <v>336</v>
      </c>
      <c r="F1789" s="5">
        <v>2093.7600000000002</v>
      </c>
      <c r="G1789" s="5">
        <v>418.75200000000012</v>
      </c>
      <c r="I1789" t="str">
        <f t="shared" si="137"/>
        <v>Low Sales</v>
      </c>
      <c r="J1789" t="str">
        <f t="shared" si="138"/>
        <v>Average Performance</v>
      </c>
      <c r="K1789">
        <f t="shared" si="139"/>
        <v>2004</v>
      </c>
      <c r="L1789" t="str">
        <f t="shared" si="140"/>
        <v>November</v>
      </c>
    </row>
    <row r="1790" spans="1:12" x14ac:dyDescent="0.25">
      <c r="A1790" t="s">
        <v>247</v>
      </c>
      <c r="C1790" t="s">
        <v>262</v>
      </c>
      <c r="D1790" t="str">
        <f t="shared" si="141"/>
        <v>Classic Cars</v>
      </c>
      <c r="E1790" t="s">
        <v>336</v>
      </c>
      <c r="F1790" s="5">
        <v>4223.13</v>
      </c>
      <c r="G1790" s="5">
        <v>844.62600000000009</v>
      </c>
      <c r="I1790" t="str">
        <f t="shared" si="137"/>
        <v>Low Sales</v>
      </c>
      <c r="J1790" t="str">
        <f t="shared" si="138"/>
        <v>Average Performance</v>
      </c>
      <c r="K1790">
        <f t="shared" si="139"/>
        <v>2005</v>
      </c>
      <c r="L1790" t="str">
        <f t="shared" si="140"/>
        <v>January</v>
      </c>
    </row>
    <row r="1791" spans="1:12" x14ac:dyDescent="0.25">
      <c r="A1791" t="s">
        <v>182</v>
      </c>
      <c r="B1791" t="s">
        <v>258</v>
      </c>
      <c r="C1791" t="s">
        <v>262</v>
      </c>
      <c r="D1791" t="str">
        <f t="shared" si="141"/>
        <v>Classic Cars</v>
      </c>
      <c r="E1791" t="s">
        <v>336</v>
      </c>
      <c r="F1791" s="5">
        <v>1596.76</v>
      </c>
      <c r="G1791" s="5">
        <v>319.35199999999998</v>
      </c>
      <c r="I1791" t="str">
        <f t="shared" si="137"/>
        <v>Low Sales</v>
      </c>
      <c r="J1791" t="str">
        <f t="shared" si="138"/>
        <v>Average Performance</v>
      </c>
      <c r="K1791">
        <f t="shared" si="139"/>
        <v>2005</v>
      </c>
      <c r="L1791" t="str">
        <f t="shared" si="140"/>
        <v>February</v>
      </c>
    </row>
    <row r="1792" spans="1:12" x14ac:dyDescent="0.25">
      <c r="A1792" t="s">
        <v>191</v>
      </c>
      <c r="C1792" t="s">
        <v>262</v>
      </c>
      <c r="D1792" t="str">
        <f t="shared" si="141"/>
        <v>Classic Cars</v>
      </c>
      <c r="E1792" t="s">
        <v>336</v>
      </c>
      <c r="F1792" s="5">
        <v>5820.35</v>
      </c>
      <c r="G1792" s="5">
        <v>1164.07</v>
      </c>
      <c r="I1792" t="str">
        <f t="shared" si="137"/>
        <v>Low Sales</v>
      </c>
      <c r="J1792" t="str">
        <f t="shared" si="138"/>
        <v>Average Performance</v>
      </c>
      <c r="K1792">
        <f t="shared" si="139"/>
        <v>2005</v>
      </c>
      <c r="L1792" t="str">
        <f t="shared" si="140"/>
        <v>April</v>
      </c>
    </row>
    <row r="1793" spans="1:12" x14ac:dyDescent="0.25">
      <c r="A1793" t="s">
        <v>208</v>
      </c>
      <c r="B1793" t="s">
        <v>259</v>
      </c>
      <c r="C1793" t="s">
        <v>262</v>
      </c>
      <c r="D1793" t="str">
        <f t="shared" si="141"/>
        <v>Classic Cars</v>
      </c>
      <c r="E1793" t="s">
        <v>336</v>
      </c>
      <c r="F1793" s="5">
        <v>5296.5</v>
      </c>
      <c r="G1793" s="5">
        <v>1059.3</v>
      </c>
      <c r="I1793" t="str">
        <f t="shared" si="137"/>
        <v>Low Sales</v>
      </c>
      <c r="J1793" t="str">
        <f t="shared" si="138"/>
        <v>Average Performance</v>
      </c>
      <c r="K1793">
        <f t="shared" si="139"/>
        <v>2005</v>
      </c>
      <c r="L1793" t="str">
        <f t="shared" si="140"/>
        <v>May</v>
      </c>
    </row>
    <row r="1794" spans="1:12" x14ac:dyDescent="0.25">
      <c r="A1794" t="s">
        <v>157</v>
      </c>
      <c r="C1794" t="s">
        <v>262</v>
      </c>
      <c r="D1794" t="str">
        <f t="shared" si="141"/>
        <v>Classic Cars</v>
      </c>
      <c r="E1794" t="s">
        <v>337</v>
      </c>
      <c r="F1794" s="5">
        <v>930.9</v>
      </c>
      <c r="G1794" s="5">
        <v>186.18</v>
      </c>
      <c r="I1794" t="str">
        <f t="shared" si="137"/>
        <v>Low Sales</v>
      </c>
      <c r="J1794" t="str">
        <f t="shared" si="138"/>
        <v>Average Performance</v>
      </c>
      <c r="K1794">
        <f t="shared" si="139"/>
        <v>2003</v>
      </c>
      <c r="L1794" t="str">
        <f t="shared" si="140"/>
        <v>March</v>
      </c>
    </row>
    <row r="1795" spans="1:12" x14ac:dyDescent="0.25">
      <c r="A1795" t="s">
        <v>105</v>
      </c>
      <c r="B1795" t="s">
        <v>258</v>
      </c>
      <c r="C1795" t="s">
        <v>262</v>
      </c>
      <c r="D1795" t="str">
        <f t="shared" si="141"/>
        <v>Classic Cars</v>
      </c>
      <c r="E1795" t="s">
        <v>337</v>
      </c>
      <c r="F1795" s="5">
        <v>1207.44</v>
      </c>
      <c r="G1795" s="5">
        <v>241.488</v>
      </c>
      <c r="I1795" t="str">
        <f t="shared" ref="I1795:I1858" si="142">IF(F1795&gt;50000,"High Sales","Low Sales")</f>
        <v>Low Sales</v>
      </c>
      <c r="J1795" t="str">
        <f t="shared" ref="J1795:J1858" si="143">IF(AND(F1795&gt;30000,G1795&gt;5000),"Good Performance","Average Performance")</f>
        <v>Average Performance</v>
      </c>
      <c r="K1795">
        <f t="shared" ref="K1795:K1858" si="144">YEAR(A1795)</f>
        <v>2003</v>
      </c>
      <c r="L1795" t="str">
        <f t="shared" ref="L1795:L1858" si="145">TEXT(A1795,"mmmm")</f>
        <v>May</v>
      </c>
    </row>
    <row r="1796" spans="1:12" x14ac:dyDescent="0.25">
      <c r="A1796" t="s">
        <v>106</v>
      </c>
      <c r="C1796" t="s">
        <v>262</v>
      </c>
      <c r="D1796" t="str">
        <f t="shared" si="141"/>
        <v>Classic Cars</v>
      </c>
      <c r="E1796" t="s">
        <v>337</v>
      </c>
      <c r="F1796" s="5">
        <v>717.4</v>
      </c>
      <c r="G1796" s="5">
        <v>143.47999999999999</v>
      </c>
      <c r="I1796" t="str">
        <f t="shared" si="142"/>
        <v>Low Sales</v>
      </c>
      <c r="J1796" t="str">
        <f t="shared" si="143"/>
        <v>Average Performance</v>
      </c>
      <c r="K1796">
        <f t="shared" si="144"/>
        <v>2003</v>
      </c>
      <c r="L1796" t="str">
        <f t="shared" si="145"/>
        <v>July</v>
      </c>
    </row>
    <row r="1797" spans="1:12" x14ac:dyDescent="0.25">
      <c r="A1797" t="s">
        <v>107</v>
      </c>
      <c r="C1797" t="s">
        <v>262</v>
      </c>
      <c r="D1797" t="str">
        <f t="shared" si="141"/>
        <v>Classic Cars</v>
      </c>
      <c r="E1797" t="s">
        <v>337</v>
      </c>
      <c r="F1797" s="5">
        <v>1066.75</v>
      </c>
      <c r="G1797" s="5">
        <v>213.35</v>
      </c>
      <c r="I1797" t="str">
        <f t="shared" si="142"/>
        <v>Low Sales</v>
      </c>
      <c r="J1797" t="str">
        <f t="shared" si="143"/>
        <v>Average Performance</v>
      </c>
      <c r="K1797">
        <f t="shared" si="144"/>
        <v>2003</v>
      </c>
      <c r="L1797" t="str">
        <f t="shared" si="145"/>
        <v>September</v>
      </c>
    </row>
    <row r="1798" spans="1:12" x14ac:dyDescent="0.25">
      <c r="A1798" t="s">
        <v>143</v>
      </c>
      <c r="C1798" t="s">
        <v>262</v>
      </c>
      <c r="D1798" t="str">
        <f t="shared" si="141"/>
        <v>Classic Cars</v>
      </c>
      <c r="E1798" t="s">
        <v>337</v>
      </c>
      <c r="F1798" s="5">
        <v>1554</v>
      </c>
      <c r="G1798" s="5">
        <v>310.8</v>
      </c>
      <c r="I1798" t="str">
        <f t="shared" si="142"/>
        <v>Low Sales</v>
      </c>
      <c r="J1798" t="str">
        <f t="shared" si="143"/>
        <v>Average Performance</v>
      </c>
      <c r="K1798">
        <f t="shared" si="144"/>
        <v>2003</v>
      </c>
      <c r="L1798" t="str">
        <f t="shared" si="145"/>
        <v>October</v>
      </c>
    </row>
    <row r="1799" spans="1:12" x14ac:dyDescent="0.25">
      <c r="A1799" t="s">
        <v>161</v>
      </c>
      <c r="C1799" t="s">
        <v>262</v>
      </c>
      <c r="D1799" t="str">
        <f t="shared" si="141"/>
        <v>Classic Cars</v>
      </c>
      <c r="E1799" t="s">
        <v>337</v>
      </c>
      <c r="F1799" s="5">
        <v>1277.6400000000001</v>
      </c>
      <c r="G1799" s="5">
        <v>255.52799999999999</v>
      </c>
      <c r="I1799" t="str">
        <f t="shared" si="142"/>
        <v>Low Sales</v>
      </c>
      <c r="J1799" t="str">
        <f t="shared" si="143"/>
        <v>Average Performance</v>
      </c>
      <c r="K1799">
        <f t="shared" si="144"/>
        <v>2003</v>
      </c>
      <c r="L1799" t="str">
        <f t="shared" si="145"/>
        <v>November</v>
      </c>
    </row>
    <row r="1800" spans="1:12" x14ac:dyDescent="0.25">
      <c r="A1800" t="s">
        <v>109</v>
      </c>
      <c r="B1800" t="s">
        <v>258</v>
      </c>
      <c r="C1800" t="s">
        <v>262</v>
      </c>
      <c r="D1800" t="str">
        <f t="shared" si="141"/>
        <v>Classic Cars</v>
      </c>
      <c r="E1800" t="s">
        <v>337</v>
      </c>
      <c r="F1800" s="5">
        <v>1578.79</v>
      </c>
      <c r="G1800" s="5">
        <v>315.75799999999998</v>
      </c>
      <c r="I1800" t="str">
        <f t="shared" si="142"/>
        <v>Low Sales</v>
      </c>
      <c r="J1800" t="str">
        <f t="shared" si="143"/>
        <v>Average Performance</v>
      </c>
      <c r="K1800">
        <f t="shared" si="144"/>
        <v>2003</v>
      </c>
      <c r="L1800" t="str">
        <f t="shared" si="145"/>
        <v>November</v>
      </c>
    </row>
    <row r="1801" spans="1:12" x14ac:dyDescent="0.25">
      <c r="A1801" t="s">
        <v>110</v>
      </c>
      <c r="C1801" t="s">
        <v>262</v>
      </c>
      <c r="D1801" t="str">
        <f t="shared" si="141"/>
        <v>Classic Cars</v>
      </c>
      <c r="E1801" t="s">
        <v>337</v>
      </c>
      <c r="F1801" s="5">
        <v>917.7</v>
      </c>
      <c r="G1801" s="5">
        <v>183.54</v>
      </c>
      <c r="I1801" t="str">
        <f t="shared" si="142"/>
        <v>Low Sales</v>
      </c>
      <c r="J1801" t="str">
        <f t="shared" si="143"/>
        <v>Average Performance</v>
      </c>
      <c r="K1801">
        <f t="shared" si="144"/>
        <v>2003</v>
      </c>
      <c r="L1801" t="str">
        <f t="shared" si="145"/>
        <v>November</v>
      </c>
    </row>
    <row r="1802" spans="1:12" x14ac:dyDescent="0.25">
      <c r="A1802" t="s">
        <v>111</v>
      </c>
      <c r="B1802" t="s">
        <v>258</v>
      </c>
      <c r="C1802" t="s">
        <v>262</v>
      </c>
      <c r="D1802" t="str">
        <f t="shared" si="141"/>
        <v>Classic Cars</v>
      </c>
      <c r="E1802" t="s">
        <v>337</v>
      </c>
      <c r="F1802" s="5">
        <v>777</v>
      </c>
      <c r="G1802" s="5">
        <v>155.4</v>
      </c>
      <c r="I1802" t="str">
        <f t="shared" si="142"/>
        <v>Low Sales</v>
      </c>
      <c r="J1802" t="str">
        <f t="shared" si="143"/>
        <v>Average Performance</v>
      </c>
      <c r="K1802">
        <f t="shared" si="144"/>
        <v>2003</v>
      </c>
      <c r="L1802" t="str">
        <f t="shared" si="145"/>
        <v>December</v>
      </c>
    </row>
    <row r="1803" spans="1:12" x14ac:dyDescent="0.25">
      <c r="A1803" t="s">
        <v>144</v>
      </c>
      <c r="B1803" t="s">
        <v>258</v>
      </c>
      <c r="C1803" t="s">
        <v>262</v>
      </c>
      <c r="D1803" t="str">
        <f t="shared" si="141"/>
        <v>Classic Cars</v>
      </c>
      <c r="E1803" t="s">
        <v>337</v>
      </c>
      <c r="F1803" s="5">
        <v>1476.28</v>
      </c>
      <c r="G1803" s="5">
        <v>295.25599999999997</v>
      </c>
      <c r="I1803" t="str">
        <f t="shared" si="142"/>
        <v>Low Sales</v>
      </c>
      <c r="J1803" t="str">
        <f t="shared" si="143"/>
        <v>Average Performance</v>
      </c>
      <c r="K1803">
        <f t="shared" si="144"/>
        <v>2004</v>
      </c>
      <c r="L1803" t="str">
        <f t="shared" si="145"/>
        <v>January</v>
      </c>
    </row>
    <row r="1804" spans="1:12" x14ac:dyDescent="0.25">
      <c r="A1804" t="s">
        <v>112</v>
      </c>
      <c r="B1804" t="s">
        <v>258</v>
      </c>
      <c r="C1804" t="s">
        <v>262</v>
      </c>
      <c r="D1804" t="str">
        <f t="shared" si="141"/>
        <v>Classic Cars</v>
      </c>
      <c r="E1804" t="s">
        <v>337</v>
      </c>
      <c r="F1804" s="5">
        <v>1538.46</v>
      </c>
      <c r="G1804" s="5">
        <v>307.69200000000001</v>
      </c>
      <c r="I1804" t="str">
        <f t="shared" si="142"/>
        <v>Low Sales</v>
      </c>
      <c r="J1804" t="str">
        <f t="shared" si="143"/>
        <v>Average Performance</v>
      </c>
      <c r="K1804">
        <f t="shared" si="144"/>
        <v>2004</v>
      </c>
      <c r="L1804" t="str">
        <f t="shared" si="145"/>
        <v>February</v>
      </c>
    </row>
    <row r="1805" spans="1:12" x14ac:dyDescent="0.25">
      <c r="A1805" t="s">
        <v>154</v>
      </c>
      <c r="B1805" t="s">
        <v>258</v>
      </c>
      <c r="C1805" t="s">
        <v>262</v>
      </c>
      <c r="D1805" t="str">
        <f t="shared" si="141"/>
        <v>Classic Cars</v>
      </c>
      <c r="E1805" t="s">
        <v>337</v>
      </c>
      <c r="F1805" s="5">
        <v>891.2</v>
      </c>
      <c r="G1805" s="5">
        <v>178.24</v>
      </c>
      <c r="I1805" t="str">
        <f t="shared" si="142"/>
        <v>Low Sales</v>
      </c>
      <c r="J1805" t="str">
        <f t="shared" si="143"/>
        <v>Average Performance</v>
      </c>
      <c r="K1805">
        <f t="shared" si="144"/>
        <v>2004</v>
      </c>
      <c r="L1805" t="str">
        <f t="shared" si="145"/>
        <v>April</v>
      </c>
    </row>
    <row r="1806" spans="1:12" x14ac:dyDescent="0.25">
      <c r="A1806" t="s">
        <v>114</v>
      </c>
      <c r="B1806" t="s">
        <v>258</v>
      </c>
      <c r="C1806" t="s">
        <v>262</v>
      </c>
      <c r="D1806" t="str">
        <f t="shared" si="141"/>
        <v>Classic Cars</v>
      </c>
      <c r="E1806" t="s">
        <v>337</v>
      </c>
      <c r="F1806" s="5">
        <v>1706.8</v>
      </c>
      <c r="G1806" s="5">
        <v>341.36</v>
      </c>
      <c r="I1806" t="str">
        <f t="shared" si="142"/>
        <v>Low Sales</v>
      </c>
      <c r="J1806" t="str">
        <f t="shared" si="143"/>
        <v>Average Performance</v>
      </c>
      <c r="K1806">
        <f t="shared" si="144"/>
        <v>2004</v>
      </c>
      <c r="L1806" t="str">
        <f t="shared" si="145"/>
        <v>June</v>
      </c>
    </row>
    <row r="1807" spans="1:12" x14ac:dyDescent="0.25">
      <c r="A1807" t="s">
        <v>115</v>
      </c>
      <c r="B1807" t="s">
        <v>258</v>
      </c>
      <c r="C1807" t="s">
        <v>262</v>
      </c>
      <c r="D1807" t="str">
        <f t="shared" si="141"/>
        <v>Classic Cars</v>
      </c>
      <c r="E1807" t="s">
        <v>337</v>
      </c>
      <c r="F1807" s="5">
        <v>1373.6</v>
      </c>
      <c r="G1807" s="5">
        <v>274.72000000000003</v>
      </c>
      <c r="I1807" t="str">
        <f t="shared" si="142"/>
        <v>Low Sales</v>
      </c>
      <c r="J1807" t="str">
        <f t="shared" si="143"/>
        <v>Average Performance</v>
      </c>
      <c r="K1807">
        <f t="shared" si="144"/>
        <v>2004</v>
      </c>
      <c r="L1807" t="str">
        <f t="shared" si="145"/>
        <v>July</v>
      </c>
    </row>
    <row r="1808" spans="1:12" x14ac:dyDescent="0.25">
      <c r="A1808" t="s">
        <v>163</v>
      </c>
      <c r="C1808" t="s">
        <v>262</v>
      </c>
      <c r="D1808" t="str">
        <f t="shared" si="141"/>
        <v>Classic Cars</v>
      </c>
      <c r="E1808" t="s">
        <v>337</v>
      </c>
      <c r="F1808" s="5">
        <v>1205.5899999999999</v>
      </c>
      <c r="G1808" s="5">
        <v>241.11799999999999</v>
      </c>
      <c r="I1808" t="str">
        <f t="shared" si="142"/>
        <v>Low Sales</v>
      </c>
      <c r="J1808" t="str">
        <f t="shared" si="143"/>
        <v>Average Performance</v>
      </c>
      <c r="K1808">
        <f t="shared" si="144"/>
        <v>2004</v>
      </c>
      <c r="L1808" t="str">
        <f t="shared" si="145"/>
        <v>August</v>
      </c>
    </row>
    <row r="1809" spans="1:12" x14ac:dyDescent="0.25">
      <c r="A1809" t="s">
        <v>117</v>
      </c>
      <c r="B1809" t="s">
        <v>258</v>
      </c>
      <c r="C1809" t="s">
        <v>262</v>
      </c>
      <c r="D1809" t="str">
        <f t="shared" si="141"/>
        <v>Classic Cars</v>
      </c>
      <c r="E1809" t="s">
        <v>337</v>
      </c>
      <c r="F1809" s="5">
        <v>1427.4</v>
      </c>
      <c r="G1809" s="5">
        <v>285.48</v>
      </c>
      <c r="I1809" t="str">
        <f t="shared" si="142"/>
        <v>Low Sales</v>
      </c>
      <c r="J1809" t="str">
        <f t="shared" si="143"/>
        <v>Average Performance</v>
      </c>
      <c r="K1809">
        <f t="shared" si="144"/>
        <v>2004</v>
      </c>
      <c r="L1809" t="str">
        <f t="shared" si="145"/>
        <v>August</v>
      </c>
    </row>
    <row r="1810" spans="1:12" x14ac:dyDescent="0.25">
      <c r="A1810" t="s">
        <v>164</v>
      </c>
      <c r="B1810" t="s">
        <v>258</v>
      </c>
      <c r="C1810" t="s">
        <v>262</v>
      </c>
      <c r="D1810" t="str">
        <f t="shared" si="141"/>
        <v>Classic Cars</v>
      </c>
      <c r="E1810" t="s">
        <v>337</v>
      </c>
      <c r="F1810" s="5">
        <v>1649.28</v>
      </c>
      <c r="G1810" s="5">
        <v>329.85599999999999</v>
      </c>
      <c r="I1810" t="str">
        <f t="shared" si="142"/>
        <v>Low Sales</v>
      </c>
      <c r="J1810" t="str">
        <f t="shared" si="143"/>
        <v>Average Performance</v>
      </c>
      <c r="K1810">
        <f t="shared" si="144"/>
        <v>2003</v>
      </c>
      <c r="L1810" t="str">
        <f t="shared" si="145"/>
        <v>October</v>
      </c>
    </row>
    <row r="1811" spans="1:12" x14ac:dyDescent="0.25">
      <c r="A1811" t="s">
        <v>119</v>
      </c>
      <c r="B1811" t="s">
        <v>258</v>
      </c>
      <c r="C1811" t="s">
        <v>262</v>
      </c>
      <c r="D1811" t="str">
        <f t="shared" si="141"/>
        <v>Classic Cars</v>
      </c>
      <c r="E1811" t="s">
        <v>337</v>
      </c>
      <c r="F1811" s="5">
        <v>1383.03</v>
      </c>
      <c r="G1811" s="5">
        <v>276.60599999999999</v>
      </c>
      <c r="I1811" t="str">
        <f t="shared" si="142"/>
        <v>Low Sales</v>
      </c>
      <c r="J1811" t="str">
        <f t="shared" si="143"/>
        <v>Average Performance</v>
      </c>
      <c r="K1811">
        <f t="shared" si="144"/>
        <v>2004</v>
      </c>
      <c r="L1811" t="str">
        <f t="shared" si="145"/>
        <v>October</v>
      </c>
    </row>
    <row r="1812" spans="1:12" x14ac:dyDescent="0.25">
      <c r="A1812" t="s">
        <v>51</v>
      </c>
      <c r="C1812" t="s">
        <v>262</v>
      </c>
      <c r="D1812" t="str">
        <f t="shared" ref="D1812:D1875" si="146">PROPER(TRIM(C1812))</f>
        <v>Classic Cars</v>
      </c>
      <c r="E1812" t="s">
        <v>337</v>
      </c>
      <c r="F1812" s="5">
        <v>1229.51</v>
      </c>
      <c r="G1812" s="5">
        <v>245.90199999999999</v>
      </c>
      <c r="I1812" t="str">
        <f t="shared" si="142"/>
        <v>Low Sales</v>
      </c>
      <c r="J1812" t="str">
        <f t="shared" si="143"/>
        <v>Average Performance</v>
      </c>
      <c r="K1812">
        <f t="shared" si="144"/>
        <v>2004</v>
      </c>
      <c r="L1812" t="str">
        <f t="shared" si="145"/>
        <v>November</v>
      </c>
    </row>
    <row r="1813" spans="1:12" x14ac:dyDescent="0.25">
      <c r="A1813" t="s">
        <v>165</v>
      </c>
      <c r="C1813" t="s">
        <v>262</v>
      </c>
      <c r="D1813" t="str">
        <f t="shared" si="146"/>
        <v>Classic Cars</v>
      </c>
      <c r="E1813" t="s">
        <v>337</v>
      </c>
      <c r="F1813" s="5">
        <v>1140.48</v>
      </c>
      <c r="G1813" s="5">
        <v>228.096</v>
      </c>
      <c r="I1813" t="str">
        <f t="shared" si="142"/>
        <v>Low Sales</v>
      </c>
      <c r="J1813" t="str">
        <f t="shared" si="143"/>
        <v>Average Performance</v>
      </c>
      <c r="K1813">
        <f t="shared" si="144"/>
        <v>2004</v>
      </c>
      <c r="L1813" t="str">
        <f t="shared" si="145"/>
        <v>November</v>
      </c>
    </row>
    <row r="1814" spans="1:12" x14ac:dyDescent="0.25">
      <c r="A1814" t="s">
        <v>26</v>
      </c>
      <c r="B1814" t="s">
        <v>259</v>
      </c>
      <c r="C1814" t="s">
        <v>262</v>
      </c>
      <c r="D1814" t="str">
        <f t="shared" si="146"/>
        <v>Classic Cars</v>
      </c>
      <c r="E1814" t="s">
        <v>337</v>
      </c>
      <c r="F1814" s="5">
        <v>1575.6</v>
      </c>
      <c r="G1814" s="5">
        <v>315.12</v>
      </c>
      <c r="I1814" t="str">
        <f t="shared" si="142"/>
        <v>Low Sales</v>
      </c>
      <c r="J1814" t="str">
        <f t="shared" si="143"/>
        <v>Average Performance</v>
      </c>
      <c r="K1814">
        <f t="shared" si="144"/>
        <v>2004</v>
      </c>
      <c r="L1814" t="str">
        <f t="shared" si="145"/>
        <v>November</v>
      </c>
    </row>
    <row r="1815" spans="1:12" x14ac:dyDescent="0.25">
      <c r="A1815" t="s">
        <v>234</v>
      </c>
      <c r="B1815" t="s">
        <v>258</v>
      </c>
      <c r="C1815" t="s">
        <v>262</v>
      </c>
      <c r="D1815" t="str">
        <f t="shared" si="146"/>
        <v>Classic Cars</v>
      </c>
      <c r="E1815" t="s">
        <v>337</v>
      </c>
      <c r="F1815" s="5">
        <v>1386.72</v>
      </c>
      <c r="G1815" s="5">
        <v>277.34399999999999</v>
      </c>
      <c r="I1815" t="str">
        <f t="shared" si="142"/>
        <v>Low Sales</v>
      </c>
      <c r="J1815" t="str">
        <f t="shared" si="143"/>
        <v>Average Performance</v>
      </c>
      <c r="K1815">
        <f t="shared" si="144"/>
        <v>2004</v>
      </c>
      <c r="L1815" t="str">
        <f t="shared" si="145"/>
        <v>December</v>
      </c>
    </row>
    <row r="1816" spans="1:12" x14ac:dyDescent="0.25">
      <c r="A1816" t="s">
        <v>189</v>
      </c>
      <c r="C1816" t="s">
        <v>262</v>
      </c>
      <c r="D1816" t="str">
        <f t="shared" si="146"/>
        <v>Classic Cars</v>
      </c>
      <c r="E1816" t="s">
        <v>337</v>
      </c>
      <c r="F1816" s="5">
        <v>5018.3999999999996</v>
      </c>
      <c r="G1816" s="5">
        <v>1003.68</v>
      </c>
      <c r="I1816" t="str">
        <f t="shared" si="142"/>
        <v>Low Sales</v>
      </c>
      <c r="J1816" t="str">
        <f t="shared" si="143"/>
        <v>Average Performance</v>
      </c>
      <c r="K1816">
        <f t="shared" si="144"/>
        <v>2005</v>
      </c>
      <c r="L1816" t="str">
        <f t="shared" si="145"/>
        <v>January</v>
      </c>
    </row>
    <row r="1817" spans="1:12" x14ac:dyDescent="0.25">
      <c r="A1817" t="s">
        <v>190</v>
      </c>
      <c r="B1817" t="s">
        <v>258</v>
      </c>
      <c r="C1817" t="s">
        <v>262</v>
      </c>
      <c r="D1817" t="str">
        <f t="shared" si="146"/>
        <v>Classic Cars</v>
      </c>
      <c r="E1817" t="s">
        <v>337</v>
      </c>
      <c r="F1817" s="5">
        <v>5856.85</v>
      </c>
      <c r="G1817" s="5">
        <v>1171.3699999999999</v>
      </c>
      <c r="I1817" t="str">
        <f t="shared" si="142"/>
        <v>Low Sales</v>
      </c>
      <c r="J1817" t="str">
        <f t="shared" si="143"/>
        <v>Average Performance</v>
      </c>
      <c r="K1817">
        <f t="shared" si="144"/>
        <v>2005</v>
      </c>
      <c r="L1817" t="str">
        <f t="shared" si="145"/>
        <v>February</v>
      </c>
    </row>
    <row r="1818" spans="1:12" x14ac:dyDescent="0.25">
      <c r="A1818" t="s">
        <v>168</v>
      </c>
      <c r="C1818" t="s">
        <v>262</v>
      </c>
      <c r="D1818" t="str">
        <f t="shared" si="146"/>
        <v>Classic Cars</v>
      </c>
      <c r="E1818" t="s">
        <v>337</v>
      </c>
      <c r="F1818" s="5">
        <v>4894.7299999999996</v>
      </c>
      <c r="G1818" s="5">
        <v>978.94599999999991</v>
      </c>
      <c r="I1818" t="str">
        <f t="shared" si="142"/>
        <v>Low Sales</v>
      </c>
      <c r="J1818" t="str">
        <f t="shared" si="143"/>
        <v>Average Performance</v>
      </c>
      <c r="K1818">
        <f t="shared" si="144"/>
        <v>2005</v>
      </c>
      <c r="L1818" t="str">
        <f t="shared" si="145"/>
        <v>March</v>
      </c>
    </row>
    <row r="1819" spans="1:12" x14ac:dyDescent="0.25">
      <c r="A1819" t="s">
        <v>156</v>
      </c>
      <c r="B1819" t="s">
        <v>258</v>
      </c>
      <c r="C1819" t="s">
        <v>262</v>
      </c>
      <c r="D1819" t="str">
        <f t="shared" si="146"/>
        <v>Classic Cars</v>
      </c>
      <c r="E1819" t="s">
        <v>337</v>
      </c>
      <c r="F1819" s="5">
        <v>2094.3200000000002</v>
      </c>
      <c r="G1819" s="5">
        <v>418.86399999999998</v>
      </c>
      <c r="I1819" t="str">
        <f t="shared" si="142"/>
        <v>Low Sales</v>
      </c>
      <c r="J1819" t="str">
        <f t="shared" si="143"/>
        <v>Average Performance</v>
      </c>
      <c r="K1819">
        <f t="shared" si="144"/>
        <v>2005</v>
      </c>
      <c r="L1819" t="str">
        <f t="shared" si="145"/>
        <v>April</v>
      </c>
    </row>
    <row r="1820" spans="1:12" x14ac:dyDescent="0.25">
      <c r="A1820" t="s">
        <v>122</v>
      </c>
      <c r="B1820" t="s">
        <v>258</v>
      </c>
      <c r="C1820" t="s">
        <v>262</v>
      </c>
      <c r="D1820" t="str">
        <f t="shared" si="146"/>
        <v>Classic Cars</v>
      </c>
      <c r="E1820" t="s">
        <v>337</v>
      </c>
      <c r="F1820" s="5">
        <v>640.04999999999995</v>
      </c>
      <c r="G1820" s="5">
        <v>128.01</v>
      </c>
      <c r="I1820" t="str">
        <f t="shared" si="142"/>
        <v>Low Sales</v>
      </c>
      <c r="J1820" t="str">
        <f t="shared" si="143"/>
        <v>Average Performance</v>
      </c>
      <c r="K1820">
        <f t="shared" si="144"/>
        <v>2005</v>
      </c>
      <c r="L1820" t="str">
        <f t="shared" si="145"/>
        <v>May</v>
      </c>
    </row>
    <row r="1821" spans="1:12" x14ac:dyDescent="0.25">
      <c r="A1821" t="s">
        <v>68</v>
      </c>
      <c r="B1821" t="s">
        <v>258</v>
      </c>
      <c r="C1821" t="s">
        <v>264</v>
      </c>
      <c r="D1821" t="str">
        <f t="shared" si="146"/>
        <v>Vintage Cars</v>
      </c>
      <c r="E1821" t="s">
        <v>338</v>
      </c>
      <c r="F1821" s="5">
        <v>3193.52</v>
      </c>
      <c r="G1821" s="5">
        <v>638.70400000000006</v>
      </c>
      <c r="I1821" t="str">
        <f t="shared" si="142"/>
        <v>Low Sales</v>
      </c>
      <c r="J1821" t="str">
        <f t="shared" si="143"/>
        <v>Average Performance</v>
      </c>
      <c r="K1821">
        <f t="shared" si="144"/>
        <v>2003</v>
      </c>
      <c r="L1821" t="str">
        <f t="shared" si="145"/>
        <v>February</v>
      </c>
    </row>
    <row r="1822" spans="1:12" x14ac:dyDescent="0.25">
      <c r="A1822" t="s">
        <v>69</v>
      </c>
      <c r="B1822" t="s">
        <v>258</v>
      </c>
      <c r="C1822" t="s">
        <v>264</v>
      </c>
      <c r="D1822" t="str">
        <f t="shared" si="146"/>
        <v>Vintage Cars</v>
      </c>
      <c r="E1822" t="s">
        <v>338</v>
      </c>
      <c r="F1822" s="5">
        <v>3066.7</v>
      </c>
      <c r="G1822" s="5">
        <v>613.34</v>
      </c>
      <c r="I1822" t="str">
        <f t="shared" si="142"/>
        <v>Low Sales</v>
      </c>
      <c r="J1822" t="str">
        <f t="shared" si="143"/>
        <v>Average Performance</v>
      </c>
      <c r="K1822">
        <f t="shared" si="144"/>
        <v>2003</v>
      </c>
      <c r="L1822" t="str">
        <f t="shared" si="145"/>
        <v>April</v>
      </c>
    </row>
    <row r="1823" spans="1:12" x14ac:dyDescent="0.25">
      <c r="A1823" t="s">
        <v>70</v>
      </c>
      <c r="B1823" t="s">
        <v>258</v>
      </c>
      <c r="C1823" t="s">
        <v>264</v>
      </c>
      <c r="D1823" t="str">
        <f t="shared" si="146"/>
        <v>Vintage Cars</v>
      </c>
      <c r="E1823" t="s">
        <v>338</v>
      </c>
      <c r="F1823" s="5">
        <v>3883.11</v>
      </c>
      <c r="G1823" s="5">
        <v>776.62200000000007</v>
      </c>
      <c r="I1823" t="str">
        <f t="shared" si="142"/>
        <v>Low Sales</v>
      </c>
      <c r="J1823" t="str">
        <f t="shared" si="143"/>
        <v>Average Performance</v>
      </c>
      <c r="K1823">
        <f t="shared" si="144"/>
        <v>2003</v>
      </c>
      <c r="L1823" t="str">
        <f t="shared" si="145"/>
        <v>June</v>
      </c>
    </row>
    <row r="1824" spans="1:12" x14ac:dyDescent="0.25">
      <c r="A1824" t="s">
        <v>125</v>
      </c>
      <c r="C1824" t="s">
        <v>264</v>
      </c>
      <c r="D1824" t="str">
        <f t="shared" si="146"/>
        <v>Vintage Cars</v>
      </c>
      <c r="E1824" t="s">
        <v>338</v>
      </c>
      <c r="F1824" s="5">
        <v>4814.25</v>
      </c>
      <c r="G1824" s="5">
        <v>962.85</v>
      </c>
      <c r="I1824" t="str">
        <f t="shared" si="142"/>
        <v>Low Sales</v>
      </c>
      <c r="J1824" t="str">
        <f t="shared" si="143"/>
        <v>Average Performance</v>
      </c>
      <c r="K1824">
        <f t="shared" si="144"/>
        <v>2003</v>
      </c>
      <c r="L1824" t="str">
        <f t="shared" si="145"/>
        <v>August</v>
      </c>
    </row>
    <row r="1825" spans="1:12" x14ac:dyDescent="0.25">
      <c r="A1825" t="s">
        <v>248</v>
      </c>
      <c r="C1825" t="s">
        <v>264</v>
      </c>
      <c r="D1825" t="str">
        <f t="shared" si="146"/>
        <v>Vintage Cars</v>
      </c>
      <c r="E1825" t="s">
        <v>338</v>
      </c>
      <c r="F1825" s="5">
        <v>2826.27</v>
      </c>
      <c r="G1825" s="5">
        <v>565.25400000000002</v>
      </c>
      <c r="I1825" t="str">
        <f t="shared" si="142"/>
        <v>Low Sales</v>
      </c>
      <c r="J1825" t="str">
        <f t="shared" si="143"/>
        <v>Average Performance</v>
      </c>
      <c r="K1825">
        <f t="shared" si="144"/>
        <v>2003</v>
      </c>
      <c r="L1825" t="str">
        <f t="shared" si="145"/>
        <v>October</v>
      </c>
    </row>
    <row r="1826" spans="1:12" x14ac:dyDescent="0.25">
      <c r="A1826" t="s">
        <v>73</v>
      </c>
      <c r="B1826" t="s">
        <v>258</v>
      </c>
      <c r="C1826" t="s">
        <v>264</v>
      </c>
      <c r="D1826" t="str">
        <f t="shared" si="146"/>
        <v>Vintage Cars</v>
      </c>
      <c r="E1826" t="s">
        <v>338</v>
      </c>
      <c r="F1826" s="5">
        <v>1593.2</v>
      </c>
      <c r="G1826" s="5">
        <v>318.64</v>
      </c>
      <c r="I1826" t="str">
        <f t="shared" si="142"/>
        <v>Low Sales</v>
      </c>
      <c r="J1826" t="str">
        <f t="shared" si="143"/>
        <v>Average Performance</v>
      </c>
      <c r="K1826">
        <f t="shared" si="144"/>
        <v>2003</v>
      </c>
      <c r="L1826" t="str">
        <f t="shared" si="145"/>
        <v>October</v>
      </c>
    </row>
    <row r="1827" spans="1:12" x14ac:dyDescent="0.25">
      <c r="A1827" t="s">
        <v>225</v>
      </c>
      <c r="B1827" t="s">
        <v>258</v>
      </c>
      <c r="C1827" t="s">
        <v>264</v>
      </c>
      <c r="D1827" t="str">
        <f t="shared" si="146"/>
        <v>Vintage Cars</v>
      </c>
      <c r="E1827" t="s">
        <v>338</v>
      </c>
      <c r="F1827" s="5">
        <v>3266.1</v>
      </c>
      <c r="G1827" s="5">
        <v>653.22</v>
      </c>
      <c r="I1827" t="str">
        <f t="shared" si="142"/>
        <v>Low Sales</v>
      </c>
      <c r="J1827" t="str">
        <f t="shared" si="143"/>
        <v>Average Performance</v>
      </c>
      <c r="K1827">
        <f t="shared" si="144"/>
        <v>2003</v>
      </c>
      <c r="L1827" t="str">
        <f t="shared" si="145"/>
        <v>November</v>
      </c>
    </row>
    <row r="1828" spans="1:12" x14ac:dyDescent="0.25">
      <c r="A1828" t="s">
        <v>75</v>
      </c>
      <c r="C1828" t="s">
        <v>264</v>
      </c>
      <c r="D1828" t="str">
        <f t="shared" si="146"/>
        <v>Vintage Cars</v>
      </c>
      <c r="E1828" t="s">
        <v>338</v>
      </c>
      <c r="F1828" s="5">
        <v>2453.5500000000002</v>
      </c>
      <c r="G1828" s="5">
        <v>490.71</v>
      </c>
      <c r="I1828" t="str">
        <f t="shared" si="142"/>
        <v>Low Sales</v>
      </c>
      <c r="J1828" t="str">
        <f t="shared" si="143"/>
        <v>Average Performance</v>
      </c>
      <c r="K1828">
        <f t="shared" si="144"/>
        <v>2003</v>
      </c>
      <c r="L1828" t="str">
        <f t="shared" si="145"/>
        <v>November</v>
      </c>
    </row>
    <row r="1829" spans="1:12" x14ac:dyDescent="0.25">
      <c r="A1829" t="s">
        <v>76</v>
      </c>
      <c r="B1829" t="s">
        <v>258</v>
      </c>
      <c r="C1829" t="s">
        <v>264</v>
      </c>
      <c r="D1829" t="str">
        <f t="shared" si="146"/>
        <v>Vintage Cars</v>
      </c>
      <c r="E1829" t="s">
        <v>338</v>
      </c>
      <c r="F1829" s="5">
        <v>3910.4</v>
      </c>
      <c r="G1829" s="5">
        <v>782.08</v>
      </c>
      <c r="I1829" t="str">
        <f t="shared" si="142"/>
        <v>Low Sales</v>
      </c>
      <c r="J1829" t="str">
        <f t="shared" si="143"/>
        <v>Average Performance</v>
      </c>
      <c r="K1829">
        <f t="shared" si="144"/>
        <v>2003</v>
      </c>
      <c r="L1829" t="str">
        <f t="shared" si="145"/>
        <v>November</v>
      </c>
    </row>
    <row r="1830" spans="1:12" x14ac:dyDescent="0.25">
      <c r="A1830" t="s">
        <v>128</v>
      </c>
      <c r="B1830" t="s">
        <v>258</v>
      </c>
      <c r="C1830" t="s">
        <v>264</v>
      </c>
      <c r="D1830" t="str">
        <f t="shared" si="146"/>
        <v>Vintage Cars</v>
      </c>
      <c r="E1830" t="s">
        <v>338</v>
      </c>
      <c r="F1830" s="5">
        <v>1788</v>
      </c>
      <c r="G1830" s="5">
        <v>357.6</v>
      </c>
      <c r="I1830" t="str">
        <f t="shared" si="142"/>
        <v>Low Sales</v>
      </c>
      <c r="J1830" t="str">
        <f t="shared" si="143"/>
        <v>Average Performance</v>
      </c>
      <c r="K1830">
        <f t="shared" si="144"/>
        <v>2004</v>
      </c>
      <c r="L1830" t="str">
        <f t="shared" si="145"/>
        <v>January</v>
      </c>
    </row>
    <row r="1831" spans="1:12" x14ac:dyDescent="0.25">
      <c r="A1831" t="s">
        <v>78</v>
      </c>
      <c r="C1831" t="s">
        <v>264</v>
      </c>
      <c r="D1831" t="str">
        <f t="shared" si="146"/>
        <v>Vintage Cars</v>
      </c>
      <c r="E1831" t="s">
        <v>338</v>
      </c>
      <c r="F1831" s="5">
        <v>3328.07</v>
      </c>
      <c r="G1831" s="5">
        <v>665.61400000000003</v>
      </c>
      <c r="I1831" t="str">
        <f t="shared" si="142"/>
        <v>Low Sales</v>
      </c>
      <c r="J1831" t="str">
        <f t="shared" si="143"/>
        <v>Average Performance</v>
      </c>
      <c r="K1831">
        <f t="shared" si="144"/>
        <v>2004</v>
      </c>
      <c r="L1831" t="str">
        <f t="shared" si="145"/>
        <v>February</v>
      </c>
    </row>
    <row r="1832" spans="1:12" x14ac:dyDescent="0.25">
      <c r="A1832" t="s">
        <v>249</v>
      </c>
      <c r="C1832" t="s">
        <v>264</v>
      </c>
      <c r="D1832" t="str">
        <f t="shared" si="146"/>
        <v>Vintage Cars</v>
      </c>
      <c r="E1832" t="s">
        <v>338</v>
      </c>
      <c r="F1832" s="5">
        <v>3788.4</v>
      </c>
      <c r="G1832" s="5">
        <v>757.68000000000006</v>
      </c>
      <c r="I1832" t="str">
        <f t="shared" si="142"/>
        <v>Low Sales</v>
      </c>
      <c r="J1832" t="str">
        <f t="shared" si="143"/>
        <v>Average Performance</v>
      </c>
      <c r="K1832">
        <f t="shared" si="144"/>
        <v>2004</v>
      </c>
      <c r="L1832" t="str">
        <f t="shared" si="145"/>
        <v>March</v>
      </c>
    </row>
    <row r="1833" spans="1:12" x14ac:dyDescent="0.25">
      <c r="A1833" t="s">
        <v>79</v>
      </c>
      <c r="C1833" t="s">
        <v>264</v>
      </c>
      <c r="D1833" t="str">
        <f t="shared" si="146"/>
        <v>Vintage Cars</v>
      </c>
      <c r="E1833" t="s">
        <v>338</v>
      </c>
      <c r="F1833" s="5">
        <v>3053.7</v>
      </c>
      <c r="G1833" s="5">
        <v>610.74</v>
      </c>
      <c r="I1833" t="str">
        <f t="shared" si="142"/>
        <v>Low Sales</v>
      </c>
      <c r="J1833" t="str">
        <f t="shared" si="143"/>
        <v>Average Performance</v>
      </c>
      <c r="K1833">
        <f t="shared" si="144"/>
        <v>2004</v>
      </c>
      <c r="L1833" t="str">
        <f t="shared" si="145"/>
        <v>May</v>
      </c>
    </row>
    <row r="1834" spans="1:12" x14ac:dyDescent="0.25">
      <c r="A1834" t="s">
        <v>80</v>
      </c>
      <c r="C1834" t="s">
        <v>264</v>
      </c>
      <c r="D1834" t="str">
        <f t="shared" si="146"/>
        <v>Vintage Cars</v>
      </c>
      <c r="E1834" t="s">
        <v>338</v>
      </c>
      <c r="F1834" s="5">
        <v>2005.74</v>
      </c>
      <c r="G1834" s="5">
        <v>401.14800000000002</v>
      </c>
      <c r="I1834" t="str">
        <f t="shared" si="142"/>
        <v>Low Sales</v>
      </c>
      <c r="J1834" t="str">
        <f t="shared" si="143"/>
        <v>Average Performance</v>
      </c>
      <c r="K1834">
        <f t="shared" si="144"/>
        <v>2004</v>
      </c>
      <c r="L1834" t="str">
        <f t="shared" si="145"/>
        <v>June</v>
      </c>
    </row>
    <row r="1835" spans="1:12" x14ac:dyDescent="0.25">
      <c r="A1835" t="s">
        <v>81</v>
      </c>
      <c r="B1835" t="s">
        <v>258</v>
      </c>
      <c r="C1835" t="s">
        <v>264</v>
      </c>
      <c r="D1835" t="str">
        <f t="shared" si="146"/>
        <v>Vintage Cars</v>
      </c>
      <c r="E1835" t="s">
        <v>338</v>
      </c>
      <c r="F1835" s="5">
        <v>2796.12</v>
      </c>
      <c r="G1835" s="5">
        <v>559.22400000000005</v>
      </c>
      <c r="I1835" t="str">
        <f t="shared" si="142"/>
        <v>Low Sales</v>
      </c>
      <c r="J1835" t="str">
        <f t="shared" si="143"/>
        <v>Average Performance</v>
      </c>
      <c r="K1835">
        <f t="shared" si="144"/>
        <v>2004</v>
      </c>
      <c r="L1835" t="str">
        <f t="shared" si="145"/>
        <v>July</v>
      </c>
    </row>
    <row r="1836" spans="1:12" x14ac:dyDescent="0.25">
      <c r="A1836" t="s">
        <v>82</v>
      </c>
      <c r="C1836" t="s">
        <v>264</v>
      </c>
      <c r="D1836" t="str">
        <f t="shared" si="146"/>
        <v>Vintage Cars</v>
      </c>
      <c r="E1836" t="s">
        <v>338</v>
      </c>
      <c r="F1836" s="5">
        <v>3159.96</v>
      </c>
      <c r="G1836" s="5">
        <v>631.99200000000008</v>
      </c>
      <c r="I1836" t="str">
        <f t="shared" si="142"/>
        <v>Low Sales</v>
      </c>
      <c r="J1836" t="str">
        <f t="shared" si="143"/>
        <v>Average Performance</v>
      </c>
      <c r="K1836">
        <f t="shared" si="144"/>
        <v>2004</v>
      </c>
      <c r="L1836" t="str">
        <f t="shared" si="145"/>
        <v>August</v>
      </c>
    </row>
    <row r="1837" spans="1:12" x14ac:dyDescent="0.25">
      <c r="A1837" t="s">
        <v>83</v>
      </c>
      <c r="C1837" t="s">
        <v>264</v>
      </c>
      <c r="D1837" t="str">
        <f t="shared" si="146"/>
        <v>Vintage Cars</v>
      </c>
      <c r="E1837" t="s">
        <v>338</v>
      </c>
      <c r="F1837" s="5">
        <v>3908.62</v>
      </c>
      <c r="G1837" s="5">
        <v>781.72400000000005</v>
      </c>
      <c r="I1837" t="str">
        <f t="shared" si="142"/>
        <v>Low Sales</v>
      </c>
      <c r="J1837" t="str">
        <f t="shared" si="143"/>
        <v>Average Performance</v>
      </c>
      <c r="K1837">
        <f t="shared" si="144"/>
        <v>2004</v>
      </c>
      <c r="L1837" t="str">
        <f t="shared" si="145"/>
        <v>September</v>
      </c>
    </row>
    <row r="1838" spans="1:12" x14ac:dyDescent="0.25">
      <c r="A1838" t="s">
        <v>84</v>
      </c>
      <c r="B1838" t="s">
        <v>258</v>
      </c>
      <c r="C1838" t="s">
        <v>264</v>
      </c>
      <c r="D1838" t="str">
        <f t="shared" si="146"/>
        <v>Vintage Cars</v>
      </c>
      <c r="E1838" t="s">
        <v>338</v>
      </c>
      <c r="F1838" s="5">
        <v>2606.48</v>
      </c>
      <c r="G1838" s="5">
        <v>521.29600000000005</v>
      </c>
      <c r="I1838" t="str">
        <f t="shared" si="142"/>
        <v>Low Sales</v>
      </c>
      <c r="J1838" t="str">
        <f t="shared" si="143"/>
        <v>Average Performance</v>
      </c>
      <c r="K1838">
        <f t="shared" si="144"/>
        <v>2004</v>
      </c>
      <c r="L1838" t="str">
        <f t="shared" si="145"/>
        <v>October</v>
      </c>
    </row>
    <row r="1839" spans="1:12" x14ac:dyDescent="0.25">
      <c r="A1839" t="s">
        <v>243</v>
      </c>
      <c r="B1839" t="s">
        <v>258</v>
      </c>
      <c r="C1839" t="s">
        <v>264</v>
      </c>
      <c r="D1839" t="str">
        <f t="shared" si="146"/>
        <v>Vintage Cars</v>
      </c>
      <c r="E1839" t="s">
        <v>338</v>
      </c>
      <c r="F1839" s="5">
        <v>2081.7600000000002</v>
      </c>
      <c r="G1839" s="5">
        <v>416.35200000000009</v>
      </c>
      <c r="I1839" t="str">
        <f t="shared" si="142"/>
        <v>Low Sales</v>
      </c>
      <c r="J1839" t="str">
        <f t="shared" si="143"/>
        <v>Average Performance</v>
      </c>
      <c r="K1839">
        <f t="shared" si="144"/>
        <v>2004</v>
      </c>
      <c r="L1839" t="str">
        <f t="shared" si="145"/>
        <v>October</v>
      </c>
    </row>
    <row r="1840" spans="1:12" x14ac:dyDescent="0.25">
      <c r="A1840" t="s">
        <v>229</v>
      </c>
      <c r="B1840" t="s">
        <v>258</v>
      </c>
      <c r="C1840" t="s">
        <v>264</v>
      </c>
      <c r="D1840" t="str">
        <f t="shared" si="146"/>
        <v>Vintage Cars</v>
      </c>
      <c r="E1840" t="s">
        <v>338</v>
      </c>
      <c r="F1840" s="5">
        <v>3519.85</v>
      </c>
      <c r="G1840" s="5">
        <v>703.97</v>
      </c>
      <c r="I1840" t="str">
        <f t="shared" si="142"/>
        <v>Low Sales</v>
      </c>
      <c r="J1840" t="str">
        <f t="shared" si="143"/>
        <v>Average Performance</v>
      </c>
      <c r="K1840">
        <f t="shared" si="144"/>
        <v>2004</v>
      </c>
      <c r="L1840" t="str">
        <f t="shared" si="145"/>
        <v>November</v>
      </c>
    </row>
    <row r="1841" spans="1:12" x14ac:dyDescent="0.25">
      <c r="A1841" t="s">
        <v>64</v>
      </c>
      <c r="B1841" t="s">
        <v>260</v>
      </c>
      <c r="C1841" t="s">
        <v>264</v>
      </c>
      <c r="D1841" t="str">
        <f t="shared" si="146"/>
        <v>Vintage Cars</v>
      </c>
      <c r="E1841" t="s">
        <v>338</v>
      </c>
      <c r="F1841" s="5">
        <v>10758</v>
      </c>
      <c r="G1841" s="5">
        <v>2151.6</v>
      </c>
      <c r="I1841" t="str">
        <f t="shared" si="142"/>
        <v>Low Sales</v>
      </c>
      <c r="J1841" t="str">
        <f t="shared" si="143"/>
        <v>Average Performance</v>
      </c>
      <c r="K1841">
        <f t="shared" si="144"/>
        <v>2004</v>
      </c>
      <c r="L1841" t="str">
        <f t="shared" si="145"/>
        <v>November</v>
      </c>
    </row>
    <row r="1842" spans="1:12" x14ac:dyDescent="0.25">
      <c r="A1842" t="s">
        <v>88</v>
      </c>
      <c r="B1842" t="s">
        <v>258</v>
      </c>
      <c r="C1842" t="s">
        <v>264</v>
      </c>
      <c r="D1842" t="str">
        <f t="shared" si="146"/>
        <v>Vintage Cars</v>
      </c>
      <c r="E1842" t="s">
        <v>338</v>
      </c>
      <c r="F1842" s="5">
        <v>3021</v>
      </c>
      <c r="G1842" s="5">
        <v>604.20000000000005</v>
      </c>
      <c r="I1842" t="str">
        <f t="shared" si="142"/>
        <v>Low Sales</v>
      </c>
      <c r="J1842" t="str">
        <f t="shared" si="143"/>
        <v>Average Performance</v>
      </c>
      <c r="K1842">
        <f t="shared" si="144"/>
        <v>2004</v>
      </c>
      <c r="L1842" t="str">
        <f t="shared" si="145"/>
        <v>December</v>
      </c>
    </row>
    <row r="1843" spans="1:12" x14ac:dyDescent="0.25">
      <c r="A1843" t="s">
        <v>90</v>
      </c>
      <c r="B1843" t="s">
        <v>258</v>
      </c>
      <c r="C1843" t="s">
        <v>264</v>
      </c>
      <c r="D1843" t="str">
        <f t="shared" si="146"/>
        <v>Vintage Cars</v>
      </c>
      <c r="E1843" t="s">
        <v>338</v>
      </c>
      <c r="F1843" s="5">
        <v>1891.56</v>
      </c>
      <c r="G1843" s="5">
        <v>378.31200000000001</v>
      </c>
      <c r="I1843" t="str">
        <f t="shared" si="142"/>
        <v>Low Sales</v>
      </c>
      <c r="J1843" t="str">
        <f t="shared" si="143"/>
        <v>Average Performance</v>
      </c>
      <c r="K1843">
        <f t="shared" si="144"/>
        <v>2005</v>
      </c>
      <c r="L1843" t="str">
        <f t="shared" si="145"/>
        <v>January</v>
      </c>
    </row>
    <row r="1844" spans="1:12" x14ac:dyDescent="0.25">
      <c r="A1844" t="s">
        <v>91</v>
      </c>
      <c r="C1844" t="s">
        <v>264</v>
      </c>
      <c r="D1844" t="str">
        <f t="shared" si="146"/>
        <v>Vintage Cars</v>
      </c>
      <c r="E1844" t="s">
        <v>338</v>
      </c>
      <c r="F1844" s="5">
        <v>4208.41</v>
      </c>
      <c r="G1844" s="5">
        <v>841.68200000000002</v>
      </c>
      <c r="I1844" t="str">
        <f t="shared" si="142"/>
        <v>Low Sales</v>
      </c>
      <c r="J1844" t="str">
        <f t="shared" si="143"/>
        <v>Average Performance</v>
      </c>
      <c r="K1844">
        <f t="shared" si="144"/>
        <v>2005</v>
      </c>
      <c r="L1844" t="str">
        <f t="shared" si="145"/>
        <v>February</v>
      </c>
    </row>
    <row r="1845" spans="1:12" x14ac:dyDescent="0.25">
      <c r="A1845" t="s">
        <v>147</v>
      </c>
      <c r="C1845" t="s">
        <v>264</v>
      </c>
      <c r="D1845" t="str">
        <f t="shared" si="146"/>
        <v>Vintage Cars</v>
      </c>
      <c r="E1845" t="s">
        <v>338</v>
      </c>
      <c r="F1845" s="5">
        <v>2246.4</v>
      </c>
      <c r="G1845" s="5">
        <v>449.28</v>
      </c>
      <c r="I1845" t="str">
        <f t="shared" si="142"/>
        <v>Low Sales</v>
      </c>
      <c r="J1845" t="str">
        <f t="shared" si="143"/>
        <v>Average Performance</v>
      </c>
      <c r="K1845">
        <f t="shared" si="144"/>
        <v>2005</v>
      </c>
      <c r="L1845" t="str">
        <f t="shared" si="145"/>
        <v>March</v>
      </c>
    </row>
    <row r="1846" spans="1:12" x14ac:dyDescent="0.25">
      <c r="A1846" t="s">
        <v>94</v>
      </c>
      <c r="C1846" t="s">
        <v>264</v>
      </c>
      <c r="D1846" t="str">
        <f t="shared" si="146"/>
        <v>Vintage Cars</v>
      </c>
      <c r="E1846" t="s">
        <v>338</v>
      </c>
      <c r="F1846" s="5">
        <v>6107.4</v>
      </c>
      <c r="G1846" s="5">
        <v>1221.48</v>
      </c>
      <c r="I1846" t="str">
        <f t="shared" si="142"/>
        <v>Low Sales</v>
      </c>
      <c r="J1846" t="str">
        <f t="shared" si="143"/>
        <v>Average Performance</v>
      </c>
      <c r="K1846">
        <f t="shared" si="144"/>
        <v>2005</v>
      </c>
      <c r="L1846" t="str">
        <f t="shared" si="145"/>
        <v>May</v>
      </c>
    </row>
    <row r="1847" spans="1:12" x14ac:dyDescent="0.25">
      <c r="A1847" t="s">
        <v>184</v>
      </c>
      <c r="B1847" t="s">
        <v>258</v>
      </c>
      <c r="C1847" t="s">
        <v>262</v>
      </c>
      <c r="D1847" t="str">
        <f t="shared" si="146"/>
        <v>Classic Cars</v>
      </c>
      <c r="E1847" t="s">
        <v>339</v>
      </c>
      <c r="F1847" s="5">
        <v>1987.74</v>
      </c>
      <c r="G1847" s="5">
        <v>397.548</v>
      </c>
      <c r="I1847" t="str">
        <f t="shared" si="142"/>
        <v>Low Sales</v>
      </c>
      <c r="J1847" t="str">
        <f t="shared" si="143"/>
        <v>Average Performance</v>
      </c>
      <c r="K1847">
        <f t="shared" si="144"/>
        <v>2003</v>
      </c>
      <c r="L1847" t="str">
        <f t="shared" si="145"/>
        <v>March</v>
      </c>
    </row>
    <row r="1848" spans="1:12" x14ac:dyDescent="0.25">
      <c r="A1848" t="s">
        <v>172</v>
      </c>
      <c r="C1848" t="s">
        <v>262</v>
      </c>
      <c r="D1848" t="str">
        <f t="shared" si="146"/>
        <v>Classic Cars</v>
      </c>
      <c r="E1848" t="s">
        <v>339</v>
      </c>
      <c r="F1848" s="5">
        <v>4068.96</v>
      </c>
      <c r="G1848" s="5">
        <v>813.79200000000003</v>
      </c>
      <c r="I1848" t="str">
        <f t="shared" si="142"/>
        <v>Low Sales</v>
      </c>
      <c r="J1848" t="str">
        <f t="shared" si="143"/>
        <v>Average Performance</v>
      </c>
      <c r="K1848">
        <f t="shared" si="144"/>
        <v>2003</v>
      </c>
      <c r="L1848" t="str">
        <f t="shared" si="145"/>
        <v>May</v>
      </c>
    </row>
    <row r="1849" spans="1:12" x14ac:dyDescent="0.25">
      <c r="A1849" t="s">
        <v>159</v>
      </c>
      <c r="B1849" t="s">
        <v>259</v>
      </c>
      <c r="C1849" t="s">
        <v>262</v>
      </c>
      <c r="D1849" t="str">
        <f t="shared" si="146"/>
        <v>Classic Cars</v>
      </c>
      <c r="E1849" t="s">
        <v>339</v>
      </c>
      <c r="F1849" s="5">
        <v>2282.2199999999998</v>
      </c>
      <c r="G1849" s="5">
        <v>456.44400000000002</v>
      </c>
      <c r="I1849" t="str">
        <f t="shared" si="142"/>
        <v>Low Sales</v>
      </c>
      <c r="J1849" t="str">
        <f t="shared" si="143"/>
        <v>Average Performance</v>
      </c>
      <c r="K1849">
        <f t="shared" si="144"/>
        <v>2003</v>
      </c>
      <c r="L1849" t="str">
        <f t="shared" si="145"/>
        <v>September</v>
      </c>
    </row>
    <row r="1850" spans="1:12" x14ac:dyDescent="0.25">
      <c r="A1850" t="s">
        <v>160</v>
      </c>
      <c r="B1850" t="s">
        <v>258</v>
      </c>
      <c r="C1850" t="s">
        <v>262</v>
      </c>
      <c r="D1850" t="str">
        <f t="shared" si="146"/>
        <v>Classic Cars</v>
      </c>
      <c r="E1850" t="s">
        <v>339</v>
      </c>
      <c r="F1850" s="5">
        <v>1541</v>
      </c>
      <c r="G1850" s="5">
        <v>308.2</v>
      </c>
      <c r="I1850" t="str">
        <f t="shared" si="142"/>
        <v>Low Sales</v>
      </c>
      <c r="J1850" t="str">
        <f t="shared" si="143"/>
        <v>Average Performance</v>
      </c>
      <c r="K1850">
        <f t="shared" si="144"/>
        <v>2003</v>
      </c>
      <c r="L1850" t="str">
        <f t="shared" si="145"/>
        <v>October</v>
      </c>
    </row>
    <row r="1851" spans="1:12" x14ac:dyDescent="0.25">
      <c r="A1851" t="s">
        <v>161</v>
      </c>
      <c r="C1851" t="s">
        <v>262</v>
      </c>
      <c r="D1851" t="str">
        <f t="shared" si="146"/>
        <v>Classic Cars</v>
      </c>
      <c r="E1851" t="s">
        <v>339</v>
      </c>
      <c r="F1851" s="5">
        <v>1951.92</v>
      </c>
      <c r="G1851" s="5">
        <v>390.38400000000001</v>
      </c>
      <c r="I1851" t="str">
        <f t="shared" si="142"/>
        <v>Low Sales</v>
      </c>
      <c r="J1851" t="str">
        <f t="shared" si="143"/>
        <v>Average Performance</v>
      </c>
      <c r="K1851">
        <f t="shared" si="144"/>
        <v>2003</v>
      </c>
      <c r="L1851" t="str">
        <f t="shared" si="145"/>
        <v>November</v>
      </c>
    </row>
    <row r="1852" spans="1:12" x14ac:dyDescent="0.25">
      <c r="A1852" t="s">
        <v>109</v>
      </c>
      <c r="C1852" t="s">
        <v>262</v>
      </c>
      <c r="D1852" t="str">
        <f t="shared" si="146"/>
        <v>Classic Cars</v>
      </c>
      <c r="E1852" t="s">
        <v>339</v>
      </c>
      <c r="F1852" s="5">
        <v>3107.61</v>
      </c>
      <c r="G1852" s="5">
        <v>621.52200000000005</v>
      </c>
      <c r="I1852" t="str">
        <f t="shared" si="142"/>
        <v>Low Sales</v>
      </c>
      <c r="J1852" t="str">
        <f t="shared" si="143"/>
        <v>Average Performance</v>
      </c>
      <c r="K1852">
        <f t="shared" si="144"/>
        <v>2003</v>
      </c>
      <c r="L1852" t="str">
        <f t="shared" si="145"/>
        <v>November</v>
      </c>
    </row>
    <row r="1853" spans="1:12" x14ac:dyDescent="0.25">
      <c r="A1853" t="s">
        <v>110</v>
      </c>
      <c r="C1853" t="s">
        <v>262</v>
      </c>
      <c r="D1853" t="str">
        <f t="shared" si="146"/>
        <v>Classic Cars</v>
      </c>
      <c r="E1853" t="s">
        <v>339</v>
      </c>
      <c r="F1853" s="5">
        <v>2328.64</v>
      </c>
      <c r="G1853" s="5">
        <v>465.72800000000001</v>
      </c>
      <c r="I1853" t="str">
        <f t="shared" si="142"/>
        <v>Low Sales</v>
      </c>
      <c r="J1853" t="str">
        <f t="shared" si="143"/>
        <v>Average Performance</v>
      </c>
      <c r="K1853">
        <f t="shared" si="144"/>
        <v>2003</v>
      </c>
      <c r="L1853" t="str">
        <f t="shared" si="145"/>
        <v>November</v>
      </c>
    </row>
    <row r="1854" spans="1:12" x14ac:dyDescent="0.25">
      <c r="A1854" t="s">
        <v>111</v>
      </c>
      <c r="C1854" t="s">
        <v>262</v>
      </c>
      <c r="D1854" t="str">
        <f t="shared" si="146"/>
        <v>Classic Cars</v>
      </c>
      <c r="E1854" t="s">
        <v>339</v>
      </c>
      <c r="F1854" s="5">
        <v>3184.8</v>
      </c>
      <c r="G1854" s="5">
        <v>636.96</v>
      </c>
      <c r="I1854" t="str">
        <f t="shared" si="142"/>
        <v>Low Sales</v>
      </c>
      <c r="J1854" t="str">
        <f t="shared" si="143"/>
        <v>Average Performance</v>
      </c>
      <c r="K1854">
        <f t="shared" si="144"/>
        <v>2003</v>
      </c>
      <c r="L1854" t="str">
        <f t="shared" si="145"/>
        <v>December</v>
      </c>
    </row>
    <row r="1855" spans="1:12" x14ac:dyDescent="0.25">
      <c r="A1855" t="s">
        <v>144</v>
      </c>
      <c r="B1855" t="s">
        <v>258</v>
      </c>
      <c r="C1855" t="s">
        <v>262</v>
      </c>
      <c r="D1855" t="str">
        <f t="shared" si="146"/>
        <v>Classic Cars</v>
      </c>
      <c r="E1855" t="s">
        <v>339</v>
      </c>
      <c r="F1855" s="5">
        <v>2149.7399999999998</v>
      </c>
      <c r="G1855" s="5">
        <v>429.94799999999998</v>
      </c>
      <c r="I1855" t="str">
        <f t="shared" si="142"/>
        <v>Low Sales</v>
      </c>
      <c r="J1855" t="str">
        <f t="shared" si="143"/>
        <v>Average Performance</v>
      </c>
      <c r="K1855">
        <f t="shared" si="144"/>
        <v>2004</v>
      </c>
      <c r="L1855" t="str">
        <f t="shared" si="145"/>
        <v>January</v>
      </c>
    </row>
    <row r="1856" spans="1:12" x14ac:dyDescent="0.25">
      <c r="A1856" t="s">
        <v>178</v>
      </c>
      <c r="B1856" t="s">
        <v>258</v>
      </c>
      <c r="C1856" t="s">
        <v>262</v>
      </c>
      <c r="D1856" t="str">
        <f t="shared" si="146"/>
        <v>Classic Cars</v>
      </c>
      <c r="E1856" t="s">
        <v>339</v>
      </c>
      <c r="F1856" s="5">
        <v>3184.8</v>
      </c>
      <c r="G1856" s="5">
        <v>636.96</v>
      </c>
      <c r="I1856" t="str">
        <f t="shared" si="142"/>
        <v>Low Sales</v>
      </c>
      <c r="J1856" t="str">
        <f t="shared" si="143"/>
        <v>Average Performance</v>
      </c>
      <c r="K1856">
        <f t="shared" si="144"/>
        <v>2004</v>
      </c>
      <c r="L1856" t="str">
        <f t="shared" si="145"/>
        <v>March</v>
      </c>
    </row>
    <row r="1857" spans="1:12" x14ac:dyDescent="0.25">
      <c r="A1857" t="s">
        <v>162</v>
      </c>
      <c r="B1857" t="s">
        <v>258</v>
      </c>
      <c r="C1857" t="s">
        <v>262</v>
      </c>
      <c r="D1857" t="str">
        <f t="shared" si="146"/>
        <v>Classic Cars</v>
      </c>
      <c r="E1857" t="s">
        <v>339</v>
      </c>
      <c r="F1857" s="5">
        <v>2114.58</v>
      </c>
      <c r="G1857" s="5">
        <v>422.916</v>
      </c>
      <c r="I1857" t="str">
        <f t="shared" si="142"/>
        <v>Low Sales</v>
      </c>
      <c r="J1857" t="str">
        <f t="shared" si="143"/>
        <v>Average Performance</v>
      </c>
      <c r="K1857">
        <f t="shared" si="144"/>
        <v>2004</v>
      </c>
      <c r="L1857" t="str">
        <f t="shared" si="145"/>
        <v>April</v>
      </c>
    </row>
    <row r="1858" spans="1:12" x14ac:dyDescent="0.25">
      <c r="A1858" t="s">
        <v>244</v>
      </c>
      <c r="C1858" t="s">
        <v>262</v>
      </c>
      <c r="D1858" t="str">
        <f t="shared" si="146"/>
        <v>Classic Cars</v>
      </c>
      <c r="E1858" t="s">
        <v>339</v>
      </c>
      <c r="F1858" s="5">
        <v>4256.5600000000004</v>
      </c>
      <c r="G1858" s="5">
        <v>851.31200000000013</v>
      </c>
      <c r="I1858" t="str">
        <f t="shared" si="142"/>
        <v>Low Sales</v>
      </c>
      <c r="J1858" t="str">
        <f t="shared" si="143"/>
        <v>Average Performance</v>
      </c>
      <c r="K1858">
        <f t="shared" si="144"/>
        <v>2004</v>
      </c>
      <c r="L1858" t="str">
        <f t="shared" si="145"/>
        <v>July</v>
      </c>
    </row>
    <row r="1859" spans="1:12" x14ac:dyDescent="0.25">
      <c r="A1859" t="s">
        <v>245</v>
      </c>
      <c r="B1859" t="s">
        <v>258</v>
      </c>
      <c r="C1859" t="s">
        <v>262</v>
      </c>
      <c r="D1859" t="str">
        <f t="shared" si="146"/>
        <v>Classic Cars</v>
      </c>
      <c r="E1859" t="s">
        <v>339</v>
      </c>
      <c r="F1859" s="5">
        <v>2344.98</v>
      </c>
      <c r="G1859" s="5">
        <v>468.99599999999998</v>
      </c>
      <c r="I1859" t="str">
        <f t="shared" ref="I1859:I1922" si="147">IF(F1859&gt;50000,"High Sales","Low Sales")</f>
        <v>Low Sales</v>
      </c>
      <c r="J1859" t="str">
        <f t="shared" ref="J1859:J1922" si="148">IF(AND(F1859&gt;30000,G1859&gt;5000),"Good Performance","Average Performance")</f>
        <v>Average Performance</v>
      </c>
      <c r="K1859">
        <f t="shared" ref="K1859:K1922" si="149">YEAR(A1859)</f>
        <v>2004</v>
      </c>
      <c r="L1859" t="str">
        <f t="shared" ref="L1859:L1922" si="150">TEXT(A1859,"mmmm")</f>
        <v>August</v>
      </c>
    </row>
    <row r="1860" spans="1:12" x14ac:dyDescent="0.25">
      <c r="A1860" t="s">
        <v>188</v>
      </c>
      <c r="B1860" t="s">
        <v>259</v>
      </c>
      <c r="C1860" t="s">
        <v>262</v>
      </c>
      <c r="D1860" t="str">
        <f t="shared" si="146"/>
        <v>Classic Cars</v>
      </c>
      <c r="E1860" t="s">
        <v>339</v>
      </c>
      <c r="F1860" s="5">
        <v>2328.66</v>
      </c>
      <c r="G1860" s="5">
        <v>465.73200000000003</v>
      </c>
      <c r="I1860" t="str">
        <f t="shared" si="147"/>
        <v>Low Sales</v>
      </c>
      <c r="J1860" t="str">
        <f t="shared" si="148"/>
        <v>Average Performance</v>
      </c>
      <c r="K1860">
        <f t="shared" si="149"/>
        <v>2004</v>
      </c>
      <c r="L1860" t="str">
        <f t="shared" si="150"/>
        <v>September</v>
      </c>
    </row>
    <row r="1861" spans="1:12" x14ac:dyDescent="0.25">
      <c r="A1861" t="s">
        <v>72</v>
      </c>
      <c r="B1861" t="s">
        <v>258</v>
      </c>
      <c r="C1861" t="s">
        <v>262</v>
      </c>
      <c r="D1861" t="str">
        <f t="shared" si="146"/>
        <v>Classic Cars</v>
      </c>
      <c r="E1861" t="s">
        <v>339</v>
      </c>
      <c r="F1861" s="5">
        <v>3575.04</v>
      </c>
      <c r="G1861" s="5">
        <v>715.00800000000004</v>
      </c>
      <c r="I1861" t="str">
        <f t="shared" si="147"/>
        <v>Low Sales</v>
      </c>
      <c r="J1861" t="str">
        <f t="shared" si="148"/>
        <v>Average Performance</v>
      </c>
      <c r="K1861">
        <f t="shared" si="149"/>
        <v>2003</v>
      </c>
      <c r="L1861" t="str">
        <f t="shared" si="150"/>
        <v>October</v>
      </c>
    </row>
    <row r="1862" spans="1:12" x14ac:dyDescent="0.25">
      <c r="A1862" t="s">
        <v>119</v>
      </c>
      <c r="B1862" t="s">
        <v>258</v>
      </c>
      <c r="C1862" t="s">
        <v>262</v>
      </c>
      <c r="D1862" t="str">
        <f t="shared" si="146"/>
        <v>Classic Cars</v>
      </c>
      <c r="E1862" t="s">
        <v>339</v>
      </c>
      <c r="F1862" s="5">
        <v>2076</v>
      </c>
      <c r="G1862" s="5">
        <v>415.2</v>
      </c>
      <c r="I1862" t="str">
        <f t="shared" si="147"/>
        <v>Low Sales</v>
      </c>
      <c r="J1862" t="str">
        <f t="shared" si="148"/>
        <v>Average Performance</v>
      </c>
      <c r="K1862">
        <f t="shared" si="149"/>
        <v>2004</v>
      </c>
      <c r="L1862" t="str">
        <f t="shared" si="150"/>
        <v>October</v>
      </c>
    </row>
    <row r="1863" spans="1:12" x14ac:dyDescent="0.25">
      <c r="A1863" t="s">
        <v>51</v>
      </c>
      <c r="C1863" t="s">
        <v>262</v>
      </c>
      <c r="D1863" t="str">
        <f t="shared" si="146"/>
        <v>Classic Cars</v>
      </c>
      <c r="E1863" t="s">
        <v>339</v>
      </c>
      <c r="F1863" s="5">
        <v>3305.25</v>
      </c>
      <c r="G1863" s="5">
        <v>661.05000000000007</v>
      </c>
      <c r="I1863" t="str">
        <f t="shared" si="147"/>
        <v>Low Sales</v>
      </c>
      <c r="J1863" t="str">
        <f t="shared" si="148"/>
        <v>Average Performance</v>
      </c>
      <c r="K1863">
        <f t="shared" si="149"/>
        <v>2004</v>
      </c>
      <c r="L1863" t="str">
        <f t="shared" si="150"/>
        <v>November</v>
      </c>
    </row>
    <row r="1864" spans="1:12" x14ac:dyDescent="0.25">
      <c r="A1864" t="s">
        <v>165</v>
      </c>
      <c r="B1864" t="s">
        <v>258</v>
      </c>
      <c r="C1864" t="s">
        <v>262</v>
      </c>
      <c r="D1864" t="str">
        <f t="shared" si="146"/>
        <v>Classic Cars</v>
      </c>
      <c r="E1864" t="s">
        <v>339</v>
      </c>
      <c r="F1864" s="5">
        <v>1538.55</v>
      </c>
      <c r="G1864" s="5">
        <v>307.70999999999998</v>
      </c>
      <c r="I1864" t="str">
        <f t="shared" si="147"/>
        <v>Low Sales</v>
      </c>
      <c r="J1864" t="str">
        <f t="shared" si="148"/>
        <v>Average Performance</v>
      </c>
      <c r="K1864">
        <f t="shared" si="149"/>
        <v>2004</v>
      </c>
      <c r="L1864" t="str">
        <f t="shared" si="150"/>
        <v>November</v>
      </c>
    </row>
    <row r="1865" spans="1:12" x14ac:dyDescent="0.25">
      <c r="A1865" t="s">
        <v>53</v>
      </c>
      <c r="C1865" t="s">
        <v>262</v>
      </c>
      <c r="D1865" t="str">
        <f t="shared" si="146"/>
        <v>Classic Cars</v>
      </c>
      <c r="E1865" t="s">
        <v>339</v>
      </c>
      <c r="F1865" s="5">
        <v>3325.92</v>
      </c>
      <c r="G1865" s="5">
        <v>665.18400000000008</v>
      </c>
      <c r="I1865" t="str">
        <f t="shared" si="147"/>
        <v>Low Sales</v>
      </c>
      <c r="J1865" t="str">
        <f t="shared" si="148"/>
        <v>Average Performance</v>
      </c>
      <c r="K1865">
        <f t="shared" si="149"/>
        <v>2004</v>
      </c>
      <c r="L1865" t="str">
        <f t="shared" si="150"/>
        <v>November</v>
      </c>
    </row>
    <row r="1866" spans="1:12" x14ac:dyDescent="0.25">
      <c r="A1866" t="s">
        <v>247</v>
      </c>
      <c r="C1866" t="s">
        <v>262</v>
      </c>
      <c r="D1866" t="str">
        <f t="shared" si="146"/>
        <v>Classic Cars</v>
      </c>
      <c r="E1866" t="s">
        <v>339</v>
      </c>
      <c r="F1866" s="5">
        <v>3662.52</v>
      </c>
      <c r="G1866" s="5">
        <v>732.50400000000002</v>
      </c>
      <c r="I1866" t="str">
        <f t="shared" si="147"/>
        <v>Low Sales</v>
      </c>
      <c r="J1866" t="str">
        <f t="shared" si="148"/>
        <v>Average Performance</v>
      </c>
      <c r="K1866">
        <f t="shared" si="149"/>
        <v>2005</v>
      </c>
      <c r="L1866" t="str">
        <f t="shared" si="150"/>
        <v>January</v>
      </c>
    </row>
    <row r="1867" spans="1:12" x14ac:dyDescent="0.25">
      <c r="A1867" t="s">
        <v>182</v>
      </c>
      <c r="B1867" t="s">
        <v>258</v>
      </c>
      <c r="C1867" t="s">
        <v>262</v>
      </c>
      <c r="D1867" t="str">
        <f t="shared" si="146"/>
        <v>Classic Cars</v>
      </c>
      <c r="E1867" t="s">
        <v>339</v>
      </c>
      <c r="F1867" s="5">
        <v>3478.64</v>
      </c>
      <c r="G1867" s="5">
        <v>695.72800000000007</v>
      </c>
      <c r="I1867" t="str">
        <f t="shared" si="147"/>
        <v>Low Sales</v>
      </c>
      <c r="J1867" t="str">
        <f t="shared" si="148"/>
        <v>Average Performance</v>
      </c>
      <c r="K1867">
        <f t="shared" si="149"/>
        <v>2005</v>
      </c>
      <c r="L1867" t="str">
        <f t="shared" si="150"/>
        <v>February</v>
      </c>
    </row>
    <row r="1868" spans="1:12" x14ac:dyDescent="0.25">
      <c r="A1868" t="s">
        <v>191</v>
      </c>
      <c r="C1868" t="s">
        <v>262</v>
      </c>
      <c r="D1868" t="str">
        <f t="shared" si="146"/>
        <v>Classic Cars</v>
      </c>
      <c r="E1868" t="s">
        <v>339</v>
      </c>
      <c r="F1868" s="5">
        <v>1057.29</v>
      </c>
      <c r="G1868" s="5">
        <v>211.458</v>
      </c>
      <c r="I1868" t="str">
        <f t="shared" si="147"/>
        <v>Low Sales</v>
      </c>
      <c r="J1868" t="str">
        <f t="shared" si="148"/>
        <v>Average Performance</v>
      </c>
      <c r="K1868">
        <f t="shared" si="149"/>
        <v>2005</v>
      </c>
      <c r="L1868" t="str">
        <f t="shared" si="150"/>
        <v>April</v>
      </c>
    </row>
    <row r="1869" spans="1:12" x14ac:dyDescent="0.25">
      <c r="A1869" t="s">
        <v>208</v>
      </c>
      <c r="B1869" t="s">
        <v>259</v>
      </c>
      <c r="C1869" t="s">
        <v>262</v>
      </c>
      <c r="D1869" t="str">
        <f t="shared" si="146"/>
        <v>Classic Cars</v>
      </c>
      <c r="E1869" t="s">
        <v>339</v>
      </c>
      <c r="F1869" s="5">
        <v>3385.9</v>
      </c>
      <c r="G1869" s="5">
        <v>677.18000000000006</v>
      </c>
      <c r="I1869" t="str">
        <f t="shared" si="147"/>
        <v>Low Sales</v>
      </c>
      <c r="J1869" t="str">
        <f t="shared" si="148"/>
        <v>Average Performance</v>
      </c>
      <c r="K1869">
        <f t="shared" si="149"/>
        <v>2005</v>
      </c>
      <c r="L1869" t="str">
        <f t="shared" si="150"/>
        <v>May</v>
      </c>
    </row>
    <row r="1870" spans="1:12" x14ac:dyDescent="0.25">
      <c r="A1870" t="s">
        <v>104</v>
      </c>
      <c r="B1870" t="s">
        <v>260</v>
      </c>
      <c r="C1870" t="s">
        <v>262</v>
      </c>
      <c r="D1870" t="str">
        <f t="shared" si="146"/>
        <v>Classic Cars</v>
      </c>
      <c r="E1870" t="s">
        <v>340</v>
      </c>
      <c r="F1870" s="5">
        <v>1892.1</v>
      </c>
      <c r="G1870" s="5">
        <v>378.42</v>
      </c>
      <c r="I1870" t="str">
        <f t="shared" si="147"/>
        <v>Low Sales</v>
      </c>
      <c r="J1870" t="str">
        <f t="shared" si="148"/>
        <v>Average Performance</v>
      </c>
      <c r="K1870">
        <f t="shared" si="149"/>
        <v>2003</v>
      </c>
      <c r="L1870" t="str">
        <f t="shared" si="150"/>
        <v>March</v>
      </c>
    </row>
    <row r="1871" spans="1:12" x14ac:dyDescent="0.25">
      <c r="A1871" t="s">
        <v>105</v>
      </c>
      <c r="B1871" t="s">
        <v>258</v>
      </c>
      <c r="C1871" t="s">
        <v>262</v>
      </c>
      <c r="D1871" t="str">
        <f t="shared" si="146"/>
        <v>Classic Cars</v>
      </c>
      <c r="E1871" t="s">
        <v>340</v>
      </c>
      <c r="F1871" s="5">
        <v>1707.14</v>
      </c>
      <c r="G1871" s="5">
        <v>341.42800000000011</v>
      </c>
      <c r="I1871" t="str">
        <f t="shared" si="147"/>
        <v>Low Sales</v>
      </c>
      <c r="J1871" t="str">
        <f t="shared" si="148"/>
        <v>Average Performance</v>
      </c>
      <c r="K1871">
        <f t="shared" si="149"/>
        <v>2003</v>
      </c>
      <c r="L1871" t="str">
        <f t="shared" si="150"/>
        <v>May</v>
      </c>
    </row>
    <row r="1872" spans="1:12" x14ac:dyDescent="0.25">
      <c r="A1872" t="s">
        <v>106</v>
      </c>
      <c r="C1872" t="s">
        <v>262</v>
      </c>
      <c r="D1872" t="str">
        <f t="shared" si="146"/>
        <v>Classic Cars</v>
      </c>
      <c r="E1872" t="s">
        <v>340</v>
      </c>
      <c r="F1872" s="5">
        <v>1785.51</v>
      </c>
      <c r="G1872" s="5">
        <v>357.10199999999998</v>
      </c>
      <c r="I1872" t="str">
        <f t="shared" si="147"/>
        <v>Low Sales</v>
      </c>
      <c r="J1872" t="str">
        <f t="shared" si="148"/>
        <v>Average Performance</v>
      </c>
      <c r="K1872">
        <f t="shared" si="149"/>
        <v>2003</v>
      </c>
      <c r="L1872" t="str">
        <f t="shared" si="150"/>
        <v>July</v>
      </c>
    </row>
    <row r="1873" spans="1:12" x14ac:dyDescent="0.25">
      <c r="A1873" t="s">
        <v>107</v>
      </c>
      <c r="C1873" t="s">
        <v>262</v>
      </c>
      <c r="D1873" t="str">
        <f t="shared" si="146"/>
        <v>Classic Cars</v>
      </c>
      <c r="E1873" t="s">
        <v>340</v>
      </c>
      <c r="F1873" s="5">
        <v>2057.4</v>
      </c>
      <c r="G1873" s="5">
        <v>411.48</v>
      </c>
      <c r="I1873" t="str">
        <f t="shared" si="147"/>
        <v>Low Sales</v>
      </c>
      <c r="J1873" t="str">
        <f t="shared" si="148"/>
        <v>Average Performance</v>
      </c>
      <c r="K1873">
        <f t="shared" si="149"/>
        <v>2003</v>
      </c>
      <c r="L1873" t="str">
        <f t="shared" si="150"/>
        <v>September</v>
      </c>
    </row>
    <row r="1874" spans="1:12" x14ac:dyDescent="0.25">
      <c r="A1874" t="s">
        <v>10</v>
      </c>
      <c r="C1874" t="s">
        <v>262</v>
      </c>
      <c r="D1874" t="str">
        <f t="shared" si="146"/>
        <v>Classic Cars</v>
      </c>
      <c r="E1874" t="s">
        <v>340</v>
      </c>
      <c r="F1874" s="5">
        <v>3490</v>
      </c>
      <c r="G1874" s="5">
        <v>698</v>
      </c>
      <c r="I1874" t="str">
        <f t="shared" si="147"/>
        <v>Low Sales</v>
      </c>
      <c r="J1874" t="str">
        <f t="shared" si="148"/>
        <v>Average Performance</v>
      </c>
      <c r="K1874">
        <f t="shared" si="149"/>
        <v>2003</v>
      </c>
      <c r="L1874" t="str">
        <f t="shared" si="150"/>
        <v>October</v>
      </c>
    </row>
    <row r="1875" spans="1:12" x14ac:dyDescent="0.25">
      <c r="A1875" t="s">
        <v>108</v>
      </c>
      <c r="B1875" t="s">
        <v>259</v>
      </c>
      <c r="C1875" t="s">
        <v>262</v>
      </c>
      <c r="D1875" t="str">
        <f t="shared" si="146"/>
        <v>Classic Cars</v>
      </c>
      <c r="E1875" t="s">
        <v>340</v>
      </c>
      <c r="F1875" s="5">
        <v>1707.14</v>
      </c>
      <c r="G1875" s="5">
        <v>341.42800000000011</v>
      </c>
      <c r="I1875" t="str">
        <f t="shared" si="147"/>
        <v>Low Sales</v>
      </c>
      <c r="J1875" t="str">
        <f t="shared" si="148"/>
        <v>Average Performance</v>
      </c>
      <c r="K1875">
        <f t="shared" si="149"/>
        <v>2003</v>
      </c>
      <c r="L1875" t="str">
        <f t="shared" si="150"/>
        <v>November</v>
      </c>
    </row>
    <row r="1876" spans="1:12" x14ac:dyDescent="0.25">
      <c r="A1876" t="s">
        <v>109</v>
      </c>
      <c r="B1876" t="s">
        <v>258</v>
      </c>
      <c r="C1876" t="s">
        <v>262</v>
      </c>
      <c r="D1876" t="str">
        <f t="shared" ref="D1876:D1939" si="151">PROPER(TRIM(C1876))</f>
        <v>Classic Cars</v>
      </c>
      <c r="E1876" t="s">
        <v>340</v>
      </c>
      <c r="F1876" s="5">
        <v>1506.96</v>
      </c>
      <c r="G1876" s="5">
        <v>301.392</v>
      </c>
      <c r="I1876" t="str">
        <f t="shared" si="147"/>
        <v>Low Sales</v>
      </c>
      <c r="J1876" t="str">
        <f t="shared" si="148"/>
        <v>Average Performance</v>
      </c>
      <c r="K1876">
        <f t="shared" si="149"/>
        <v>2003</v>
      </c>
      <c r="L1876" t="str">
        <f t="shared" si="150"/>
        <v>November</v>
      </c>
    </row>
    <row r="1877" spans="1:12" x14ac:dyDescent="0.25">
      <c r="A1877" t="s">
        <v>110</v>
      </c>
      <c r="B1877" t="s">
        <v>258</v>
      </c>
      <c r="C1877" t="s">
        <v>262</v>
      </c>
      <c r="D1877" t="str">
        <f t="shared" si="151"/>
        <v>Classic Cars</v>
      </c>
      <c r="E1877" t="s">
        <v>340</v>
      </c>
      <c r="F1877" s="5">
        <v>2880.48</v>
      </c>
      <c r="G1877" s="5">
        <v>576.096</v>
      </c>
      <c r="I1877" t="str">
        <f t="shared" si="147"/>
        <v>Low Sales</v>
      </c>
      <c r="J1877" t="str">
        <f t="shared" si="148"/>
        <v>Average Performance</v>
      </c>
      <c r="K1877">
        <f t="shared" si="149"/>
        <v>2003</v>
      </c>
      <c r="L1877" t="str">
        <f t="shared" si="150"/>
        <v>November</v>
      </c>
    </row>
    <row r="1878" spans="1:12" x14ac:dyDescent="0.25">
      <c r="A1878" t="s">
        <v>111</v>
      </c>
      <c r="B1878" t="s">
        <v>258</v>
      </c>
      <c r="C1878" t="s">
        <v>262</v>
      </c>
      <c r="D1878" t="str">
        <f t="shared" si="151"/>
        <v>Classic Cars</v>
      </c>
      <c r="E1878" t="s">
        <v>340</v>
      </c>
      <c r="F1878" s="5">
        <v>2206.6</v>
      </c>
      <c r="G1878" s="5">
        <v>441.32</v>
      </c>
      <c r="I1878" t="str">
        <f t="shared" si="147"/>
        <v>Low Sales</v>
      </c>
      <c r="J1878" t="str">
        <f t="shared" si="148"/>
        <v>Average Performance</v>
      </c>
      <c r="K1878">
        <f t="shared" si="149"/>
        <v>2003</v>
      </c>
      <c r="L1878" t="str">
        <f t="shared" si="150"/>
        <v>December</v>
      </c>
    </row>
    <row r="1879" spans="1:12" x14ac:dyDescent="0.25">
      <c r="A1879" t="s">
        <v>15</v>
      </c>
      <c r="B1879" t="s">
        <v>258</v>
      </c>
      <c r="C1879" t="s">
        <v>262</v>
      </c>
      <c r="D1879" t="str">
        <f t="shared" si="151"/>
        <v>Classic Cars</v>
      </c>
      <c r="E1879" t="s">
        <v>340</v>
      </c>
      <c r="F1879" s="5">
        <v>2351.04</v>
      </c>
      <c r="G1879" s="5">
        <v>470.20800000000003</v>
      </c>
      <c r="I1879" t="str">
        <f t="shared" si="147"/>
        <v>Low Sales</v>
      </c>
      <c r="J1879" t="str">
        <f t="shared" si="148"/>
        <v>Average Performance</v>
      </c>
      <c r="K1879">
        <f t="shared" si="149"/>
        <v>2004</v>
      </c>
      <c r="L1879" t="str">
        <f t="shared" si="150"/>
        <v>January</v>
      </c>
    </row>
    <row r="1880" spans="1:12" x14ac:dyDescent="0.25">
      <c r="A1880" t="s">
        <v>112</v>
      </c>
      <c r="B1880" t="s">
        <v>258</v>
      </c>
      <c r="C1880" t="s">
        <v>262</v>
      </c>
      <c r="D1880" t="str">
        <f t="shared" si="151"/>
        <v>Classic Cars</v>
      </c>
      <c r="E1880" t="s">
        <v>340</v>
      </c>
      <c r="F1880" s="5">
        <v>1205.04</v>
      </c>
      <c r="G1880" s="5">
        <v>241.00800000000001</v>
      </c>
      <c r="I1880" t="str">
        <f t="shared" si="147"/>
        <v>Low Sales</v>
      </c>
      <c r="J1880" t="str">
        <f t="shared" si="148"/>
        <v>Average Performance</v>
      </c>
      <c r="K1880">
        <f t="shared" si="149"/>
        <v>2004</v>
      </c>
      <c r="L1880" t="str">
        <f t="shared" si="150"/>
        <v>February</v>
      </c>
    </row>
    <row r="1881" spans="1:12" x14ac:dyDescent="0.25">
      <c r="A1881" t="s">
        <v>113</v>
      </c>
      <c r="B1881" t="s">
        <v>258</v>
      </c>
      <c r="C1881" t="s">
        <v>262</v>
      </c>
      <c r="D1881" t="str">
        <f t="shared" si="151"/>
        <v>Classic Cars</v>
      </c>
      <c r="E1881" t="s">
        <v>340</v>
      </c>
      <c r="F1881" s="5">
        <v>2935.15</v>
      </c>
      <c r="G1881" s="5">
        <v>587.03000000000009</v>
      </c>
      <c r="I1881" t="str">
        <f t="shared" si="147"/>
        <v>Low Sales</v>
      </c>
      <c r="J1881" t="str">
        <f t="shared" si="148"/>
        <v>Average Performance</v>
      </c>
      <c r="K1881">
        <f t="shared" si="149"/>
        <v>2004</v>
      </c>
      <c r="L1881" t="str">
        <f t="shared" si="150"/>
        <v>April</v>
      </c>
    </row>
    <row r="1882" spans="1:12" x14ac:dyDescent="0.25">
      <c r="A1882" t="s">
        <v>114</v>
      </c>
      <c r="B1882" t="s">
        <v>258</v>
      </c>
      <c r="C1882" t="s">
        <v>262</v>
      </c>
      <c r="D1882" t="str">
        <f t="shared" si="151"/>
        <v>Classic Cars</v>
      </c>
      <c r="E1882" t="s">
        <v>340</v>
      </c>
      <c r="F1882" s="5">
        <v>1263.8399999999999</v>
      </c>
      <c r="G1882" s="5">
        <v>252.768</v>
      </c>
      <c r="I1882" t="str">
        <f t="shared" si="147"/>
        <v>Low Sales</v>
      </c>
      <c r="J1882" t="str">
        <f t="shared" si="148"/>
        <v>Average Performance</v>
      </c>
      <c r="K1882">
        <f t="shared" si="149"/>
        <v>2004</v>
      </c>
      <c r="L1882" t="str">
        <f t="shared" si="150"/>
        <v>June</v>
      </c>
    </row>
    <row r="1883" spans="1:12" x14ac:dyDescent="0.25">
      <c r="A1883" t="s">
        <v>115</v>
      </c>
      <c r="B1883" t="s">
        <v>258</v>
      </c>
      <c r="C1883" t="s">
        <v>262</v>
      </c>
      <c r="D1883" t="str">
        <f t="shared" si="151"/>
        <v>Classic Cars</v>
      </c>
      <c r="E1883" t="s">
        <v>340</v>
      </c>
      <c r="F1883" s="5">
        <v>2935.15</v>
      </c>
      <c r="G1883" s="5">
        <v>587.03000000000009</v>
      </c>
      <c r="I1883" t="str">
        <f t="shared" si="147"/>
        <v>Low Sales</v>
      </c>
      <c r="J1883" t="str">
        <f t="shared" si="148"/>
        <v>Average Performance</v>
      </c>
      <c r="K1883">
        <f t="shared" si="149"/>
        <v>2004</v>
      </c>
      <c r="L1883" t="str">
        <f t="shared" si="150"/>
        <v>July</v>
      </c>
    </row>
    <row r="1884" spans="1:12" x14ac:dyDescent="0.25">
      <c r="A1884" t="s">
        <v>116</v>
      </c>
      <c r="C1884" t="s">
        <v>262</v>
      </c>
      <c r="D1884" t="str">
        <f t="shared" si="151"/>
        <v>Classic Cars</v>
      </c>
      <c r="E1884" t="s">
        <v>340</v>
      </c>
      <c r="F1884" s="5">
        <v>1224.5999999999999</v>
      </c>
      <c r="G1884" s="5">
        <v>244.92</v>
      </c>
      <c r="I1884" t="str">
        <f t="shared" si="147"/>
        <v>Low Sales</v>
      </c>
      <c r="J1884" t="str">
        <f t="shared" si="148"/>
        <v>Average Performance</v>
      </c>
      <c r="K1884">
        <f t="shared" si="149"/>
        <v>2004</v>
      </c>
      <c r="L1884" t="str">
        <f t="shared" si="150"/>
        <v>August</v>
      </c>
    </row>
    <row r="1885" spans="1:12" x14ac:dyDescent="0.25">
      <c r="A1885" t="s">
        <v>117</v>
      </c>
      <c r="B1885" t="s">
        <v>258</v>
      </c>
      <c r="C1885" t="s">
        <v>262</v>
      </c>
      <c r="D1885" t="str">
        <f t="shared" si="151"/>
        <v>Classic Cars</v>
      </c>
      <c r="E1885" t="s">
        <v>340</v>
      </c>
      <c r="F1885" s="5">
        <v>1359.4</v>
      </c>
      <c r="G1885" s="5">
        <v>271.88000000000011</v>
      </c>
      <c r="I1885" t="str">
        <f t="shared" si="147"/>
        <v>Low Sales</v>
      </c>
      <c r="J1885" t="str">
        <f t="shared" si="148"/>
        <v>Average Performance</v>
      </c>
      <c r="K1885">
        <f t="shared" si="149"/>
        <v>2004</v>
      </c>
      <c r="L1885" t="str">
        <f t="shared" si="150"/>
        <v>August</v>
      </c>
    </row>
    <row r="1886" spans="1:12" x14ac:dyDescent="0.25">
      <c r="A1886" t="s">
        <v>118</v>
      </c>
      <c r="B1886" t="s">
        <v>258</v>
      </c>
      <c r="C1886" t="s">
        <v>262</v>
      </c>
      <c r="D1886" t="str">
        <f t="shared" si="151"/>
        <v>Classic Cars</v>
      </c>
      <c r="E1886" t="s">
        <v>340</v>
      </c>
      <c r="F1886" s="5">
        <v>1822.18</v>
      </c>
      <c r="G1886" s="5">
        <v>364.43599999999998</v>
      </c>
      <c r="I1886" t="str">
        <f t="shared" si="147"/>
        <v>Low Sales</v>
      </c>
      <c r="J1886" t="str">
        <f t="shared" si="148"/>
        <v>Average Performance</v>
      </c>
      <c r="K1886">
        <f t="shared" si="149"/>
        <v>2003</v>
      </c>
      <c r="L1886" t="str">
        <f t="shared" si="150"/>
        <v>October</v>
      </c>
    </row>
    <row r="1887" spans="1:12" x14ac:dyDescent="0.25">
      <c r="A1887" t="s">
        <v>119</v>
      </c>
      <c r="B1887" t="s">
        <v>258</v>
      </c>
      <c r="C1887" t="s">
        <v>262</v>
      </c>
      <c r="D1887" t="str">
        <f t="shared" si="151"/>
        <v>Classic Cars</v>
      </c>
      <c r="E1887" t="s">
        <v>340</v>
      </c>
      <c r="F1887" s="5">
        <v>2163.7199999999998</v>
      </c>
      <c r="G1887" s="5">
        <v>432.74400000000003</v>
      </c>
      <c r="I1887" t="str">
        <f t="shared" si="147"/>
        <v>Low Sales</v>
      </c>
      <c r="J1887" t="str">
        <f t="shared" si="148"/>
        <v>Average Performance</v>
      </c>
      <c r="K1887">
        <f t="shared" si="149"/>
        <v>2004</v>
      </c>
      <c r="L1887" t="str">
        <f t="shared" si="150"/>
        <v>October</v>
      </c>
    </row>
    <row r="1888" spans="1:12" x14ac:dyDescent="0.25">
      <c r="A1888" t="s">
        <v>120</v>
      </c>
      <c r="B1888" t="s">
        <v>258</v>
      </c>
      <c r="C1888" t="s">
        <v>262</v>
      </c>
      <c r="D1888" t="str">
        <f t="shared" si="151"/>
        <v>Classic Cars</v>
      </c>
      <c r="E1888" t="s">
        <v>340</v>
      </c>
      <c r="F1888" s="5">
        <v>1591.98</v>
      </c>
      <c r="G1888" s="5">
        <v>318.39600000000002</v>
      </c>
      <c r="I1888" t="str">
        <f t="shared" si="147"/>
        <v>Low Sales</v>
      </c>
      <c r="J1888" t="str">
        <f t="shared" si="148"/>
        <v>Average Performance</v>
      </c>
      <c r="K1888">
        <f t="shared" si="149"/>
        <v>2004</v>
      </c>
      <c r="L1888" t="str">
        <f t="shared" si="150"/>
        <v>November</v>
      </c>
    </row>
    <row r="1889" spans="1:12" x14ac:dyDescent="0.25">
      <c r="A1889" t="s">
        <v>165</v>
      </c>
      <c r="C1889" t="s">
        <v>262</v>
      </c>
      <c r="D1889" t="str">
        <f t="shared" si="151"/>
        <v>Classic Cars</v>
      </c>
      <c r="E1889" t="s">
        <v>340</v>
      </c>
      <c r="F1889" s="5">
        <v>3078.5</v>
      </c>
      <c r="G1889" s="5">
        <v>615.70000000000005</v>
      </c>
      <c r="I1889" t="str">
        <f t="shared" si="147"/>
        <v>Low Sales</v>
      </c>
      <c r="J1889" t="str">
        <f t="shared" si="148"/>
        <v>Average Performance</v>
      </c>
      <c r="K1889">
        <f t="shared" si="149"/>
        <v>2004</v>
      </c>
      <c r="L1889" t="str">
        <f t="shared" si="150"/>
        <v>November</v>
      </c>
    </row>
    <row r="1890" spans="1:12" x14ac:dyDescent="0.25">
      <c r="A1890" t="s">
        <v>26</v>
      </c>
      <c r="B1890" t="s">
        <v>259</v>
      </c>
      <c r="C1890" t="s">
        <v>262</v>
      </c>
      <c r="D1890" t="str">
        <f t="shared" si="151"/>
        <v>Classic Cars</v>
      </c>
      <c r="E1890" t="s">
        <v>340</v>
      </c>
      <c r="F1890" s="5">
        <v>2997.6</v>
      </c>
      <c r="G1890" s="5">
        <v>599.52</v>
      </c>
      <c r="I1890" t="str">
        <f t="shared" si="147"/>
        <v>Low Sales</v>
      </c>
      <c r="J1890" t="str">
        <f t="shared" si="148"/>
        <v>Average Performance</v>
      </c>
      <c r="K1890">
        <f t="shared" si="149"/>
        <v>2004</v>
      </c>
      <c r="L1890" t="str">
        <f t="shared" si="150"/>
        <v>November</v>
      </c>
    </row>
    <row r="1891" spans="1:12" x14ac:dyDescent="0.25">
      <c r="A1891" t="s">
        <v>234</v>
      </c>
      <c r="B1891" t="s">
        <v>258</v>
      </c>
      <c r="C1891" t="s">
        <v>262</v>
      </c>
      <c r="D1891" t="str">
        <f t="shared" si="151"/>
        <v>Classic Cars</v>
      </c>
      <c r="E1891" t="s">
        <v>340</v>
      </c>
      <c r="F1891" s="5">
        <v>2747.8</v>
      </c>
      <c r="G1891" s="5">
        <v>549.56000000000006</v>
      </c>
      <c r="I1891" t="str">
        <f t="shared" si="147"/>
        <v>Low Sales</v>
      </c>
      <c r="J1891" t="str">
        <f t="shared" si="148"/>
        <v>Average Performance</v>
      </c>
      <c r="K1891">
        <f t="shared" si="149"/>
        <v>2004</v>
      </c>
      <c r="L1891" t="str">
        <f t="shared" si="150"/>
        <v>December</v>
      </c>
    </row>
    <row r="1892" spans="1:12" x14ac:dyDescent="0.25">
      <c r="A1892" t="s">
        <v>121</v>
      </c>
      <c r="B1892" t="s">
        <v>258</v>
      </c>
      <c r="C1892" t="s">
        <v>262</v>
      </c>
      <c r="D1892" t="str">
        <f t="shared" si="151"/>
        <v>Classic Cars</v>
      </c>
      <c r="E1892" t="s">
        <v>340</v>
      </c>
      <c r="F1892" s="5">
        <v>2447.7600000000002</v>
      </c>
      <c r="G1892" s="5">
        <v>489.55200000000008</v>
      </c>
      <c r="I1892" t="str">
        <f t="shared" si="147"/>
        <v>Low Sales</v>
      </c>
      <c r="J1892" t="str">
        <f t="shared" si="148"/>
        <v>Average Performance</v>
      </c>
      <c r="K1892">
        <f t="shared" si="149"/>
        <v>2005</v>
      </c>
      <c r="L1892" t="str">
        <f t="shared" si="150"/>
        <v>January</v>
      </c>
    </row>
    <row r="1893" spans="1:12" x14ac:dyDescent="0.25">
      <c r="A1893" t="s">
        <v>190</v>
      </c>
      <c r="B1893" t="s">
        <v>258</v>
      </c>
      <c r="C1893" t="s">
        <v>262</v>
      </c>
      <c r="D1893" t="str">
        <f t="shared" si="151"/>
        <v>Classic Cars</v>
      </c>
      <c r="E1893" t="s">
        <v>340</v>
      </c>
      <c r="F1893" s="5">
        <v>1910.84</v>
      </c>
      <c r="G1893" s="5">
        <v>382.16800000000001</v>
      </c>
      <c r="I1893" t="str">
        <f t="shared" si="147"/>
        <v>Low Sales</v>
      </c>
      <c r="J1893" t="str">
        <f t="shared" si="148"/>
        <v>Average Performance</v>
      </c>
      <c r="K1893">
        <f t="shared" si="149"/>
        <v>2005</v>
      </c>
      <c r="L1893" t="str">
        <f t="shared" si="150"/>
        <v>February</v>
      </c>
    </row>
    <row r="1894" spans="1:12" x14ac:dyDescent="0.25">
      <c r="A1894" t="s">
        <v>168</v>
      </c>
      <c r="C1894" t="s">
        <v>262</v>
      </c>
      <c r="D1894" t="str">
        <f t="shared" si="151"/>
        <v>Classic Cars</v>
      </c>
      <c r="E1894" t="s">
        <v>340</v>
      </c>
      <c r="F1894" s="5">
        <v>2430.64</v>
      </c>
      <c r="G1894" s="5">
        <v>486.12799999999999</v>
      </c>
      <c r="I1894" t="str">
        <f t="shared" si="147"/>
        <v>Low Sales</v>
      </c>
      <c r="J1894" t="str">
        <f t="shared" si="148"/>
        <v>Average Performance</v>
      </c>
      <c r="K1894">
        <f t="shared" si="149"/>
        <v>2005</v>
      </c>
      <c r="L1894" t="str">
        <f t="shared" si="150"/>
        <v>March</v>
      </c>
    </row>
    <row r="1895" spans="1:12" x14ac:dyDescent="0.25">
      <c r="A1895" t="s">
        <v>122</v>
      </c>
      <c r="B1895" t="s">
        <v>258</v>
      </c>
      <c r="C1895" t="s">
        <v>262</v>
      </c>
      <c r="D1895" t="str">
        <f t="shared" si="151"/>
        <v>Classic Cars</v>
      </c>
      <c r="E1895" t="s">
        <v>340</v>
      </c>
      <c r="F1895" s="5">
        <v>2896.3</v>
      </c>
      <c r="G1895" s="5">
        <v>579.2600000000001</v>
      </c>
      <c r="I1895" t="str">
        <f t="shared" si="147"/>
        <v>Low Sales</v>
      </c>
      <c r="J1895" t="str">
        <f t="shared" si="148"/>
        <v>Average Performance</v>
      </c>
      <c r="K1895">
        <f t="shared" si="149"/>
        <v>2005</v>
      </c>
      <c r="L1895" t="str">
        <f t="shared" si="150"/>
        <v>May</v>
      </c>
    </row>
    <row r="1896" spans="1:12" x14ac:dyDescent="0.25">
      <c r="A1896" t="s">
        <v>192</v>
      </c>
      <c r="B1896" t="s">
        <v>258</v>
      </c>
      <c r="C1896" t="s">
        <v>264</v>
      </c>
      <c r="D1896" t="str">
        <f t="shared" si="151"/>
        <v>Vintage Cars</v>
      </c>
      <c r="E1896" t="s">
        <v>341</v>
      </c>
      <c r="F1896" s="5">
        <v>1630.6</v>
      </c>
      <c r="G1896" s="5">
        <v>326.12</v>
      </c>
      <c r="I1896" t="str">
        <f t="shared" si="147"/>
        <v>Low Sales</v>
      </c>
      <c r="J1896" t="str">
        <f t="shared" si="148"/>
        <v>Average Performance</v>
      </c>
      <c r="K1896">
        <f t="shared" si="149"/>
        <v>2003</v>
      </c>
      <c r="L1896" t="str">
        <f t="shared" si="150"/>
        <v>February</v>
      </c>
    </row>
    <row r="1897" spans="1:12" x14ac:dyDescent="0.25">
      <c r="A1897" t="s">
        <v>69</v>
      </c>
      <c r="B1897" t="s">
        <v>258</v>
      </c>
      <c r="C1897" t="s">
        <v>264</v>
      </c>
      <c r="D1897" t="str">
        <f t="shared" si="151"/>
        <v>Vintage Cars</v>
      </c>
      <c r="E1897" t="s">
        <v>341</v>
      </c>
      <c r="F1897" s="5">
        <v>1459.6</v>
      </c>
      <c r="G1897" s="5">
        <v>291.92</v>
      </c>
      <c r="I1897" t="str">
        <f t="shared" si="147"/>
        <v>Low Sales</v>
      </c>
      <c r="J1897" t="str">
        <f t="shared" si="148"/>
        <v>Average Performance</v>
      </c>
      <c r="K1897">
        <f t="shared" si="149"/>
        <v>2003</v>
      </c>
      <c r="L1897" t="str">
        <f t="shared" si="150"/>
        <v>April</v>
      </c>
    </row>
    <row r="1898" spans="1:12" x14ac:dyDescent="0.25">
      <c r="A1898" t="s">
        <v>193</v>
      </c>
      <c r="C1898" t="s">
        <v>264</v>
      </c>
      <c r="D1898" t="str">
        <f t="shared" si="151"/>
        <v>Vintage Cars</v>
      </c>
      <c r="E1898" t="s">
        <v>341</v>
      </c>
      <c r="F1898" s="5">
        <v>1716.22</v>
      </c>
      <c r="G1898" s="5">
        <v>343.24400000000003</v>
      </c>
      <c r="I1898" t="str">
        <f t="shared" si="147"/>
        <v>Low Sales</v>
      </c>
      <c r="J1898" t="str">
        <f t="shared" si="148"/>
        <v>Average Performance</v>
      </c>
      <c r="K1898">
        <f t="shared" si="149"/>
        <v>2003</v>
      </c>
      <c r="L1898" t="str">
        <f t="shared" si="150"/>
        <v>June</v>
      </c>
    </row>
    <row r="1899" spans="1:12" x14ac:dyDescent="0.25">
      <c r="A1899" t="s">
        <v>71</v>
      </c>
      <c r="C1899" t="s">
        <v>264</v>
      </c>
      <c r="D1899" t="str">
        <f t="shared" si="151"/>
        <v>Vintage Cars</v>
      </c>
      <c r="E1899" t="s">
        <v>341</v>
      </c>
      <c r="F1899" s="5">
        <v>2560.4699999999998</v>
      </c>
      <c r="G1899" s="5">
        <v>512.09399999999994</v>
      </c>
      <c r="I1899" t="str">
        <f t="shared" si="147"/>
        <v>Low Sales</v>
      </c>
      <c r="J1899" t="str">
        <f t="shared" si="148"/>
        <v>Average Performance</v>
      </c>
      <c r="K1899">
        <f t="shared" si="149"/>
        <v>2003</v>
      </c>
      <c r="L1899" t="str">
        <f t="shared" si="150"/>
        <v>August</v>
      </c>
    </row>
    <row r="1900" spans="1:12" x14ac:dyDescent="0.25">
      <c r="A1900" t="s">
        <v>72</v>
      </c>
      <c r="B1900" t="s">
        <v>258</v>
      </c>
      <c r="C1900" t="s">
        <v>264</v>
      </c>
      <c r="D1900" t="str">
        <f t="shared" si="151"/>
        <v>Vintage Cars</v>
      </c>
      <c r="E1900" t="s">
        <v>341</v>
      </c>
      <c r="F1900" s="5">
        <v>1900.26</v>
      </c>
      <c r="G1900" s="5">
        <v>380.05200000000002</v>
      </c>
      <c r="I1900" t="str">
        <f t="shared" si="147"/>
        <v>Low Sales</v>
      </c>
      <c r="J1900" t="str">
        <f t="shared" si="148"/>
        <v>Average Performance</v>
      </c>
      <c r="K1900">
        <f t="shared" si="149"/>
        <v>2003</v>
      </c>
      <c r="L1900" t="str">
        <f t="shared" si="150"/>
        <v>October</v>
      </c>
    </row>
    <row r="1901" spans="1:12" x14ac:dyDescent="0.25">
      <c r="A1901" t="s">
        <v>73</v>
      </c>
      <c r="B1901" t="s">
        <v>258</v>
      </c>
      <c r="C1901" t="s">
        <v>264</v>
      </c>
      <c r="D1901" t="str">
        <f t="shared" si="151"/>
        <v>Vintage Cars</v>
      </c>
      <c r="E1901" t="s">
        <v>341</v>
      </c>
      <c r="F1901" s="5">
        <v>2019.84</v>
      </c>
      <c r="G1901" s="5">
        <v>403.96800000000002</v>
      </c>
      <c r="I1901" t="str">
        <f t="shared" si="147"/>
        <v>Low Sales</v>
      </c>
      <c r="J1901" t="str">
        <f t="shared" si="148"/>
        <v>Average Performance</v>
      </c>
      <c r="K1901">
        <f t="shared" si="149"/>
        <v>2003</v>
      </c>
      <c r="L1901" t="str">
        <f t="shared" si="150"/>
        <v>October</v>
      </c>
    </row>
    <row r="1902" spans="1:12" x14ac:dyDescent="0.25">
      <c r="A1902" t="s">
        <v>74</v>
      </c>
      <c r="B1902" t="s">
        <v>258</v>
      </c>
      <c r="C1902" t="s">
        <v>264</v>
      </c>
      <c r="D1902" t="str">
        <f t="shared" si="151"/>
        <v>Vintage Cars</v>
      </c>
      <c r="E1902" t="s">
        <v>341</v>
      </c>
      <c r="F1902" s="5">
        <v>1988.28</v>
      </c>
      <c r="G1902" s="5">
        <v>397.65600000000001</v>
      </c>
      <c r="I1902" t="str">
        <f t="shared" si="147"/>
        <v>Low Sales</v>
      </c>
      <c r="J1902" t="str">
        <f t="shared" si="148"/>
        <v>Average Performance</v>
      </c>
      <c r="K1902">
        <f t="shared" si="149"/>
        <v>2003</v>
      </c>
      <c r="L1902" t="str">
        <f t="shared" si="150"/>
        <v>November</v>
      </c>
    </row>
    <row r="1903" spans="1:12" x14ac:dyDescent="0.25">
      <c r="A1903" t="s">
        <v>75</v>
      </c>
      <c r="B1903" t="s">
        <v>258</v>
      </c>
      <c r="C1903" t="s">
        <v>264</v>
      </c>
      <c r="D1903" t="str">
        <f t="shared" si="151"/>
        <v>Vintage Cars</v>
      </c>
      <c r="E1903" t="s">
        <v>341</v>
      </c>
      <c r="F1903" s="5">
        <v>1449.84</v>
      </c>
      <c r="G1903" s="5">
        <v>289.96800000000002</v>
      </c>
      <c r="I1903" t="str">
        <f t="shared" si="147"/>
        <v>Low Sales</v>
      </c>
      <c r="J1903" t="str">
        <f t="shared" si="148"/>
        <v>Average Performance</v>
      </c>
      <c r="K1903">
        <f t="shared" si="149"/>
        <v>2003</v>
      </c>
      <c r="L1903" t="str">
        <f t="shared" si="150"/>
        <v>November</v>
      </c>
    </row>
    <row r="1904" spans="1:12" x14ac:dyDescent="0.25">
      <c r="A1904" t="s">
        <v>194</v>
      </c>
      <c r="B1904" t="s">
        <v>260</v>
      </c>
      <c r="C1904" t="s">
        <v>264</v>
      </c>
      <c r="D1904" t="str">
        <f t="shared" si="151"/>
        <v>Vintage Cars</v>
      </c>
      <c r="E1904" t="s">
        <v>341</v>
      </c>
      <c r="F1904" s="5">
        <v>1935.09</v>
      </c>
      <c r="G1904" s="5">
        <v>387.01799999999997</v>
      </c>
      <c r="I1904" t="str">
        <f t="shared" si="147"/>
        <v>Low Sales</v>
      </c>
      <c r="J1904" t="str">
        <f t="shared" si="148"/>
        <v>Average Performance</v>
      </c>
      <c r="K1904">
        <f t="shared" si="149"/>
        <v>2003</v>
      </c>
      <c r="L1904" t="str">
        <f t="shared" si="150"/>
        <v>November</v>
      </c>
    </row>
    <row r="1905" spans="1:12" x14ac:dyDescent="0.25">
      <c r="A1905" t="s">
        <v>77</v>
      </c>
      <c r="C1905" t="s">
        <v>264</v>
      </c>
      <c r="D1905" t="str">
        <f t="shared" si="151"/>
        <v>Vintage Cars</v>
      </c>
      <c r="E1905" t="s">
        <v>341</v>
      </c>
      <c r="F1905" s="5">
        <v>2793.24</v>
      </c>
      <c r="G1905" s="5">
        <v>558.64800000000002</v>
      </c>
      <c r="I1905" t="str">
        <f t="shared" si="147"/>
        <v>Low Sales</v>
      </c>
      <c r="J1905" t="str">
        <f t="shared" si="148"/>
        <v>Average Performance</v>
      </c>
      <c r="K1905">
        <f t="shared" si="149"/>
        <v>2004</v>
      </c>
      <c r="L1905" t="str">
        <f t="shared" si="150"/>
        <v>January</v>
      </c>
    </row>
    <row r="1906" spans="1:12" x14ac:dyDescent="0.25">
      <c r="A1906" t="s">
        <v>78</v>
      </c>
      <c r="C1906" t="s">
        <v>264</v>
      </c>
      <c r="D1906" t="str">
        <f t="shared" si="151"/>
        <v>Vintage Cars</v>
      </c>
      <c r="E1906" t="s">
        <v>341</v>
      </c>
      <c r="F1906" s="5">
        <v>3025.05</v>
      </c>
      <c r="G1906" s="5">
        <v>605.0100000000001</v>
      </c>
      <c r="I1906" t="str">
        <f t="shared" si="147"/>
        <v>Low Sales</v>
      </c>
      <c r="J1906" t="str">
        <f t="shared" si="148"/>
        <v>Average Performance</v>
      </c>
      <c r="K1906">
        <f t="shared" si="149"/>
        <v>2004</v>
      </c>
      <c r="L1906" t="str">
        <f t="shared" si="150"/>
        <v>February</v>
      </c>
    </row>
    <row r="1907" spans="1:12" x14ac:dyDescent="0.25">
      <c r="A1907" t="s">
        <v>238</v>
      </c>
      <c r="C1907" t="s">
        <v>264</v>
      </c>
      <c r="D1907" t="str">
        <f t="shared" si="151"/>
        <v>Vintage Cars</v>
      </c>
      <c r="E1907" t="s">
        <v>341</v>
      </c>
      <c r="F1907" s="5">
        <v>1742.5</v>
      </c>
      <c r="G1907" s="5">
        <v>348.5</v>
      </c>
      <c r="I1907" t="str">
        <f t="shared" si="147"/>
        <v>Low Sales</v>
      </c>
      <c r="J1907" t="str">
        <f t="shared" si="148"/>
        <v>Average Performance</v>
      </c>
      <c r="K1907">
        <f t="shared" si="149"/>
        <v>2004</v>
      </c>
      <c r="L1907" t="str">
        <f t="shared" si="150"/>
        <v>May</v>
      </c>
    </row>
    <row r="1908" spans="1:12" x14ac:dyDescent="0.25">
      <c r="A1908" t="s">
        <v>196</v>
      </c>
      <c r="B1908" t="s">
        <v>258</v>
      </c>
      <c r="C1908" t="s">
        <v>264</v>
      </c>
      <c r="D1908" t="str">
        <f t="shared" si="151"/>
        <v>Vintage Cars</v>
      </c>
      <c r="E1908" t="s">
        <v>341</v>
      </c>
      <c r="F1908" s="5">
        <v>3236.1</v>
      </c>
      <c r="G1908" s="5">
        <v>647.22</v>
      </c>
      <c r="I1908" t="str">
        <f t="shared" si="147"/>
        <v>Low Sales</v>
      </c>
      <c r="J1908" t="str">
        <f t="shared" si="148"/>
        <v>Average Performance</v>
      </c>
      <c r="K1908">
        <f t="shared" si="149"/>
        <v>2004</v>
      </c>
      <c r="L1908" t="str">
        <f t="shared" si="150"/>
        <v>June</v>
      </c>
    </row>
    <row r="1909" spans="1:12" x14ac:dyDescent="0.25">
      <c r="A1909" t="s">
        <v>81</v>
      </c>
      <c r="C1909" t="s">
        <v>264</v>
      </c>
      <c r="D1909" t="str">
        <f t="shared" si="151"/>
        <v>Vintage Cars</v>
      </c>
      <c r="E1909" t="s">
        <v>341</v>
      </c>
      <c r="F1909" s="5">
        <v>1735.92</v>
      </c>
      <c r="G1909" s="5">
        <v>347.18400000000003</v>
      </c>
      <c r="I1909" t="str">
        <f t="shared" si="147"/>
        <v>Low Sales</v>
      </c>
      <c r="J1909" t="str">
        <f t="shared" si="148"/>
        <v>Average Performance</v>
      </c>
      <c r="K1909">
        <f t="shared" si="149"/>
        <v>2004</v>
      </c>
      <c r="L1909" t="str">
        <f t="shared" si="150"/>
        <v>July</v>
      </c>
    </row>
    <row r="1910" spans="1:12" x14ac:dyDescent="0.25">
      <c r="A1910" t="s">
        <v>197</v>
      </c>
      <c r="B1910" t="s">
        <v>258</v>
      </c>
      <c r="C1910" t="s">
        <v>264</v>
      </c>
      <c r="D1910" t="str">
        <f t="shared" si="151"/>
        <v>Vintage Cars</v>
      </c>
      <c r="E1910" t="s">
        <v>341</v>
      </c>
      <c r="F1910" s="5">
        <v>2795.13</v>
      </c>
      <c r="G1910" s="5">
        <v>559.02600000000007</v>
      </c>
      <c r="I1910" t="str">
        <f t="shared" si="147"/>
        <v>Low Sales</v>
      </c>
      <c r="J1910" t="str">
        <f t="shared" si="148"/>
        <v>Average Performance</v>
      </c>
      <c r="K1910">
        <f t="shared" si="149"/>
        <v>2004</v>
      </c>
      <c r="L1910" t="str">
        <f t="shared" si="150"/>
        <v>August</v>
      </c>
    </row>
    <row r="1911" spans="1:12" x14ac:dyDescent="0.25">
      <c r="A1911" t="s">
        <v>198</v>
      </c>
      <c r="B1911" t="s">
        <v>258</v>
      </c>
      <c r="C1911" t="s">
        <v>264</v>
      </c>
      <c r="D1911" t="str">
        <f t="shared" si="151"/>
        <v>Vintage Cars</v>
      </c>
      <c r="E1911" t="s">
        <v>341</v>
      </c>
      <c r="F1911" s="5">
        <v>1671.52</v>
      </c>
      <c r="G1911" s="5">
        <v>334.30399999999997</v>
      </c>
      <c r="I1911" t="str">
        <f t="shared" si="147"/>
        <v>Low Sales</v>
      </c>
      <c r="J1911" t="str">
        <f t="shared" si="148"/>
        <v>Average Performance</v>
      </c>
      <c r="K1911">
        <f t="shared" si="149"/>
        <v>2004</v>
      </c>
      <c r="L1911" t="str">
        <f t="shared" si="150"/>
        <v>September</v>
      </c>
    </row>
    <row r="1912" spans="1:12" x14ac:dyDescent="0.25">
      <c r="A1912" t="s">
        <v>84</v>
      </c>
      <c r="C1912" t="s">
        <v>264</v>
      </c>
      <c r="D1912" t="str">
        <f t="shared" si="151"/>
        <v>Vintage Cars</v>
      </c>
      <c r="E1912" t="s">
        <v>341</v>
      </c>
      <c r="F1912" s="5">
        <v>1576.74</v>
      </c>
      <c r="G1912" s="5">
        <v>315.34800000000001</v>
      </c>
      <c r="I1912" t="str">
        <f t="shared" si="147"/>
        <v>Low Sales</v>
      </c>
      <c r="J1912" t="str">
        <f t="shared" si="148"/>
        <v>Average Performance</v>
      </c>
      <c r="K1912">
        <f t="shared" si="149"/>
        <v>2004</v>
      </c>
      <c r="L1912" t="str">
        <f t="shared" si="150"/>
        <v>October</v>
      </c>
    </row>
    <row r="1913" spans="1:12" x14ac:dyDescent="0.25">
      <c r="A1913" t="s">
        <v>85</v>
      </c>
      <c r="B1913" t="s">
        <v>258</v>
      </c>
      <c r="C1913" t="s">
        <v>264</v>
      </c>
      <c r="D1913" t="str">
        <f t="shared" si="151"/>
        <v>Vintage Cars</v>
      </c>
      <c r="E1913" t="s">
        <v>341</v>
      </c>
      <c r="F1913" s="5">
        <v>3615.71</v>
      </c>
      <c r="G1913" s="5">
        <v>723.14200000000005</v>
      </c>
      <c r="I1913" t="str">
        <f t="shared" si="147"/>
        <v>Low Sales</v>
      </c>
      <c r="J1913" t="str">
        <f t="shared" si="148"/>
        <v>Average Performance</v>
      </c>
      <c r="K1913">
        <f t="shared" si="149"/>
        <v>2004</v>
      </c>
      <c r="L1913" t="str">
        <f t="shared" si="150"/>
        <v>November</v>
      </c>
    </row>
    <row r="1914" spans="1:12" x14ac:dyDescent="0.25">
      <c r="A1914" t="s">
        <v>239</v>
      </c>
      <c r="B1914" t="s">
        <v>258</v>
      </c>
      <c r="C1914" t="s">
        <v>264</v>
      </c>
      <c r="D1914" t="str">
        <f t="shared" si="151"/>
        <v>Vintage Cars</v>
      </c>
      <c r="E1914" t="s">
        <v>341</v>
      </c>
      <c r="F1914" s="5">
        <v>1459.6</v>
      </c>
      <c r="G1914" s="5">
        <v>291.92</v>
      </c>
      <c r="I1914" t="str">
        <f t="shared" si="147"/>
        <v>Low Sales</v>
      </c>
      <c r="J1914" t="str">
        <f t="shared" si="148"/>
        <v>Average Performance</v>
      </c>
      <c r="K1914">
        <f t="shared" si="149"/>
        <v>2004</v>
      </c>
      <c r="L1914" t="str">
        <f t="shared" si="150"/>
        <v>November</v>
      </c>
    </row>
    <row r="1915" spans="1:12" x14ac:dyDescent="0.25">
      <c r="A1915" t="s">
        <v>64</v>
      </c>
      <c r="B1915" t="s">
        <v>260</v>
      </c>
      <c r="C1915" t="s">
        <v>264</v>
      </c>
      <c r="D1915" t="str">
        <f t="shared" si="151"/>
        <v>Vintage Cars</v>
      </c>
      <c r="E1915" t="s">
        <v>341</v>
      </c>
      <c r="F1915" s="5">
        <v>2891.01</v>
      </c>
      <c r="G1915" s="5">
        <v>578.20200000000011</v>
      </c>
      <c r="I1915" t="str">
        <f t="shared" si="147"/>
        <v>Low Sales</v>
      </c>
      <c r="J1915" t="str">
        <f t="shared" si="148"/>
        <v>Average Performance</v>
      </c>
      <c r="K1915">
        <f t="shared" si="149"/>
        <v>2004</v>
      </c>
      <c r="L1915" t="str">
        <f t="shared" si="150"/>
        <v>November</v>
      </c>
    </row>
    <row r="1916" spans="1:12" x14ac:dyDescent="0.25">
      <c r="A1916" t="s">
        <v>201</v>
      </c>
      <c r="B1916" t="s">
        <v>258</v>
      </c>
      <c r="C1916" t="s">
        <v>264</v>
      </c>
      <c r="D1916" t="str">
        <f t="shared" si="151"/>
        <v>Vintage Cars</v>
      </c>
      <c r="E1916" t="s">
        <v>341</v>
      </c>
      <c r="F1916" s="5">
        <v>2598.44</v>
      </c>
      <c r="G1916" s="5">
        <v>519.68799999999999</v>
      </c>
      <c r="I1916" t="str">
        <f t="shared" si="147"/>
        <v>Low Sales</v>
      </c>
      <c r="J1916" t="str">
        <f t="shared" si="148"/>
        <v>Average Performance</v>
      </c>
      <c r="K1916">
        <f t="shared" si="149"/>
        <v>2004</v>
      </c>
      <c r="L1916" t="str">
        <f t="shared" si="150"/>
        <v>December</v>
      </c>
    </row>
    <row r="1917" spans="1:12" x14ac:dyDescent="0.25">
      <c r="A1917" t="s">
        <v>27</v>
      </c>
      <c r="B1917" t="s">
        <v>259</v>
      </c>
      <c r="C1917" t="s">
        <v>264</v>
      </c>
      <c r="D1917" t="str">
        <f t="shared" si="151"/>
        <v>Vintage Cars</v>
      </c>
      <c r="E1917" t="s">
        <v>341</v>
      </c>
      <c r="F1917" s="5">
        <v>3871.92</v>
      </c>
      <c r="G1917" s="5">
        <v>774.38400000000001</v>
      </c>
      <c r="I1917" t="str">
        <f t="shared" si="147"/>
        <v>Low Sales</v>
      </c>
      <c r="J1917" t="str">
        <f t="shared" si="148"/>
        <v>Average Performance</v>
      </c>
      <c r="K1917">
        <f t="shared" si="149"/>
        <v>2004</v>
      </c>
      <c r="L1917" t="str">
        <f t="shared" si="150"/>
        <v>December</v>
      </c>
    </row>
    <row r="1918" spans="1:12" x14ac:dyDescent="0.25">
      <c r="A1918" t="s">
        <v>90</v>
      </c>
      <c r="B1918" t="s">
        <v>258</v>
      </c>
      <c r="C1918" t="s">
        <v>264</v>
      </c>
      <c r="D1918" t="str">
        <f t="shared" si="151"/>
        <v>Vintage Cars</v>
      </c>
      <c r="E1918" t="s">
        <v>341</v>
      </c>
      <c r="F1918" s="5">
        <v>3036</v>
      </c>
      <c r="G1918" s="5">
        <v>607.20000000000005</v>
      </c>
      <c r="I1918" t="str">
        <f t="shared" si="147"/>
        <v>Low Sales</v>
      </c>
      <c r="J1918" t="str">
        <f t="shared" si="148"/>
        <v>Average Performance</v>
      </c>
      <c r="K1918">
        <f t="shared" si="149"/>
        <v>2005</v>
      </c>
      <c r="L1918" t="str">
        <f t="shared" si="150"/>
        <v>January</v>
      </c>
    </row>
    <row r="1919" spans="1:12" x14ac:dyDescent="0.25">
      <c r="A1919" t="s">
        <v>202</v>
      </c>
      <c r="B1919" t="s">
        <v>258</v>
      </c>
      <c r="C1919" t="s">
        <v>264</v>
      </c>
      <c r="D1919" t="str">
        <f t="shared" si="151"/>
        <v>Vintage Cars</v>
      </c>
      <c r="E1919" t="s">
        <v>341</v>
      </c>
      <c r="F1919" s="5">
        <v>2231.6</v>
      </c>
      <c r="G1919" s="5">
        <v>446.32</v>
      </c>
      <c r="I1919" t="str">
        <f t="shared" si="147"/>
        <v>Low Sales</v>
      </c>
      <c r="J1919" t="str">
        <f t="shared" si="148"/>
        <v>Average Performance</v>
      </c>
      <c r="K1919">
        <f t="shared" si="149"/>
        <v>2005</v>
      </c>
      <c r="L1919" t="str">
        <f t="shared" si="150"/>
        <v>March</v>
      </c>
    </row>
    <row r="1920" spans="1:12" x14ac:dyDescent="0.25">
      <c r="A1920" t="s">
        <v>203</v>
      </c>
      <c r="B1920" t="s">
        <v>258</v>
      </c>
      <c r="C1920" t="s">
        <v>264</v>
      </c>
      <c r="D1920" t="str">
        <f t="shared" si="151"/>
        <v>Vintage Cars</v>
      </c>
      <c r="E1920" t="s">
        <v>341</v>
      </c>
      <c r="F1920" s="5">
        <v>2436.7800000000002</v>
      </c>
      <c r="G1920" s="5">
        <v>487.35600000000011</v>
      </c>
      <c r="I1920" t="str">
        <f t="shared" si="147"/>
        <v>Low Sales</v>
      </c>
      <c r="J1920" t="str">
        <f t="shared" si="148"/>
        <v>Average Performance</v>
      </c>
      <c r="K1920">
        <f t="shared" si="149"/>
        <v>2005</v>
      </c>
      <c r="L1920" t="str">
        <f t="shared" si="150"/>
        <v>March</v>
      </c>
    </row>
    <row r="1921" spans="1:12" x14ac:dyDescent="0.25">
      <c r="A1921" t="s">
        <v>93</v>
      </c>
      <c r="C1921" t="s">
        <v>264</v>
      </c>
      <c r="D1921" t="str">
        <f t="shared" si="151"/>
        <v>Vintage Cars</v>
      </c>
      <c r="E1921" t="s">
        <v>341</v>
      </c>
      <c r="F1921" s="5">
        <v>2173.6</v>
      </c>
      <c r="G1921" s="5">
        <v>434.72</v>
      </c>
      <c r="I1921" t="str">
        <f t="shared" si="147"/>
        <v>Low Sales</v>
      </c>
      <c r="J1921" t="str">
        <f t="shared" si="148"/>
        <v>Average Performance</v>
      </c>
      <c r="K1921">
        <f t="shared" si="149"/>
        <v>2005</v>
      </c>
      <c r="L1921" t="str">
        <f t="shared" si="150"/>
        <v>April</v>
      </c>
    </row>
    <row r="1922" spans="1:12" x14ac:dyDescent="0.25">
      <c r="A1922" t="s">
        <v>240</v>
      </c>
      <c r="B1922" t="s">
        <v>259</v>
      </c>
      <c r="C1922" t="s">
        <v>264</v>
      </c>
      <c r="D1922" t="str">
        <f t="shared" si="151"/>
        <v>Vintage Cars</v>
      </c>
      <c r="E1922" t="s">
        <v>341</v>
      </c>
      <c r="F1922" s="5">
        <v>1254.5999999999999</v>
      </c>
      <c r="G1922" s="5">
        <v>250.92</v>
      </c>
      <c r="I1922" t="str">
        <f t="shared" si="147"/>
        <v>Low Sales</v>
      </c>
      <c r="J1922" t="str">
        <f t="shared" si="148"/>
        <v>Average Performance</v>
      </c>
      <c r="K1922">
        <f t="shared" si="149"/>
        <v>2005</v>
      </c>
      <c r="L1922" t="str">
        <f t="shared" si="150"/>
        <v>May</v>
      </c>
    </row>
    <row r="1923" spans="1:12" x14ac:dyDescent="0.25">
      <c r="A1923" t="s">
        <v>184</v>
      </c>
      <c r="B1923" t="s">
        <v>258</v>
      </c>
      <c r="C1923" t="s">
        <v>262</v>
      </c>
      <c r="D1923" t="str">
        <f t="shared" si="151"/>
        <v>Classic Cars</v>
      </c>
      <c r="E1923" t="s">
        <v>342</v>
      </c>
      <c r="F1923" s="5">
        <v>3724.42</v>
      </c>
      <c r="G1923" s="5">
        <v>744.88400000000001</v>
      </c>
      <c r="I1923" t="str">
        <f t="shared" ref="I1923:I1986" si="152">IF(F1923&gt;50000,"High Sales","Low Sales")</f>
        <v>Low Sales</v>
      </c>
      <c r="J1923" t="str">
        <f t="shared" ref="J1923:J1986" si="153">IF(AND(F1923&gt;30000,G1923&gt;5000),"Good Performance","Average Performance")</f>
        <v>Average Performance</v>
      </c>
      <c r="K1923">
        <f t="shared" ref="K1923:K1986" si="154">YEAR(A1923)</f>
        <v>2003</v>
      </c>
      <c r="L1923" t="str">
        <f t="shared" ref="L1923:L1986" si="155">TEXT(A1923,"mmmm")</f>
        <v>March</v>
      </c>
    </row>
    <row r="1924" spans="1:12" x14ac:dyDescent="0.25">
      <c r="A1924" t="s">
        <v>172</v>
      </c>
      <c r="C1924" t="s">
        <v>262</v>
      </c>
      <c r="D1924" t="str">
        <f t="shared" si="151"/>
        <v>Classic Cars</v>
      </c>
      <c r="E1924" t="s">
        <v>342</v>
      </c>
      <c r="F1924" s="5">
        <v>5203</v>
      </c>
      <c r="G1924" s="5">
        <v>1040.5999999999999</v>
      </c>
      <c r="I1924" t="str">
        <f t="shared" si="152"/>
        <v>Low Sales</v>
      </c>
      <c r="J1924" t="str">
        <f t="shared" si="153"/>
        <v>Average Performance</v>
      </c>
      <c r="K1924">
        <f t="shared" si="154"/>
        <v>2003</v>
      </c>
      <c r="L1924" t="str">
        <f t="shared" si="155"/>
        <v>May</v>
      </c>
    </row>
    <row r="1925" spans="1:12" x14ac:dyDescent="0.25">
      <c r="A1925" t="s">
        <v>159</v>
      </c>
      <c r="B1925" t="s">
        <v>259</v>
      </c>
      <c r="C1925" t="s">
        <v>262</v>
      </c>
      <c r="D1925" t="str">
        <f t="shared" si="151"/>
        <v>Classic Cars</v>
      </c>
      <c r="E1925" t="s">
        <v>342</v>
      </c>
      <c r="F1925" s="5">
        <v>3469.5</v>
      </c>
      <c r="G1925" s="5">
        <v>693.90000000000009</v>
      </c>
      <c r="I1925" t="str">
        <f t="shared" si="152"/>
        <v>Low Sales</v>
      </c>
      <c r="J1925" t="str">
        <f t="shared" si="153"/>
        <v>Average Performance</v>
      </c>
      <c r="K1925">
        <f t="shared" si="154"/>
        <v>2003</v>
      </c>
      <c r="L1925" t="str">
        <f t="shared" si="155"/>
        <v>September</v>
      </c>
    </row>
    <row r="1926" spans="1:12" x14ac:dyDescent="0.25">
      <c r="A1926" t="s">
        <v>160</v>
      </c>
      <c r="B1926" t="s">
        <v>258</v>
      </c>
      <c r="C1926" t="s">
        <v>262</v>
      </c>
      <c r="D1926" t="str">
        <f t="shared" si="151"/>
        <v>Classic Cars</v>
      </c>
      <c r="E1926" t="s">
        <v>342</v>
      </c>
      <c r="F1926" s="5">
        <v>3148.2</v>
      </c>
      <c r="G1926" s="5">
        <v>629.64</v>
      </c>
      <c r="I1926" t="str">
        <f t="shared" si="152"/>
        <v>Low Sales</v>
      </c>
      <c r="J1926" t="str">
        <f t="shared" si="153"/>
        <v>Average Performance</v>
      </c>
      <c r="K1926">
        <f t="shared" si="154"/>
        <v>2003</v>
      </c>
      <c r="L1926" t="str">
        <f t="shared" si="155"/>
        <v>October</v>
      </c>
    </row>
    <row r="1927" spans="1:12" x14ac:dyDescent="0.25">
      <c r="A1927" t="s">
        <v>161</v>
      </c>
      <c r="C1927" t="s">
        <v>262</v>
      </c>
      <c r="D1927" t="str">
        <f t="shared" si="151"/>
        <v>Classic Cars</v>
      </c>
      <c r="E1927" t="s">
        <v>342</v>
      </c>
      <c r="F1927" s="5">
        <v>2167.2199999999998</v>
      </c>
      <c r="G1927" s="5">
        <v>433.44400000000002</v>
      </c>
      <c r="I1927" t="str">
        <f t="shared" si="152"/>
        <v>Low Sales</v>
      </c>
      <c r="J1927" t="str">
        <f t="shared" si="153"/>
        <v>Average Performance</v>
      </c>
      <c r="K1927">
        <f t="shared" si="154"/>
        <v>2003</v>
      </c>
      <c r="L1927" t="str">
        <f t="shared" si="155"/>
        <v>November</v>
      </c>
    </row>
    <row r="1928" spans="1:12" x14ac:dyDescent="0.25">
      <c r="A1928" t="s">
        <v>109</v>
      </c>
      <c r="C1928" t="s">
        <v>262</v>
      </c>
      <c r="D1928" t="str">
        <f t="shared" si="151"/>
        <v>Classic Cars</v>
      </c>
      <c r="E1928" t="s">
        <v>342</v>
      </c>
      <c r="F1928" s="5">
        <v>6244.07</v>
      </c>
      <c r="G1928" s="5">
        <v>1248.8140000000001</v>
      </c>
      <c r="I1928" t="str">
        <f t="shared" si="152"/>
        <v>Low Sales</v>
      </c>
      <c r="J1928" t="str">
        <f t="shared" si="153"/>
        <v>Average Performance</v>
      </c>
      <c r="K1928">
        <f t="shared" si="154"/>
        <v>2003</v>
      </c>
      <c r="L1928" t="str">
        <f t="shared" si="155"/>
        <v>November</v>
      </c>
    </row>
    <row r="1929" spans="1:12" x14ac:dyDescent="0.25">
      <c r="A1929" t="s">
        <v>110</v>
      </c>
      <c r="C1929" t="s">
        <v>262</v>
      </c>
      <c r="D1929" t="str">
        <f t="shared" si="151"/>
        <v>Classic Cars</v>
      </c>
      <c r="E1929" t="s">
        <v>342</v>
      </c>
      <c r="F1929" s="5">
        <v>5566</v>
      </c>
      <c r="G1929" s="5">
        <v>1113.2</v>
      </c>
      <c r="I1929" t="str">
        <f t="shared" si="152"/>
        <v>Low Sales</v>
      </c>
      <c r="J1929" t="str">
        <f t="shared" si="153"/>
        <v>Average Performance</v>
      </c>
      <c r="K1929">
        <f t="shared" si="154"/>
        <v>2003</v>
      </c>
      <c r="L1929" t="str">
        <f t="shared" si="155"/>
        <v>November</v>
      </c>
    </row>
    <row r="1930" spans="1:12" x14ac:dyDescent="0.25">
      <c r="A1930" t="s">
        <v>111</v>
      </c>
      <c r="C1930" t="s">
        <v>262</v>
      </c>
      <c r="D1930" t="str">
        <f t="shared" si="151"/>
        <v>Classic Cars</v>
      </c>
      <c r="E1930" t="s">
        <v>342</v>
      </c>
      <c r="F1930" s="5">
        <v>4368.96</v>
      </c>
      <c r="G1930" s="5">
        <v>873.79200000000003</v>
      </c>
      <c r="I1930" t="str">
        <f t="shared" si="152"/>
        <v>Low Sales</v>
      </c>
      <c r="J1930" t="str">
        <f t="shared" si="153"/>
        <v>Average Performance</v>
      </c>
      <c r="K1930">
        <f t="shared" si="154"/>
        <v>2003</v>
      </c>
      <c r="L1930" t="str">
        <f t="shared" si="155"/>
        <v>December</v>
      </c>
    </row>
    <row r="1931" spans="1:12" x14ac:dyDescent="0.25">
      <c r="A1931" t="s">
        <v>144</v>
      </c>
      <c r="B1931" t="s">
        <v>258</v>
      </c>
      <c r="C1931" t="s">
        <v>262</v>
      </c>
      <c r="D1931" t="str">
        <f t="shared" si="151"/>
        <v>Classic Cars</v>
      </c>
      <c r="E1931" t="s">
        <v>342</v>
      </c>
      <c r="F1931" s="5">
        <v>4039.26</v>
      </c>
      <c r="G1931" s="5">
        <v>807.85200000000009</v>
      </c>
      <c r="I1931" t="str">
        <f t="shared" si="152"/>
        <v>Low Sales</v>
      </c>
      <c r="J1931" t="str">
        <f t="shared" si="153"/>
        <v>Average Performance</v>
      </c>
      <c r="K1931">
        <f t="shared" si="154"/>
        <v>2004</v>
      </c>
      <c r="L1931" t="str">
        <f t="shared" si="155"/>
        <v>January</v>
      </c>
    </row>
    <row r="1932" spans="1:12" x14ac:dyDescent="0.25">
      <c r="A1932" t="s">
        <v>187</v>
      </c>
      <c r="C1932" t="s">
        <v>262</v>
      </c>
      <c r="D1932" t="str">
        <f t="shared" si="151"/>
        <v>Classic Cars</v>
      </c>
      <c r="E1932" t="s">
        <v>342</v>
      </c>
      <c r="F1932" s="5">
        <v>4420.32</v>
      </c>
      <c r="G1932" s="5">
        <v>884.06399999999996</v>
      </c>
      <c r="I1932" t="str">
        <f t="shared" si="152"/>
        <v>Low Sales</v>
      </c>
      <c r="J1932" t="str">
        <f t="shared" si="153"/>
        <v>Average Performance</v>
      </c>
      <c r="K1932">
        <f t="shared" si="154"/>
        <v>2004</v>
      </c>
      <c r="L1932" t="str">
        <f t="shared" si="155"/>
        <v>February</v>
      </c>
    </row>
    <row r="1933" spans="1:12" x14ac:dyDescent="0.25">
      <c r="A1933" t="s">
        <v>162</v>
      </c>
      <c r="B1933" t="s">
        <v>258</v>
      </c>
      <c r="C1933" t="s">
        <v>262</v>
      </c>
      <c r="D1933" t="str">
        <f t="shared" si="151"/>
        <v>Classic Cars</v>
      </c>
      <c r="E1933" t="s">
        <v>342</v>
      </c>
      <c r="F1933" s="5">
        <v>2341.71</v>
      </c>
      <c r="G1933" s="5">
        <v>468.34199999999998</v>
      </c>
      <c r="I1933" t="str">
        <f t="shared" si="152"/>
        <v>Low Sales</v>
      </c>
      <c r="J1933" t="str">
        <f t="shared" si="153"/>
        <v>Average Performance</v>
      </c>
      <c r="K1933">
        <f t="shared" si="154"/>
        <v>2004</v>
      </c>
      <c r="L1933" t="str">
        <f t="shared" si="155"/>
        <v>April</v>
      </c>
    </row>
    <row r="1934" spans="1:12" x14ac:dyDescent="0.25">
      <c r="A1934" t="s">
        <v>244</v>
      </c>
      <c r="C1934" t="s">
        <v>262</v>
      </c>
      <c r="D1934" t="str">
        <f t="shared" si="151"/>
        <v>Classic Cars</v>
      </c>
      <c r="E1934" t="s">
        <v>342</v>
      </c>
      <c r="F1934" s="5">
        <v>5110.9799999999996</v>
      </c>
      <c r="G1934" s="5">
        <v>1022.196</v>
      </c>
      <c r="I1934" t="str">
        <f t="shared" si="152"/>
        <v>Low Sales</v>
      </c>
      <c r="J1934" t="str">
        <f t="shared" si="153"/>
        <v>Average Performance</v>
      </c>
      <c r="K1934">
        <f t="shared" si="154"/>
        <v>2004</v>
      </c>
      <c r="L1934" t="str">
        <f t="shared" si="155"/>
        <v>July</v>
      </c>
    </row>
    <row r="1935" spans="1:12" x14ac:dyDescent="0.25">
      <c r="A1935" t="s">
        <v>245</v>
      </c>
      <c r="B1935" t="s">
        <v>258</v>
      </c>
      <c r="C1935" t="s">
        <v>262</v>
      </c>
      <c r="D1935" t="str">
        <f t="shared" si="151"/>
        <v>Classic Cars</v>
      </c>
      <c r="E1935" t="s">
        <v>342</v>
      </c>
      <c r="F1935" s="5">
        <v>6168</v>
      </c>
      <c r="G1935" s="5">
        <v>1233.5999999999999</v>
      </c>
      <c r="I1935" t="str">
        <f t="shared" si="152"/>
        <v>Low Sales</v>
      </c>
      <c r="J1935" t="str">
        <f t="shared" si="153"/>
        <v>Average Performance</v>
      </c>
      <c r="K1935">
        <f t="shared" si="154"/>
        <v>2004</v>
      </c>
      <c r="L1935" t="str">
        <f t="shared" si="155"/>
        <v>August</v>
      </c>
    </row>
    <row r="1936" spans="1:12" x14ac:dyDescent="0.25">
      <c r="A1936" t="s">
        <v>188</v>
      </c>
      <c r="B1936" t="s">
        <v>259</v>
      </c>
      <c r="C1936" t="s">
        <v>262</v>
      </c>
      <c r="D1936" t="str">
        <f t="shared" si="151"/>
        <v>Classic Cars</v>
      </c>
      <c r="E1936" t="s">
        <v>342</v>
      </c>
      <c r="F1936" s="5">
        <v>4873.26</v>
      </c>
      <c r="G1936" s="5">
        <v>974.65200000000004</v>
      </c>
      <c r="I1936" t="str">
        <f t="shared" si="152"/>
        <v>Low Sales</v>
      </c>
      <c r="J1936" t="str">
        <f t="shared" si="153"/>
        <v>Average Performance</v>
      </c>
      <c r="K1936">
        <f t="shared" si="154"/>
        <v>2004</v>
      </c>
      <c r="L1936" t="str">
        <f t="shared" si="155"/>
        <v>September</v>
      </c>
    </row>
    <row r="1937" spans="1:12" x14ac:dyDescent="0.25">
      <c r="A1937" t="s">
        <v>164</v>
      </c>
      <c r="B1937" t="s">
        <v>258</v>
      </c>
      <c r="C1937" t="s">
        <v>262</v>
      </c>
      <c r="D1937" t="str">
        <f t="shared" si="151"/>
        <v>Classic Cars</v>
      </c>
      <c r="E1937" t="s">
        <v>342</v>
      </c>
      <c r="F1937" s="5">
        <v>2120.14</v>
      </c>
      <c r="G1937" s="5">
        <v>424.02800000000002</v>
      </c>
      <c r="I1937" t="str">
        <f t="shared" si="152"/>
        <v>Low Sales</v>
      </c>
      <c r="J1937" t="str">
        <f t="shared" si="153"/>
        <v>Average Performance</v>
      </c>
      <c r="K1937">
        <f t="shared" si="154"/>
        <v>2003</v>
      </c>
      <c r="L1937" t="str">
        <f t="shared" si="155"/>
        <v>October</v>
      </c>
    </row>
    <row r="1938" spans="1:12" x14ac:dyDescent="0.25">
      <c r="A1938" t="s">
        <v>119</v>
      </c>
      <c r="B1938" t="s">
        <v>258</v>
      </c>
      <c r="C1938" t="s">
        <v>262</v>
      </c>
      <c r="D1938" t="str">
        <f t="shared" si="151"/>
        <v>Classic Cars</v>
      </c>
      <c r="E1938" t="s">
        <v>342</v>
      </c>
      <c r="F1938" s="5">
        <v>4236.1400000000003</v>
      </c>
      <c r="G1938" s="5">
        <v>847.22800000000007</v>
      </c>
      <c r="I1938" t="str">
        <f t="shared" si="152"/>
        <v>Low Sales</v>
      </c>
      <c r="J1938" t="str">
        <f t="shared" si="153"/>
        <v>Average Performance</v>
      </c>
      <c r="K1938">
        <f t="shared" si="154"/>
        <v>2004</v>
      </c>
      <c r="L1938" t="str">
        <f t="shared" si="155"/>
        <v>October</v>
      </c>
    </row>
    <row r="1939" spans="1:12" x14ac:dyDescent="0.25">
      <c r="A1939" t="s">
        <v>51</v>
      </c>
      <c r="C1939" t="s">
        <v>262</v>
      </c>
      <c r="D1939" t="str">
        <f t="shared" si="151"/>
        <v>Classic Cars</v>
      </c>
      <c r="E1939" t="s">
        <v>342</v>
      </c>
      <c r="F1939" s="5">
        <v>1888.95</v>
      </c>
      <c r="G1939" s="5">
        <v>377.79</v>
      </c>
      <c r="I1939" t="str">
        <f t="shared" si="152"/>
        <v>Low Sales</v>
      </c>
      <c r="J1939" t="str">
        <f t="shared" si="153"/>
        <v>Average Performance</v>
      </c>
      <c r="K1939">
        <f t="shared" si="154"/>
        <v>2004</v>
      </c>
      <c r="L1939" t="str">
        <f t="shared" si="155"/>
        <v>November</v>
      </c>
    </row>
    <row r="1940" spans="1:12" x14ac:dyDescent="0.25">
      <c r="A1940" t="s">
        <v>165</v>
      </c>
      <c r="B1940" t="s">
        <v>258</v>
      </c>
      <c r="C1940" t="s">
        <v>262</v>
      </c>
      <c r="D1940" t="str">
        <f t="shared" ref="D1940:D2003" si="156">PROPER(TRIM(C1940))</f>
        <v>Classic Cars</v>
      </c>
      <c r="E1940" t="s">
        <v>342</v>
      </c>
      <c r="F1940" s="5">
        <v>1152.58</v>
      </c>
      <c r="G1940" s="5">
        <v>230.51599999999999</v>
      </c>
      <c r="I1940" t="str">
        <f t="shared" si="152"/>
        <v>Low Sales</v>
      </c>
      <c r="J1940" t="str">
        <f t="shared" si="153"/>
        <v>Average Performance</v>
      </c>
      <c r="K1940">
        <f t="shared" si="154"/>
        <v>2004</v>
      </c>
      <c r="L1940" t="str">
        <f t="shared" si="155"/>
        <v>November</v>
      </c>
    </row>
    <row r="1941" spans="1:12" x14ac:dyDescent="0.25">
      <c r="A1941" t="s">
        <v>53</v>
      </c>
      <c r="C1941" t="s">
        <v>262</v>
      </c>
      <c r="D1941" t="str">
        <f t="shared" si="156"/>
        <v>Classic Cars</v>
      </c>
      <c r="E1941" t="s">
        <v>342</v>
      </c>
      <c r="F1941" s="5">
        <v>2492.88</v>
      </c>
      <c r="G1941" s="5">
        <v>498.57600000000002</v>
      </c>
      <c r="I1941" t="str">
        <f t="shared" si="152"/>
        <v>Low Sales</v>
      </c>
      <c r="J1941" t="str">
        <f t="shared" si="153"/>
        <v>Average Performance</v>
      </c>
      <c r="K1941">
        <f t="shared" si="154"/>
        <v>2004</v>
      </c>
      <c r="L1941" t="str">
        <f t="shared" si="155"/>
        <v>November</v>
      </c>
    </row>
    <row r="1942" spans="1:12" x14ac:dyDescent="0.25">
      <c r="A1942" t="s">
        <v>247</v>
      </c>
      <c r="C1942" t="s">
        <v>262</v>
      </c>
      <c r="D1942" t="str">
        <f t="shared" si="156"/>
        <v>Classic Cars</v>
      </c>
      <c r="E1942" t="s">
        <v>342</v>
      </c>
      <c r="F1942" s="5">
        <v>1991.6</v>
      </c>
      <c r="G1942" s="5">
        <v>398.32</v>
      </c>
      <c r="I1942" t="str">
        <f t="shared" si="152"/>
        <v>Low Sales</v>
      </c>
      <c r="J1942" t="str">
        <f t="shared" si="153"/>
        <v>Average Performance</v>
      </c>
      <c r="K1942">
        <f t="shared" si="154"/>
        <v>2005</v>
      </c>
      <c r="L1942" t="str">
        <f t="shared" si="155"/>
        <v>January</v>
      </c>
    </row>
    <row r="1943" spans="1:12" x14ac:dyDescent="0.25">
      <c r="A1943" t="s">
        <v>182</v>
      </c>
      <c r="B1943" t="s">
        <v>258</v>
      </c>
      <c r="C1943" t="s">
        <v>262</v>
      </c>
      <c r="D1943" t="str">
        <f t="shared" si="156"/>
        <v>Classic Cars</v>
      </c>
      <c r="E1943" t="s">
        <v>342</v>
      </c>
      <c r="F1943" s="5">
        <v>3953.18</v>
      </c>
      <c r="G1943" s="5">
        <v>790.63599999999997</v>
      </c>
      <c r="I1943" t="str">
        <f t="shared" si="152"/>
        <v>Low Sales</v>
      </c>
      <c r="J1943" t="str">
        <f t="shared" si="153"/>
        <v>Average Performance</v>
      </c>
      <c r="K1943">
        <f t="shared" si="154"/>
        <v>2005</v>
      </c>
      <c r="L1943" t="str">
        <f t="shared" si="155"/>
        <v>February</v>
      </c>
    </row>
    <row r="1944" spans="1:12" x14ac:dyDescent="0.25">
      <c r="A1944" t="s">
        <v>191</v>
      </c>
      <c r="C1944" t="s">
        <v>262</v>
      </c>
      <c r="D1944" t="str">
        <f t="shared" si="156"/>
        <v>Classic Cars</v>
      </c>
      <c r="E1944" t="s">
        <v>342</v>
      </c>
      <c r="F1944" s="5">
        <v>3729.39</v>
      </c>
      <c r="G1944" s="5">
        <v>745.87800000000004</v>
      </c>
      <c r="I1944" t="str">
        <f t="shared" si="152"/>
        <v>Low Sales</v>
      </c>
      <c r="J1944" t="str">
        <f t="shared" si="153"/>
        <v>Average Performance</v>
      </c>
      <c r="K1944">
        <f t="shared" si="154"/>
        <v>2005</v>
      </c>
      <c r="L1944" t="str">
        <f t="shared" si="155"/>
        <v>April</v>
      </c>
    </row>
    <row r="1945" spans="1:12" x14ac:dyDescent="0.25">
      <c r="A1945" t="s">
        <v>208</v>
      </c>
      <c r="B1945" t="s">
        <v>259</v>
      </c>
      <c r="C1945" t="s">
        <v>262</v>
      </c>
      <c r="D1945" t="str">
        <f t="shared" si="156"/>
        <v>Classic Cars</v>
      </c>
      <c r="E1945" t="s">
        <v>342</v>
      </c>
      <c r="F1945" s="5">
        <v>2617.16</v>
      </c>
      <c r="G1945" s="5">
        <v>523.43200000000002</v>
      </c>
      <c r="I1945" t="str">
        <f t="shared" si="152"/>
        <v>Low Sales</v>
      </c>
      <c r="J1945" t="str">
        <f t="shared" si="153"/>
        <v>Average Performance</v>
      </c>
      <c r="K1945">
        <f t="shared" si="154"/>
        <v>2005</v>
      </c>
      <c r="L1945" t="str">
        <f t="shared" si="155"/>
        <v>May</v>
      </c>
    </row>
    <row r="1946" spans="1:12" x14ac:dyDescent="0.25">
      <c r="A1946" t="s">
        <v>68</v>
      </c>
      <c r="B1946" t="s">
        <v>258</v>
      </c>
      <c r="C1946" t="s">
        <v>264</v>
      </c>
      <c r="D1946" t="str">
        <f t="shared" si="156"/>
        <v>Vintage Cars</v>
      </c>
      <c r="E1946" t="s">
        <v>343</v>
      </c>
      <c r="F1946" s="5">
        <v>3983.5</v>
      </c>
      <c r="G1946" s="5">
        <v>796.7</v>
      </c>
      <c r="I1946" t="str">
        <f t="shared" si="152"/>
        <v>Low Sales</v>
      </c>
      <c r="J1946" t="str">
        <f t="shared" si="153"/>
        <v>Average Performance</v>
      </c>
      <c r="K1946">
        <f t="shared" si="154"/>
        <v>2003</v>
      </c>
      <c r="L1946" t="str">
        <f t="shared" si="155"/>
        <v>February</v>
      </c>
    </row>
    <row r="1947" spans="1:12" x14ac:dyDescent="0.25">
      <c r="A1947" t="s">
        <v>69</v>
      </c>
      <c r="B1947" t="s">
        <v>258</v>
      </c>
      <c r="C1947" t="s">
        <v>264</v>
      </c>
      <c r="D1947" t="str">
        <f t="shared" si="156"/>
        <v>Vintage Cars</v>
      </c>
      <c r="E1947" t="s">
        <v>343</v>
      </c>
      <c r="F1947" s="5">
        <v>3169.95</v>
      </c>
      <c r="G1947" s="5">
        <v>633.99</v>
      </c>
      <c r="I1947" t="str">
        <f t="shared" si="152"/>
        <v>Low Sales</v>
      </c>
      <c r="J1947" t="str">
        <f t="shared" si="153"/>
        <v>Average Performance</v>
      </c>
      <c r="K1947">
        <f t="shared" si="154"/>
        <v>2003</v>
      </c>
      <c r="L1947" t="str">
        <f t="shared" si="155"/>
        <v>April</v>
      </c>
    </row>
    <row r="1948" spans="1:12" x14ac:dyDescent="0.25">
      <c r="A1948" t="s">
        <v>70</v>
      </c>
      <c r="B1948" t="s">
        <v>258</v>
      </c>
      <c r="C1948" t="s">
        <v>264</v>
      </c>
      <c r="D1948" t="str">
        <f t="shared" si="156"/>
        <v>Vintage Cars</v>
      </c>
      <c r="E1948" t="s">
        <v>343</v>
      </c>
      <c r="F1948" s="5">
        <v>3899.5</v>
      </c>
      <c r="G1948" s="5">
        <v>779.90000000000009</v>
      </c>
      <c r="I1948" t="str">
        <f t="shared" si="152"/>
        <v>Low Sales</v>
      </c>
      <c r="J1948" t="str">
        <f t="shared" si="153"/>
        <v>Average Performance</v>
      </c>
      <c r="K1948">
        <f t="shared" si="154"/>
        <v>2003</v>
      </c>
      <c r="L1948" t="str">
        <f t="shared" si="155"/>
        <v>June</v>
      </c>
    </row>
    <row r="1949" spans="1:12" x14ac:dyDescent="0.25">
      <c r="A1949" t="s">
        <v>71</v>
      </c>
      <c r="C1949" t="s">
        <v>264</v>
      </c>
      <c r="D1949" t="str">
        <f t="shared" si="156"/>
        <v>Vintage Cars</v>
      </c>
      <c r="E1949" t="s">
        <v>343</v>
      </c>
      <c r="F1949" s="5">
        <v>1851.73</v>
      </c>
      <c r="G1949" s="5">
        <v>370.346</v>
      </c>
      <c r="I1949" t="str">
        <f t="shared" si="152"/>
        <v>Low Sales</v>
      </c>
      <c r="J1949" t="str">
        <f t="shared" si="153"/>
        <v>Average Performance</v>
      </c>
      <c r="K1949">
        <f t="shared" si="154"/>
        <v>2003</v>
      </c>
      <c r="L1949" t="str">
        <f t="shared" si="155"/>
        <v>August</v>
      </c>
    </row>
    <row r="1950" spans="1:12" x14ac:dyDescent="0.25">
      <c r="A1950" t="s">
        <v>72</v>
      </c>
      <c r="B1950" t="s">
        <v>258</v>
      </c>
      <c r="C1950" t="s">
        <v>264</v>
      </c>
      <c r="D1950" t="str">
        <f t="shared" si="156"/>
        <v>Vintage Cars</v>
      </c>
      <c r="E1950" t="s">
        <v>343</v>
      </c>
      <c r="F1950" s="5">
        <v>2513.41</v>
      </c>
      <c r="G1950" s="5">
        <v>502.68200000000002</v>
      </c>
      <c r="I1950" t="str">
        <f t="shared" si="152"/>
        <v>Low Sales</v>
      </c>
      <c r="J1950" t="str">
        <f t="shared" si="153"/>
        <v>Average Performance</v>
      </c>
      <c r="K1950">
        <f t="shared" si="154"/>
        <v>2003</v>
      </c>
      <c r="L1950" t="str">
        <f t="shared" si="155"/>
        <v>October</v>
      </c>
    </row>
    <row r="1951" spans="1:12" x14ac:dyDescent="0.25">
      <c r="A1951" t="s">
        <v>73</v>
      </c>
      <c r="B1951" t="s">
        <v>258</v>
      </c>
      <c r="C1951" t="s">
        <v>264</v>
      </c>
      <c r="D1951" t="str">
        <f t="shared" si="156"/>
        <v>Vintage Cars</v>
      </c>
      <c r="E1951" t="s">
        <v>343</v>
      </c>
      <c r="F1951" s="5">
        <v>2431.94</v>
      </c>
      <c r="G1951" s="5">
        <v>486.38799999999998</v>
      </c>
      <c r="I1951" t="str">
        <f t="shared" si="152"/>
        <v>Low Sales</v>
      </c>
      <c r="J1951" t="str">
        <f t="shared" si="153"/>
        <v>Average Performance</v>
      </c>
      <c r="K1951">
        <f t="shared" si="154"/>
        <v>2003</v>
      </c>
      <c r="L1951" t="str">
        <f t="shared" si="155"/>
        <v>October</v>
      </c>
    </row>
    <row r="1952" spans="1:12" x14ac:dyDescent="0.25">
      <c r="A1952" t="s">
        <v>74</v>
      </c>
      <c r="B1952" t="s">
        <v>258</v>
      </c>
      <c r="C1952" t="s">
        <v>264</v>
      </c>
      <c r="D1952" t="str">
        <f t="shared" si="156"/>
        <v>Vintage Cars</v>
      </c>
      <c r="E1952" t="s">
        <v>343</v>
      </c>
      <c r="F1952" s="5">
        <v>1514.52</v>
      </c>
      <c r="G1952" s="5">
        <v>302.904</v>
      </c>
      <c r="I1952" t="str">
        <f t="shared" si="152"/>
        <v>Low Sales</v>
      </c>
      <c r="J1952" t="str">
        <f t="shared" si="153"/>
        <v>Average Performance</v>
      </c>
      <c r="K1952">
        <f t="shared" si="154"/>
        <v>2003</v>
      </c>
      <c r="L1952" t="str">
        <f t="shared" si="155"/>
        <v>November</v>
      </c>
    </row>
    <row r="1953" spans="1:12" x14ac:dyDescent="0.25">
      <c r="A1953" t="s">
        <v>75</v>
      </c>
      <c r="B1953" t="s">
        <v>258</v>
      </c>
      <c r="C1953" t="s">
        <v>264</v>
      </c>
      <c r="D1953" t="str">
        <f t="shared" si="156"/>
        <v>Vintage Cars</v>
      </c>
      <c r="E1953" t="s">
        <v>343</v>
      </c>
      <c r="F1953" s="5">
        <v>3079.44</v>
      </c>
      <c r="G1953" s="5">
        <v>615.88800000000003</v>
      </c>
      <c r="I1953" t="str">
        <f t="shared" si="152"/>
        <v>Low Sales</v>
      </c>
      <c r="J1953" t="str">
        <f t="shared" si="153"/>
        <v>Average Performance</v>
      </c>
      <c r="K1953">
        <f t="shared" si="154"/>
        <v>2003</v>
      </c>
      <c r="L1953" t="str">
        <f t="shared" si="155"/>
        <v>November</v>
      </c>
    </row>
    <row r="1954" spans="1:12" x14ac:dyDescent="0.25">
      <c r="A1954" t="s">
        <v>76</v>
      </c>
      <c r="B1954" t="s">
        <v>258</v>
      </c>
      <c r="C1954" t="s">
        <v>264</v>
      </c>
      <c r="D1954" t="str">
        <f t="shared" si="156"/>
        <v>Vintage Cars</v>
      </c>
      <c r="E1954" t="s">
        <v>343</v>
      </c>
      <c r="F1954" s="5">
        <v>1900.36</v>
      </c>
      <c r="G1954" s="5">
        <v>380.072</v>
      </c>
      <c r="I1954" t="str">
        <f t="shared" si="152"/>
        <v>Low Sales</v>
      </c>
      <c r="J1954" t="str">
        <f t="shared" si="153"/>
        <v>Average Performance</v>
      </c>
      <c r="K1954">
        <f t="shared" si="154"/>
        <v>2003</v>
      </c>
      <c r="L1954" t="str">
        <f t="shared" si="155"/>
        <v>November</v>
      </c>
    </row>
    <row r="1955" spans="1:12" x14ac:dyDescent="0.25">
      <c r="A1955" t="s">
        <v>77</v>
      </c>
      <c r="C1955" t="s">
        <v>264</v>
      </c>
      <c r="D1955" t="str">
        <f t="shared" si="156"/>
        <v>Vintage Cars</v>
      </c>
      <c r="E1955" t="s">
        <v>343</v>
      </c>
      <c r="F1955" s="5">
        <v>1974.06</v>
      </c>
      <c r="G1955" s="5">
        <v>394.81200000000001</v>
      </c>
      <c r="I1955" t="str">
        <f t="shared" si="152"/>
        <v>Low Sales</v>
      </c>
      <c r="J1955" t="str">
        <f t="shared" si="153"/>
        <v>Average Performance</v>
      </c>
      <c r="K1955">
        <f t="shared" si="154"/>
        <v>2004</v>
      </c>
      <c r="L1955" t="str">
        <f t="shared" si="155"/>
        <v>January</v>
      </c>
    </row>
    <row r="1956" spans="1:12" x14ac:dyDescent="0.25">
      <c r="A1956" t="s">
        <v>78</v>
      </c>
      <c r="C1956" t="s">
        <v>264</v>
      </c>
      <c r="D1956" t="str">
        <f t="shared" si="156"/>
        <v>Vintage Cars</v>
      </c>
      <c r="E1956" t="s">
        <v>343</v>
      </c>
      <c r="F1956" s="5">
        <v>3703.46</v>
      </c>
      <c r="G1956" s="5">
        <v>740.69200000000001</v>
      </c>
      <c r="I1956" t="str">
        <f t="shared" si="152"/>
        <v>Low Sales</v>
      </c>
      <c r="J1956" t="str">
        <f t="shared" si="153"/>
        <v>Average Performance</v>
      </c>
      <c r="K1956">
        <f t="shared" si="154"/>
        <v>2004</v>
      </c>
      <c r="L1956" t="str">
        <f t="shared" si="155"/>
        <v>February</v>
      </c>
    </row>
    <row r="1957" spans="1:12" x14ac:dyDescent="0.25">
      <c r="A1957" t="s">
        <v>79</v>
      </c>
      <c r="C1957" t="s">
        <v>264</v>
      </c>
      <c r="D1957" t="str">
        <f t="shared" si="156"/>
        <v>Vintage Cars</v>
      </c>
      <c r="E1957" t="s">
        <v>343</v>
      </c>
      <c r="F1957" s="5">
        <v>1755.13</v>
      </c>
      <c r="G1957" s="5">
        <v>351.02600000000012</v>
      </c>
      <c r="I1957" t="str">
        <f t="shared" si="152"/>
        <v>Low Sales</v>
      </c>
      <c r="J1957" t="str">
        <f t="shared" si="153"/>
        <v>Average Performance</v>
      </c>
      <c r="K1957">
        <f t="shared" si="154"/>
        <v>2004</v>
      </c>
      <c r="L1957" t="str">
        <f t="shared" si="155"/>
        <v>May</v>
      </c>
    </row>
    <row r="1958" spans="1:12" x14ac:dyDescent="0.25">
      <c r="A1958" t="s">
        <v>196</v>
      </c>
      <c r="B1958" t="s">
        <v>258</v>
      </c>
      <c r="C1958" t="s">
        <v>264</v>
      </c>
      <c r="D1958" t="str">
        <f t="shared" si="156"/>
        <v>Vintage Cars</v>
      </c>
      <c r="E1958" t="s">
        <v>343</v>
      </c>
      <c r="F1958" s="5">
        <v>4273.29</v>
      </c>
      <c r="G1958" s="5">
        <v>854.65800000000002</v>
      </c>
      <c r="I1958" t="str">
        <f t="shared" si="152"/>
        <v>Low Sales</v>
      </c>
      <c r="J1958" t="str">
        <f t="shared" si="153"/>
        <v>Average Performance</v>
      </c>
      <c r="K1958">
        <f t="shared" si="154"/>
        <v>2004</v>
      </c>
      <c r="L1958" t="str">
        <f t="shared" si="155"/>
        <v>June</v>
      </c>
    </row>
    <row r="1959" spans="1:12" x14ac:dyDescent="0.25">
      <c r="A1959" t="s">
        <v>81</v>
      </c>
      <c r="B1959" t="s">
        <v>258</v>
      </c>
      <c r="C1959" t="s">
        <v>264</v>
      </c>
      <c r="D1959" t="str">
        <f t="shared" si="156"/>
        <v>Vintage Cars</v>
      </c>
      <c r="E1959" t="s">
        <v>343</v>
      </c>
      <c r="F1959" s="5">
        <v>3984.96</v>
      </c>
      <c r="G1959" s="5">
        <v>796.99200000000008</v>
      </c>
      <c r="I1959" t="str">
        <f t="shared" si="152"/>
        <v>Low Sales</v>
      </c>
      <c r="J1959" t="str">
        <f t="shared" si="153"/>
        <v>Average Performance</v>
      </c>
      <c r="K1959">
        <f t="shared" si="154"/>
        <v>2004</v>
      </c>
      <c r="L1959" t="str">
        <f t="shared" si="155"/>
        <v>July</v>
      </c>
    </row>
    <row r="1960" spans="1:12" x14ac:dyDescent="0.25">
      <c r="A1960" t="s">
        <v>82</v>
      </c>
      <c r="C1960" t="s">
        <v>264</v>
      </c>
      <c r="D1960" t="str">
        <f t="shared" si="156"/>
        <v>Vintage Cars</v>
      </c>
      <c r="E1960" t="s">
        <v>343</v>
      </c>
      <c r="F1960" s="5">
        <v>2407.6799999999998</v>
      </c>
      <c r="G1960" s="5">
        <v>481.536</v>
      </c>
      <c r="I1960" t="str">
        <f t="shared" si="152"/>
        <v>Low Sales</v>
      </c>
      <c r="J1960" t="str">
        <f t="shared" si="153"/>
        <v>Average Performance</v>
      </c>
      <c r="K1960">
        <f t="shared" si="154"/>
        <v>2004</v>
      </c>
      <c r="L1960" t="str">
        <f t="shared" si="155"/>
        <v>August</v>
      </c>
    </row>
    <row r="1961" spans="1:12" x14ac:dyDescent="0.25">
      <c r="A1961" t="s">
        <v>198</v>
      </c>
      <c r="B1961" t="s">
        <v>258</v>
      </c>
      <c r="C1961" t="s">
        <v>264</v>
      </c>
      <c r="D1961" t="str">
        <f t="shared" si="156"/>
        <v>Vintage Cars</v>
      </c>
      <c r="E1961" t="s">
        <v>343</v>
      </c>
      <c r="F1961" s="5">
        <v>1697.3</v>
      </c>
      <c r="G1961" s="5">
        <v>339.46</v>
      </c>
      <c r="I1961" t="str">
        <f t="shared" si="152"/>
        <v>Low Sales</v>
      </c>
      <c r="J1961" t="str">
        <f t="shared" si="153"/>
        <v>Average Performance</v>
      </c>
      <c r="K1961">
        <f t="shared" si="154"/>
        <v>2004</v>
      </c>
      <c r="L1961" t="str">
        <f t="shared" si="155"/>
        <v>September</v>
      </c>
    </row>
    <row r="1962" spans="1:12" x14ac:dyDescent="0.25">
      <c r="A1962" t="s">
        <v>84</v>
      </c>
      <c r="C1962" t="s">
        <v>264</v>
      </c>
      <c r="D1962" t="str">
        <f t="shared" si="156"/>
        <v>Vintage Cars</v>
      </c>
      <c r="E1962" t="s">
        <v>343</v>
      </c>
      <c r="F1962" s="5">
        <v>2011.02</v>
      </c>
      <c r="G1962" s="5">
        <v>402.20400000000001</v>
      </c>
      <c r="I1962" t="str">
        <f t="shared" si="152"/>
        <v>Low Sales</v>
      </c>
      <c r="J1962" t="str">
        <f t="shared" si="153"/>
        <v>Average Performance</v>
      </c>
      <c r="K1962">
        <f t="shared" si="154"/>
        <v>2004</v>
      </c>
      <c r="L1962" t="str">
        <f t="shared" si="155"/>
        <v>October</v>
      </c>
    </row>
    <row r="1963" spans="1:12" x14ac:dyDescent="0.25">
      <c r="A1963" t="s">
        <v>85</v>
      </c>
      <c r="B1963" t="s">
        <v>258</v>
      </c>
      <c r="C1963" t="s">
        <v>264</v>
      </c>
      <c r="D1963" t="str">
        <f t="shared" si="156"/>
        <v>Vintage Cars</v>
      </c>
      <c r="E1963" t="s">
        <v>343</v>
      </c>
      <c r="F1963" s="5">
        <v>2306.25</v>
      </c>
      <c r="G1963" s="5">
        <v>461.25</v>
      </c>
      <c r="I1963" t="str">
        <f t="shared" si="152"/>
        <v>Low Sales</v>
      </c>
      <c r="J1963" t="str">
        <f t="shared" si="153"/>
        <v>Average Performance</v>
      </c>
      <c r="K1963">
        <f t="shared" si="154"/>
        <v>2004</v>
      </c>
      <c r="L1963" t="str">
        <f t="shared" si="155"/>
        <v>November</v>
      </c>
    </row>
    <row r="1964" spans="1:12" x14ac:dyDescent="0.25">
      <c r="A1964" t="s">
        <v>229</v>
      </c>
      <c r="B1964" t="s">
        <v>258</v>
      </c>
      <c r="C1964" t="s">
        <v>264</v>
      </c>
      <c r="D1964" t="str">
        <f t="shared" si="156"/>
        <v>Vintage Cars</v>
      </c>
      <c r="E1964" t="s">
        <v>343</v>
      </c>
      <c r="F1964" s="5">
        <v>1845</v>
      </c>
      <c r="G1964" s="5">
        <v>369</v>
      </c>
      <c r="I1964" t="str">
        <f t="shared" si="152"/>
        <v>Low Sales</v>
      </c>
      <c r="J1964" t="str">
        <f t="shared" si="153"/>
        <v>Average Performance</v>
      </c>
      <c r="K1964">
        <f t="shared" si="154"/>
        <v>2004</v>
      </c>
      <c r="L1964" t="str">
        <f t="shared" si="155"/>
        <v>November</v>
      </c>
    </row>
    <row r="1965" spans="1:12" x14ac:dyDescent="0.25">
      <c r="A1965" t="s">
        <v>64</v>
      </c>
      <c r="B1965" t="s">
        <v>260</v>
      </c>
      <c r="C1965" t="s">
        <v>264</v>
      </c>
      <c r="D1965" t="str">
        <f t="shared" si="156"/>
        <v>Vintage Cars</v>
      </c>
      <c r="E1965" t="s">
        <v>343</v>
      </c>
      <c r="F1965" s="5">
        <v>2493.12</v>
      </c>
      <c r="G1965" s="5">
        <v>498.62400000000002</v>
      </c>
      <c r="I1965" t="str">
        <f t="shared" si="152"/>
        <v>Low Sales</v>
      </c>
      <c r="J1965" t="str">
        <f t="shared" si="153"/>
        <v>Average Performance</v>
      </c>
      <c r="K1965">
        <f t="shared" si="154"/>
        <v>2004</v>
      </c>
      <c r="L1965" t="str">
        <f t="shared" si="155"/>
        <v>November</v>
      </c>
    </row>
    <row r="1966" spans="1:12" x14ac:dyDescent="0.25">
      <c r="A1966" t="s">
        <v>88</v>
      </c>
      <c r="B1966" t="s">
        <v>258</v>
      </c>
      <c r="C1966" t="s">
        <v>264</v>
      </c>
      <c r="D1966" t="str">
        <f t="shared" si="156"/>
        <v>Vintage Cars</v>
      </c>
      <c r="E1966" t="s">
        <v>343</v>
      </c>
      <c r="F1966" s="5">
        <v>1508.5</v>
      </c>
      <c r="G1966" s="5">
        <v>301.7</v>
      </c>
      <c r="I1966" t="str">
        <f t="shared" si="152"/>
        <v>Low Sales</v>
      </c>
      <c r="J1966" t="str">
        <f t="shared" si="153"/>
        <v>Average Performance</v>
      </c>
      <c r="K1966">
        <f t="shared" si="154"/>
        <v>2004</v>
      </c>
      <c r="L1966" t="str">
        <f t="shared" si="155"/>
        <v>December</v>
      </c>
    </row>
    <row r="1967" spans="1:12" x14ac:dyDescent="0.25">
      <c r="A1967" t="s">
        <v>90</v>
      </c>
      <c r="B1967" t="s">
        <v>258</v>
      </c>
      <c r="C1967" t="s">
        <v>264</v>
      </c>
      <c r="D1967" t="str">
        <f t="shared" si="156"/>
        <v>Vintage Cars</v>
      </c>
      <c r="E1967" t="s">
        <v>343</v>
      </c>
      <c r="F1967" s="5">
        <v>2394.3000000000002</v>
      </c>
      <c r="G1967" s="5">
        <v>478.86000000000013</v>
      </c>
      <c r="I1967" t="str">
        <f t="shared" si="152"/>
        <v>Low Sales</v>
      </c>
      <c r="J1967" t="str">
        <f t="shared" si="153"/>
        <v>Average Performance</v>
      </c>
      <c r="K1967">
        <f t="shared" si="154"/>
        <v>2005</v>
      </c>
      <c r="L1967" t="str">
        <f t="shared" si="155"/>
        <v>January</v>
      </c>
    </row>
    <row r="1968" spans="1:12" x14ac:dyDescent="0.25">
      <c r="A1968" t="s">
        <v>250</v>
      </c>
      <c r="C1968" t="s">
        <v>264</v>
      </c>
      <c r="D1968" t="str">
        <f t="shared" si="156"/>
        <v>Vintage Cars</v>
      </c>
      <c r="E1968" t="s">
        <v>343</v>
      </c>
      <c r="F1968" s="5">
        <v>3164.98</v>
      </c>
      <c r="G1968" s="5">
        <v>632.99600000000009</v>
      </c>
      <c r="I1968" t="str">
        <f t="shared" si="152"/>
        <v>Low Sales</v>
      </c>
      <c r="J1968" t="str">
        <f t="shared" si="153"/>
        <v>Average Performance</v>
      </c>
      <c r="K1968">
        <f t="shared" si="154"/>
        <v>2005</v>
      </c>
      <c r="L1968" t="str">
        <f t="shared" si="155"/>
        <v>February</v>
      </c>
    </row>
    <row r="1969" spans="1:12" x14ac:dyDescent="0.25">
      <c r="A1969" t="s">
        <v>147</v>
      </c>
      <c r="C1969" t="s">
        <v>264</v>
      </c>
      <c r="D1969" t="str">
        <f t="shared" si="156"/>
        <v>Vintage Cars</v>
      </c>
      <c r="E1969" t="s">
        <v>343</v>
      </c>
      <c r="F1969" s="5">
        <v>3351.09</v>
      </c>
      <c r="G1969" s="5">
        <v>670.21800000000007</v>
      </c>
      <c r="I1969" t="str">
        <f t="shared" si="152"/>
        <v>Low Sales</v>
      </c>
      <c r="J1969" t="str">
        <f t="shared" si="153"/>
        <v>Average Performance</v>
      </c>
      <c r="K1969">
        <f t="shared" si="154"/>
        <v>2005</v>
      </c>
      <c r="L1969" t="str">
        <f t="shared" si="155"/>
        <v>March</v>
      </c>
    </row>
    <row r="1970" spans="1:12" x14ac:dyDescent="0.25">
      <c r="A1970" t="s">
        <v>93</v>
      </c>
      <c r="C1970" t="s">
        <v>264</v>
      </c>
      <c r="D1970" t="str">
        <f t="shared" si="156"/>
        <v>Vintage Cars</v>
      </c>
      <c r="E1970" t="s">
        <v>343</v>
      </c>
      <c r="F1970" s="5">
        <v>3064.32</v>
      </c>
      <c r="G1970" s="5">
        <v>612.86400000000003</v>
      </c>
      <c r="I1970" t="str">
        <f t="shared" si="152"/>
        <v>Low Sales</v>
      </c>
      <c r="J1970" t="str">
        <f t="shared" si="153"/>
        <v>Average Performance</v>
      </c>
      <c r="K1970">
        <f t="shared" si="154"/>
        <v>2005</v>
      </c>
      <c r="L1970" t="str">
        <f t="shared" si="155"/>
        <v>April</v>
      </c>
    </row>
    <row r="1971" spans="1:12" x14ac:dyDescent="0.25">
      <c r="A1971" t="s">
        <v>94</v>
      </c>
      <c r="C1971" t="s">
        <v>264</v>
      </c>
      <c r="D1971" t="str">
        <f t="shared" si="156"/>
        <v>Vintage Cars</v>
      </c>
      <c r="E1971" t="s">
        <v>343</v>
      </c>
      <c r="F1971" s="5">
        <v>3891.81</v>
      </c>
      <c r="G1971" s="5">
        <v>778.36200000000008</v>
      </c>
      <c r="I1971" t="str">
        <f t="shared" si="152"/>
        <v>Low Sales</v>
      </c>
      <c r="J1971" t="str">
        <f t="shared" si="153"/>
        <v>Average Performance</v>
      </c>
      <c r="K1971">
        <f t="shared" si="154"/>
        <v>2005</v>
      </c>
      <c r="L1971" t="str">
        <f t="shared" si="155"/>
        <v>May</v>
      </c>
    </row>
    <row r="1972" spans="1:12" x14ac:dyDescent="0.25">
      <c r="A1972" t="s">
        <v>104</v>
      </c>
      <c r="B1972" t="s">
        <v>260</v>
      </c>
      <c r="C1972" t="s">
        <v>262</v>
      </c>
      <c r="D1972" t="str">
        <f t="shared" si="156"/>
        <v>Classic Cars</v>
      </c>
      <c r="E1972" t="s">
        <v>344</v>
      </c>
      <c r="F1972" s="5">
        <v>5448.8</v>
      </c>
      <c r="G1972" s="5">
        <v>1089.76</v>
      </c>
      <c r="I1972" t="str">
        <f t="shared" si="152"/>
        <v>Low Sales</v>
      </c>
      <c r="J1972" t="str">
        <f t="shared" si="153"/>
        <v>Average Performance</v>
      </c>
      <c r="K1972">
        <f t="shared" si="154"/>
        <v>2003</v>
      </c>
      <c r="L1972" t="str">
        <f t="shared" si="155"/>
        <v>March</v>
      </c>
    </row>
    <row r="1973" spans="1:12" x14ac:dyDescent="0.25">
      <c r="A1973" t="s">
        <v>105</v>
      </c>
      <c r="B1973" t="s">
        <v>258</v>
      </c>
      <c r="C1973" t="s">
        <v>262</v>
      </c>
      <c r="D1973" t="str">
        <f t="shared" si="156"/>
        <v>Classic Cars</v>
      </c>
      <c r="E1973" t="s">
        <v>344</v>
      </c>
      <c r="F1973" s="5">
        <v>5494.97</v>
      </c>
      <c r="G1973" s="5">
        <v>1098.9939999999999</v>
      </c>
      <c r="I1973" t="str">
        <f t="shared" si="152"/>
        <v>Low Sales</v>
      </c>
      <c r="J1973" t="str">
        <f t="shared" si="153"/>
        <v>Average Performance</v>
      </c>
      <c r="K1973">
        <f t="shared" si="154"/>
        <v>2003</v>
      </c>
      <c r="L1973" t="str">
        <f t="shared" si="155"/>
        <v>May</v>
      </c>
    </row>
    <row r="1974" spans="1:12" x14ac:dyDescent="0.25">
      <c r="A1974" t="s">
        <v>106</v>
      </c>
      <c r="C1974" t="s">
        <v>262</v>
      </c>
      <c r="D1974" t="str">
        <f t="shared" si="156"/>
        <v>Classic Cars</v>
      </c>
      <c r="E1974" t="s">
        <v>344</v>
      </c>
      <c r="F1974" s="5">
        <v>6336.07</v>
      </c>
      <c r="G1974" s="5">
        <v>1267.2139999999999</v>
      </c>
      <c r="I1974" t="str">
        <f t="shared" si="152"/>
        <v>Low Sales</v>
      </c>
      <c r="J1974" t="str">
        <f t="shared" si="153"/>
        <v>Average Performance</v>
      </c>
      <c r="K1974">
        <f t="shared" si="154"/>
        <v>2003</v>
      </c>
      <c r="L1974" t="str">
        <f t="shared" si="155"/>
        <v>July</v>
      </c>
    </row>
    <row r="1975" spans="1:12" x14ac:dyDescent="0.25">
      <c r="A1975" t="s">
        <v>107</v>
      </c>
      <c r="C1975" t="s">
        <v>262</v>
      </c>
      <c r="D1975" t="str">
        <f t="shared" si="156"/>
        <v>Classic Cars</v>
      </c>
      <c r="E1975" t="s">
        <v>344</v>
      </c>
      <c r="F1975" s="5">
        <v>2906.97</v>
      </c>
      <c r="G1975" s="5">
        <v>581.39400000000001</v>
      </c>
      <c r="I1975" t="str">
        <f t="shared" si="152"/>
        <v>Low Sales</v>
      </c>
      <c r="J1975" t="str">
        <f t="shared" si="153"/>
        <v>Average Performance</v>
      </c>
      <c r="K1975">
        <f t="shared" si="154"/>
        <v>2003</v>
      </c>
      <c r="L1975" t="str">
        <f t="shared" si="155"/>
        <v>September</v>
      </c>
    </row>
    <row r="1976" spans="1:12" x14ac:dyDescent="0.25">
      <c r="A1976" t="s">
        <v>143</v>
      </c>
      <c r="C1976" t="s">
        <v>262</v>
      </c>
      <c r="D1976" t="str">
        <f t="shared" si="156"/>
        <v>Classic Cars</v>
      </c>
      <c r="E1976" t="s">
        <v>344</v>
      </c>
      <c r="F1976" s="5">
        <v>4767.7</v>
      </c>
      <c r="G1976" s="5">
        <v>953.54</v>
      </c>
      <c r="I1976" t="str">
        <f t="shared" si="152"/>
        <v>Low Sales</v>
      </c>
      <c r="J1976" t="str">
        <f t="shared" si="153"/>
        <v>Average Performance</v>
      </c>
      <c r="K1976">
        <f t="shared" si="154"/>
        <v>2003</v>
      </c>
      <c r="L1976" t="str">
        <f t="shared" si="155"/>
        <v>October</v>
      </c>
    </row>
    <row r="1977" spans="1:12" x14ac:dyDescent="0.25">
      <c r="A1977" t="s">
        <v>108</v>
      </c>
      <c r="B1977" t="s">
        <v>258</v>
      </c>
      <c r="C1977" t="s">
        <v>262</v>
      </c>
      <c r="D1977" t="str">
        <f t="shared" si="156"/>
        <v>Classic Cars</v>
      </c>
      <c r="E1977" t="s">
        <v>344</v>
      </c>
      <c r="F1977" s="5">
        <v>3819.56</v>
      </c>
      <c r="G1977" s="5">
        <v>763.91200000000003</v>
      </c>
      <c r="I1977" t="str">
        <f t="shared" si="152"/>
        <v>Low Sales</v>
      </c>
      <c r="J1977" t="str">
        <f t="shared" si="153"/>
        <v>Average Performance</v>
      </c>
      <c r="K1977">
        <f t="shared" si="154"/>
        <v>2003</v>
      </c>
      <c r="L1977" t="str">
        <f t="shared" si="155"/>
        <v>November</v>
      </c>
    </row>
    <row r="1978" spans="1:12" x14ac:dyDescent="0.25">
      <c r="A1978" t="s">
        <v>109</v>
      </c>
      <c r="B1978" t="s">
        <v>258</v>
      </c>
      <c r="C1978" t="s">
        <v>262</v>
      </c>
      <c r="D1978" t="str">
        <f t="shared" si="156"/>
        <v>Classic Cars</v>
      </c>
      <c r="E1978" t="s">
        <v>344</v>
      </c>
      <c r="F1978" s="5">
        <v>3861.75</v>
      </c>
      <c r="G1978" s="5">
        <v>772.35</v>
      </c>
      <c r="I1978" t="str">
        <f t="shared" si="152"/>
        <v>Low Sales</v>
      </c>
      <c r="J1978" t="str">
        <f t="shared" si="153"/>
        <v>Average Performance</v>
      </c>
      <c r="K1978">
        <f t="shared" si="154"/>
        <v>2003</v>
      </c>
      <c r="L1978" t="str">
        <f t="shared" si="155"/>
        <v>November</v>
      </c>
    </row>
    <row r="1979" spans="1:12" x14ac:dyDescent="0.25">
      <c r="A1979" t="s">
        <v>110</v>
      </c>
      <c r="C1979" t="s">
        <v>262</v>
      </c>
      <c r="D1979" t="str">
        <f t="shared" si="156"/>
        <v>Classic Cars</v>
      </c>
      <c r="E1979" t="s">
        <v>344</v>
      </c>
      <c r="F1979" s="5">
        <v>6319.35</v>
      </c>
      <c r="G1979" s="5">
        <v>1263.8699999999999</v>
      </c>
      <c r="I1979" t="str">
        <f t="shared" si="152"/>
        <v>Low Sales</v>
      </c>
      <c r="J1979" t="str">
        <f t="shared" si="153"/>
        <v>Average Performance</v>
      </c>
      <c r="K1979">
        <f t="shared" si="154"/>
        <v>2003</v>
      </c>
      <c r="L1979" t="str">
        <f t="shared" si="155"/>
        <v>November</v>
      </c>
    </row>
    <row r="1980" spans="1:12" x14ac:dyDescent="0.25">
      <c r="A1980" t="s">
        <v>111</v>
      </c>
      <c r="B1980" t="s">
        <v>258</v>
      </c>
      <c r="C1980" t="s">
        <v>262</v>
      </c>
      <c r="D1980" t="str">
        <f t="shared" si="156"/>
        <v>Classic Cars</v>
      </c>
      <c r="E1980" t="s">
        <v>344</v>
      </c>
      <c r="F1980" s="5">
        <v>6996.42</v>
      </c>
      <c r="G1980" s="5">
        <v>1399.2840000000001</v>
      </c>
      <c r="I1980" t="str">
        <f t="shared" si="152"/>
        <v>Low Sales</v>
      </c>
      <c r="J1980" t="str">
        <f t="shared" si="153"/>
        <v>Average Performance</v>
      </c>
      <c r="K1980">
        <f t="shared" si="154"/>
        <v>2003</v>
      </c>
      <c r="L1980" t="str">
        <f t="shared" si="155"/>
        <v>December</v>
      </c>
    </row>
    <row r="1981" spans="1:12" x14ac:dyDescent="0.25">
      <c r="A1981" t="s">
        <v>144</v>
      </c>
      <c r="B1981" t="s">
        <v>258</v>
      </c>
      <c r="C1981" t="s">
        <v>262</v>
      </c>
      <c r="D1981" t="str">
        <f t="shared" si="156"/>
        <v>Classic Cars</v>
      </c>
      <c r="E1981" t="s">
        <v>344</v>
      </c>
      <c r="F1981" s="5">
        <v>6949.67</v>
      </c>
      <c r="G1981" s="5">
        <v>1389.934</v>
      </c>
      <c r="I1981" t="str">
        <f t="shared" si="152"/>
        <v>Low Sales</v>
      </c>
      <c r="J1981" t="str">
        <f t="shared" si="153"/>
        <v>Average Performance</v>
      </c>
      <c r="K1981">
        <f t="shared" si="154"/>
        <v>2004</v>
      </c>
      <c r="L1981" t="str">
        <f t="shared" si="155"/>
        <v>January</v>
      </c>
    </row>
    <row r="1982" spans="1:12" x14ac:dyDescent="0.25">
      <c r="A1982" t="s">
        <v>112</v>
      </c>
      <c r="B1982" t="s">
        <v>258</v>
      </c>
      <c r="C1982" t="s">
        <v>262</v>
      </c>
      <c r="D1982" t="str">
        <f t="shared" si="156"/>
        <v>Classic Cars</v>
      </c>
      <c r="E1982" t="s">
        <v>344</v>
      </c>
      <c r="F1982" s="5">
        <v>4550</v>
      </c>
      <c r="G1982" s="5">
        <v>910</v>
      </c>
      <c r="I1982" t="str">
        <f t="shared" si="152"/>
        <v>Low Sales</v>
      </c>
      <c r="J1982" t="str">
        <f t="shared" si="153"/>
        <v>Average Performance</v>
      </c>
      <c r="K1982">
        <f t="shared" si="154"/>
        <v>2004</v>
      </c>
      <c r="L1982" t="str">
        <f t="shared" si="155"/>
        <v>February</v>
      </c>
    </row>
    <row r="1983" spans="1:12" x14ac:dyDescent="0.25">
      <c r="A1983" t="s">
        <v>154</v>
      </c>
      <c r="B1983" t="s">
        <v>258</v>
      </c>
      <c r="C1983" t="s">
        <v>262</v>
      </c>
      <c r="D1983" t="str">
        <f t="shared" si="156"/>
        <v>Classic Cars</v>
      </c>
      <c r="E1983" t="s">
        <v>344</v>
      </c>
      <c r="F1983" s="5">
        <v>4479.63</v>
      </c>
      <c r="G1983" s="5">
        <v>895.92600000000004</v>
      </c>
      <c r="I1983" t="str">
        <f t="shared" si="152"/>
        <v>Low Sales</v>
      </c>
      <c r="J1983" t="str">
        <f t="shared" si="153"/>
        <v>Average Performance</v>
      </c>
      <c r="K1983">
        <f t="shared" si="154"/>
        <v>2004</v>
      </c>
      <c r="L1983" t="str">
        <f t="shared" si="155"/>
        <v>April</v>
      </c>
    </row>
    <row r="1984" spans="1:12" x14ac:dyDescent="0.25">
      <c r="A1984" t="s">
        <v>114</v>
      </c>
      <c r="B1984" t="s">
        <v>258</v>
      </c>
      <c r="C1984" t="s">
        <v>262</v>
      </c>
      <c r="D1984" t="str">
        <f t="shared" si="156"/>
        <v>Classic Cars</v>
      </c>
      <c r="E1984" t="s">
        <v>344</v>
      </c>
      <c r="F1984" s="5">
        <v>5148</v>
      </c>
      <c r="G1984" s="5">
        <v>1029.5999999999999</v>
      </c>
      <c r="I1984" t="str">
        <f t="shared" si="152"/>
        <v>Low Sales</v>
      </c>
      <c r="J1984" t="str">
        <f t="shared" si="153"/>
        <v>Average Performance</v>
      </c>
      <c r="K1984">
        <f t="shared" si="154"/>
        <v>2004</v>
      </c>
      <c r="L1984" t="str">
        <f t="shared" si="155"/>
        <v>June</v>
      </c>
    </row>
    <row r="1985" spans="1:12" x14ac:dyDescent="0.25">
      <c r="A1985" t="s">
        <v>115</v>
      </c>
      <c r="B1985" t="s">
        <v>258</v>
      </c>
      <c r="C1985" t="s">
        <v>262</v>
      </c>
      <c r="D1985" t="str">
        <f t="shared" si="156"/>
        <v>Classic Cars</v>
      </c>
      <c r="E1985" t="s">
        <v>344</v>
      </c>
      <c r="F1985" s="5">
        <v>2932.08</v>
      </c>
      <c r="G1985" s="5">
        <v>586.41600000000005</v>
      </c>
      <c r="I1985" t="str">
        <f t="shared" si="152"/>
        <v>Low Sales</v>
      </c>
      <c r="J1985" t="str">
        <f t="shared" si="153"/>
        <v>Average Performance</v>
      </c>
      <c r="K1985">
        <f t="shared" si="154"/>
        <v>2004</v>
      </c>
      <c r="L1985" t="str">
        <f t="shared" si="155"/>
        <v>July</v>
      </c>
    </row>
    <row r="1986" spans="1:12" x14ac:dyDescent="0.25">
      <c r="A1986" t="s">
        <v>163</v>
      </c>
      <c r="C1986" t="s">
        <v>262</v>
      </c>
      <c r="D1986" t="str">
        <f t="shared" si="156"/>
        <v>Classic Cars</v>
      </c>
      <c r="E1986" t="s">
        <v>344</v>
      </c>
      <c r="F1986" s="5">
        <v>3159.75</v>
      </c>
      <c r="G1986" s="5">
        <v>631.95000000000005</v>
      </c>
      <c r="I1986" t="str">
        <f t="shared" si="152"/>
        <v>Low Sales</v>
      </c>
      <c r="J1986" t="str">
        <f t="shared" si="153"/>
        <v>Average Performance</v>
      </c>
      <c r="K1986">
        <f t="shared" si="154"/>
        <v>2004</v>
      </c>
      <c r="L1986" t="str">
        <f t="shared" si="155"/>
        <v>August</v>
      </c>
    </row>
    <row r="1987" spans="1:12" x14ac:dyDescent="0.25">
      <c r="A1987" t="s">
        <v>117</v>
      </c>
      <c r="B1987" t="s">
        <v>258</v>
      </c>
      <c r="C1987" t="s">
        <v>262</v>
      </c>
      <c r="D1987" t="str">
        <f t="shared" si="156"/>
        <v>Classic Cars</v>
      </c>
      <c r="E1987" t="s">
        <v>344</v>
      </c>
      <c r="F1987" s="5">
        <v>4297.32</v>
      </c>
      <c r="G1987" s="5">
        <v>859.46399999999994</v>
      </c>
      <c r="I1987" t="str">
        <f t="shared" ref="I1987:I2050" si="157">IF(F1987&gt;50000,"High Sales","Low Sales")</f>
        <v>Low Sales</v>
      </c>
      <c r="J1987" t="str">
        <f t="shared" ref="J1987:J2050" si="158">IF(AND(F1987&gt;30000,G1987&gt;5000),"Good Performance","Average Performance")</f>
        <v>Average Performance</v>
      </c>
      <c r="K1987">
        <f t="shared" ref="K1987:K2050" si="159">YEAR(A1987)</f>
        <v>2004</v>
      </c>
      <c r="L1987" t="str">
        <f t="shared" ref="L1987:L2050" si="160">TEXT(A1987,"mmmm")</f>
        <v>August</v>
      </c>
    </row>
    <row r="1988" spans="1:12" x14ac:dyDescent="0.25">
      <c r="A1988" t="s">
        <v>164</v>
      </c>
      <c r="B1988" t="s">
        <v>258</v>
      </c>
      <c r="C1988" t="s">
        <v>262</v>
      </c>
      <c r="D1988" t="str">
        <f t="shared" si="156"/>
        <v>Classic Cars</v>
      </c>
      <c r="E1988" t="s">
        <v>344</v>
      </c>
      <c r="F1988" s="5">
        <v>7723.5</v>
      </c>
      <c r="G1988" s="5">
        <v>1544.7</v>
      </c>
      <c r="I1988" t="str">
        <f t="shared" si="157"/>
        <v>Low Sales</v>
      </c>
      <c r="J1988" t="str">
        <f t="shared" si="158"/>
        <v>Average Performance</v>
      </c>
      <c r="K1988">
        <f t="shared" si="159"/>
        <v>2003</v>
      </c>
      <c r="L1988" t="str">
        <f t="shared" si="160"/>
        <v>October</v>
      </c>
    </row>
    <row r="1989" spans="1:12" x14ac:dyDescent="0.25">
      <c r="A1989" t="s">
        <v>119</v>
      </c>
      <c r="B1989" t="s">
        <v>258</v>
      </c>
      <c r="C1989" t="s">
        <v>262</v>
      </c>
      <c r="D1989" t="str">
        <f t="shared" si="156"/>
        <v>Classic Cars</v>
      </c>
      <c r="E1989" t="s">
        <v>344</v>
      </c>
      <c r="F1989" s="5">
        <v>5497.65</v>
      </c>
      <c r="G1989" s="5">
        <v>1099.53</v>
      </c>
      <c r="I1989" t="str">
        <f t="shared" si="157"/>
        <v>Low Sales</v>
      </c>
      <c r="J1989" t="str">
        <f t="shared" si="158"/>
        <v>Average Performance</v>
      </c>
      <c r="K1989">
        <f t="shared" si="159"/>
        <v>2004</v>
      </c>
      <c r="L1989" t="str">
        <f t="shared" si="160"/>
        <v>October</v>
      </c>
    </row>
    <row r="1990" spans="1:12" x14ac:dyDescent="0.25">
      <c r="A1990" t="s">
        <v>51</v>
      </c>
      <c r="C1990" t="s">
        <v>262</v>
      </c>
      <c r="D1990" t="str">
        <f t="shared" si="156"/>
        <v>Classic Cars</v>
      </c>
      <c r="E1990" t="s">
        <v>344</v>
      </c>
      <c r="F1990" s="5">
        <v>4052.88</v>
      </c>
      <c r="G1990" s="5">
        <v>810.57600000000002</v>
      </c>
      <c r="I1990" t="str">
        <f t="shared" si="157"/>
        <v>Low Sales</v>
      </c>
      <c r="J1990" t="str">
        <f t="shared" si="158"/>
        <v>Average Performance</v>
      </c>
      <c r="K1990">
        <f t="shared" si="159"/>
        <v>2004</v>
      </c>
      <c r="L1990" t="str">
        <f t="shared" si="160"/>
        <v>November</v>
      </c>
    </row>
    <row r="1991" spans="1:12" x14ac:dyDescent="0.25">
      <c r="A1991" t="s">
        <v>165</v>
      </c>
      <c r="C1991" t="s">
        <v>262</v>
      </c>
      <c r="D1991" t="str">
        <f t="shared" si="156"/>
        <v>Classic Cars</v>
      </c>
      <c r="E1991" t="s">
        <v>344</v>
      </c>
      <c r="F1991" s="5">
        <v>3135.93</v>
      </c>
      <c r="G1991" s="5">
        <v>627.18600000000004</v>
      </c>
      <c r="I1991" t="str">
        <f t="shared" si="157"/>
        <v>Low Sales</v>
      </c>
      <c r="J1991" t="str">
        <f t="shared" si="158"/>
        <v>Average Performance</v>
      </c>
      <c r="K1991">
        <f t="shared" si="159"/>
        <v>2004</v>
      </c>
      <c r="L1991" t="str">
        <f t="shared" si="160"/>
        <v>November</v>
      </c>
    </row>
    <row r="1992" spans="1:12" x14ac:dyDescent="0.25">
      <c r="A1992" t="s">
        <v>26</v>
      </c>
      <c r="B1992" t="s">
        <v>259</v>
      </c>
      <c r="C1992" t="s">
        <v>262</v>
      </c>
      <c r="D1992" t="str">
        <f t="shared" si="156"/>
        <v>Classic Cars</v>
      </c>
      <c r="E1992" t="s">
        <v>344</v>
      </c>
      <c r="F1992" s="5">
        <v>5013.54</v>
      </c>
      <c r="G1992" s="5">
        <v>1002.708</v>
      </c>
      <c r="I1992" t="str">
        <f t="shared" si="157"/>
        <v>Low Sales</v>
      </c>
      <c r="J1992" t="str">
        <f t="shared" si="158"/>
        <v>Average Performance</v>
      </c>
      <c r="K1992">
        <f t="shared" si="159"/>
        <v>2004</v>
      </c>
      <c r="L1992" t="str">
        <f t="shared" si="160"/>
        <v>November</v>
      </c>
    </row>
    <row r="1993" spans="1:12" x14ac:dyDescent="0.25">
      <c r="A1993" t="s">
        <v>234</v>
      </c>
      <c r="B1993" t="s">
        <v>258</v>
      </c>
      <c r="C1993" t="s">
        <v>262</v>
      </c>
      <c r="D1993" t="str">
        <f t="shared" si="156"/>
        <v>Classic Cars</v>
      </c>
      <c r="E1993" t="s">
        <v>344</v>
      </c>
      <c r="F1993" s="5">
        <v>5302.72</v>
      </c>
      <c r="G1993" s="5">
        <v>1060.5440000000001</v>
      </c>
      <c r="I1993" t="str">
        <f t="shared" si="157"/>
        <v>Low Sales</v>
      </c>
      <c r="J1993" t="str">
        <f t="shared" si="158"/>
        <v>Average Performance</v>
      </c>
      <c r="K1993">
        <f t="shared" si="159"/>
        <v>2004</v>
      </c>
      <c r="L1993" t="str">
        <f t="shared" si="160"/>
        <v>December</v>
      </c>
    </row>
    <row r="1994" spans="1:12" x14ac:dyDescent="0.25">
      <c r="A1994" t="s">
        <v>121</v>
      </c>
      <c r="B1994" t="s">
        <v>258</v>
      </c>
      <c r="C1994" t="s">
        <v>262</v>
      </c>
      <c r="D1994" t="str">
        <f t="shared" si="156"/>
        <v>Classic Cars</v>
      </c>
      <c r="E1994" t="s">
        <v>344</v>
      </c>
      <c r="F1994" s="5">
        <v>2931.98</v>
      </c>
      <c r="G1994" s="5">
        <v>586.39600000000007</v>
      </c>
      <c r="I1994" t="str">
        <f t="shared" si="157"/>
        <v>Low Sales</v>
      </c>
      <c r="J1994" t="str">
        <f t="shared" si="158"/>
        <v>Average Performance</v>
      </c>
      <c r="K1994">
        <f t="shared" si="159"/>
        <v>2005</v>
      </c>
      <c r="L1994" t="str">
        <f t="shared" si="160"/>
        <v>January</v>
      </c>
    </row>
    <row r="1995" spans="1:12" x14ac:dyDescent="0.25">
      <c r="A1995" t="s">
        <v>190</v>
      </c>
      <c r="B1995" t="s">
        <v>258</v>
      </c>
      <c r="C1995" t="s">
        <v>262</v>
      </c>
      <c r="D1995" t="str">
        <f t="shared" si="156"/>
        <v>Classic Cars</v>
      </c>
      <c r="E1995" t="s">
        <v>344</v>
      </c>
      <c r="F1995" s="5">
        <v>1757.91</v>
      </c>
      <c r="G1995" s="5">
        <v>351.58200000000011</v>
      </c>
      <c r="I1995" t="str">
        <f t="shared" si="157"/>
        <v>Low Sales</v>
      </c>
      <c r="J1995" t="str">
        <f t="shared" si="158"/>
        <v>Average Performance</v>
      </c>
      <c r="K1995">
        <f t="shared" si="159"/>
        <v>2005</v>
      </c>
      <c r="L1995" t="str">
        <f t="shared" si="160"/>
        <v>February</v>
      </c>
    </row>
    <row r="1996" spans="1:12" x14ac:dyDescent="0.25">
      <c r="A1996" t="s">
        <v>168</v>
      </c>
      <c r="C1996" t="s">
        <v>262</v>
      </c>
      <c r="D1996" t="str">
        <f t="shared" si="156"/>
        <v>Classic Cars</v>
      </c>
      <c r="E1996" t="s">
        <v>344</v>
      </c>
      <c r="F1996" s="5">
        <v>6763.05</v>
      </c>
      <c r="G1996" s="5">
        <v>1352.61</v>
      </c>
      <c r="I1996" t="str">
        <f t="shared" si="157"/>
        <v>Low Sales</v>
      </c>
      <c r="J1996" t="str">
        <f t="shared" si="158"/>
        <v>Average Performance</v>
      </c>
      <c r="K1996">
        <f t="shared" si="159"/>
        <v>2005</v>
      </c>
      <c r="L1996" t="str">
        <f t="shared" si="160"/>
        <v>March</v>
      </c>
    </row>
    <row r="1997" spans="1:12" x14ac:dyDescent="0.25">
      <c r="A1997" t="s">
        <v>156</v>
      </c>
      <c r="B1997" t="s">
        <v>258</v>
      </c>
      <c r="C1997" t="s">
        <v>262</v>
      </c>
      <c r="D1997" t="str">
        <f t="shared" si="156"/>
        <v>Classic Cars</v>
      </c>
      <c r="E1997" t="s">
        <v>344</v>
      </c>
      <c r="F1997" s="5">
        <v>11739.7</v>
      </c>
      <c r="G1997" s="5">
        <v>2347.94</v>
      </c>
      <c r="I1997" t="str">
        <f t="shared" si="157"/>
        <v>Low Sales</v>
      </c>
      <c r="J1997" t="str">
        <f t="shared" si="158"/>
        <v>Average Performance</v>
      </c>
      <c r="K1997">
        <f t="shared" si="159"/>
        <v>2005</v>
      </c>
      <c r="L1997" t="str">
        <f t="shared" si="160"/>
        <v>April</v>
      </c>
    </row>
    <row r="1998" spans="1:12" x14ac:dyDescent="0.25">
      <c r="A1998" t="s">
        <v>122</v>
      </c>
      <c r="B1998" t="s">
        <v>258</v>
      </c>
      <c r="C1998" t="s">
        <v>262</v>
      </c>
      <c r="D1998" t="str">
        <f t="shared" si="156"/>
        <v>Classic Cars</v>
      </c>
      <c r="E1998" t="s">
        <v>344</v>
      </c>
      <c r="F1998" s="5">
        <v>9240</v>
      </c>
      <c r="G1998" s="5">
        <v>1848</v>
      </c>
      <c r="I1998" t="str">
        <f t="shared" si="157"/>
        <v>Low Sales</v>
      </c>
      <c r="J1998" t="str">
        <f t="shared" si="158"/>
        <v>Average Performance</v>
      </c>
      <c r="K1998">
        <f t="shared" si="159"/>
        <v>2005</v>
      </c>
      <c r="L1998" t="str">
        <f t="shared" si="160"/>
        <v>May</v>
      </c>
    </row>
    <row r="1999" spans="1:12" x14ac:dyDescent="0.25">
      <c r="A1999" t="s">
        <v>192</v>
      </c>
      <c r="B1999" t="s">
        <v>258</v>
      </c>
      <c r="C1999" t="s">
        <v>265</v>
      </c>
      <c r="D1999" t="str">
        <f t="shared" si="156"/>
        <v>Planes</v>
      </c>
      <c r="E1999" t="s">
        <v>345</v>
      </c>
      <c r="F1999" s="5">
        <v>3241.5</v>
      </c>
      <c r="G1999" s="5">
        <v>648.30000000000007</v>
      </c>
      <c r="I1999" t="str">
        <f t="shared" si="157"/>
        <v>Low Sales</v>
      </c>
      <c r="J1999" t="str">
        <f t="shared" si="158"/>
        <v>Average Performance</v>
      </c>
      <c r="K1999">
        <f t="shared" si="159"/>
        <v>2003</v>
      </c>
      <c r="L1999" t="str">
        <f t="shared" si="160"/>
        <v>February</v>
      </c>
    </row>
    <row r="2000" spans="1:12" x14ac:dyDescent="0.25">
      <c r="A2000" t="s">
        <v>69</v>
      </c>
      <c r="B2000" t="s">
        <v>258</v>
      </c>
      <c r="C2000" t="s">
        <v>265</v>
      </c>
      <c r="D2000" t="str">
        <f t="shared" si="156"/>
        <v>Planes</v>
      </c>
      <c r="E2000" t="s">
        <v>345</v>
      </c>
      <c r="F2000" s="5">
        <v>1968.12</v>
      </c>
      <c r="G2000" s="5">
        <v>393.62400000000002</v>
      </c>
      <c r="I2000" t="str">
        <f t="shared" si="157"/>
        <v>Low Sales</v>
      </c>
      <c r="J2000" t="str">
        <f t="shared" si="158"/>
        <v>Average Performance</v>
      </c>
      <c r="K2000">
        <f t="shared" si="159"/>
        <v>2003</v>
      </c>
      <c r="L2000" t="str">
        <f t="shared" si="160"/>
        <v>April</v>
      </c>
    </row>
    <row r="2001" spans="1:12" x14ac:dyDescent="0.25">
      <c r="A2001" t="s">
        <v>193</v>
      </c>
      <c r="C2001" t="s">
        <v>265</v>
      </c>
      <c r="D2001" t="str">
        <f t="shared" si="156"/>
        <v>Planes</v>
      </c>
      <c r="E2001" t="s">
        <v>345</v>
      </c>
      <c r="F2001" s="5">
        <v>4094.5</v>
      </c>
      <c r="G2001" s="5">
        <v>818.90000000000009</v>
      </c>
      <c r="I2001" t="str">
        <f t="shared" si="157"/>
        <v>Low Sales</v>
      </c>
      <c r="J2001" t="str">
        <f t="shared" si="158"/>
        <v>Average Performance</v>
      </c>
      <c r="K2001">
        <f t="shared" si="159"/>
        <v>2003</v>
      </c>
      <c r="L2001" t="str">
        <f t="shared" si="160"/>
        <v>June</v>
      </c>
    </row>
    <row r="2002" spans="1:12" x14ac:dyDescent="0.25">
      <c r="A2002" t="s">
        <v>71</v>
      </c>
      <c r="C2002" t="s">
        <v>265</v>
      </c>
      <c r="D2002" t="str">
        <f t="shared" si="156"/>
        <v>Planes</v>
      </c>
      <c r="E2002" t="s">
        <v>345</v>
      </c>
      <c r="F2002" s="5">
        <v>1853.32</v>
      </c>
      <c r="G2002" s="5">
        <v>370.66399999999999</v>
      </c>
      <c r="I2002" t="str">
        <f t="shared" si="157"/>
        <v>Low Sales</v>
      </c>
      <c r="J2002" t="str">
        <f t="shared" si="158"/>
        <v>Average Performance</v>
      </c>
      <c r="K2002">
        <f t="shared" si="159"/>
        <v>2003</v>
      </c>
      <c r="L2002" t="str">
        <f t="shared" si="160"/>
        <v>August</v>
      </c>
    </row>
    <row r="2003" spans="1:12" x14ac:dyDescent="0.25">
      <c r="A2003" t="s">
        <v>72</v>
      </c>
      <c r="B2003" t="s">
        <v>258</v>
      </c>
      <c r="C2003" t="s">
        <v>265</v>
      </c>
      <c r="D2003" t="str">
        <f t="shared" si="156"/>
        <v>Planes</v>
      </c>
      <c r="E2003" t="s">
        <v>345</v>
      </c>
      <c r="F2003" s="5">
        <v>3392.84</v>
      </c>
      <c r="G2003" s="5">
        <v>678.5680000000001</v>
      </c>
      <c r="I2003" t="str">
        <f t="shared" si="157"/>
        <v>Low Sales</v>
      </c>
      <c r="J2003" t="str">
        <f t="shared" si="158"/>
        <v>Average Performance</v>
      </c>
      <c r="K2003">
        <f t="shared" si="159"/>
        <v>2003</v>
      </c>
      <c r="L2003" t="str">
        <f t="shared" si="160"/>
        <v>October</v>
      </c>
    </row>
    <row r="2004" spans="1:12" x14ac:dyDescent="0.25">
      <c r="A2004" t="s">
        <v>11</v>
      </c>
      <c r="C2004" t="s">
        <v>265</v>
      </c>
      <c r="D2004" t="str">
        <f t="shared" ref="D2004:D2067" si="161">PROPER(TRIM(C2004))</f>
        <v>Planes</v>
      </c>
      <c r="E2004" t="s">
        <v>345</v>
      </c>
      <c r="F2004" s="5">
        <v>1971.54</v>
      </c>
      <c r="G2004" s="5">
        <v>394.30799999999999</v>
      </c>
      <c r="I2004" t="str">
        <f t="shared" si="157"/>
        <v>Low Sales</v>
      </c>
      <c r="J2004" t="str">
        <f t="shared" si="158"/>
        <v>Average Performance</v>
      </c>
      <c r="K2004">
        <f t="shared" si="159"/>
        <v>2003</v>
      </c>
      <c r="L2004" t="str">
        <f t="shared" si="160"/>
        <v>October</v>
      </c>
    </row>
    <row r="2005" spans="1:12" x14ac:dyDescent="0.25">
      <c r="A2005" t="s">
        <v>74</v>
      </c>
      <c r="B2005" t="s">
        <v>258</v>
      </c>
      <c r="C2005" t="s">
        <v>265</v>
      </c>
      <c r="D2005" t="str">
        <f t="shared" si="161"/>
        <v>Planes</v>
      </c>
      <c r="E2005" t="s">
        <v>345</v>
      </c>
      <c r="F2005" s="5">
        <v>2169.9</v>
      </c>
      <c r="G2005" s="5">
        <v>433.98</v>
      </c>
      <c r="I2005" t="str">
        <f t="shared" si="157"/>
        <v>Low Sales</v>
      </c>
      <c r="J2005" t="str">
        <f t="shared" si="158"/>
        <v>Average Performance</v>
      </c>
      <c r="K2005">
        <f t="shared" si="159"/>
        <v>2003</v>
      </c>
      <c r="L2005" t="str">
        <f t="shared" si="160"/>
        <v>November</v>
      </c>
    </row>
    <row r="2006" spans="1:12" x14ac:dyDescent="0.25">
      <c r="A2006" t="s">
        <v>194</v>
      </c>
      <c r="B2006" t="s">
        <v>260</v>
      </c>
      <c r="C2006" t="s">
        <v>265</v>
      </c>
      <c r="D2006" t="str">
        <f t="shared" si="161"/>
        <v>Planes</v>
      </c>
      <c r="E2006" t="s">
        <v>345</v>
      </c>
      <c r="F2006" s="5">
        <v>2846.17</v>
      </c>
      <c r="G2006" s="5">
        <v>569.23400000000004</v>
      </c>
      <c r="I2006" t="str">
        <f t="shared" si="157"/>
        <v>Low Sales</v>
      </c>
      <c r="J2006" t="str">
        <f t="shared" si="158"/>
        <v>Average Performance</v>
      </c>
      <c r="K2006">
        <f t="shared" si="159"/>
        <v>2003</v>
      </c>
      <c r="L2006" t="str">
        <f t="shared" si="160"/>
        <v>November</v>
      </c>
    </row>
    <row r="2007" spans="1:12" x14ac:dyDescent="0.25">
      <c r="A2007" t="s">
        <v>61</v>
      </c>
      <c r="B2007" t="s">
        <v>260</v>
      </c>
      <c r="C2007" t="s">
        <v>265</v>
      </c>
      <c r="D2007" t="str">
        <f t="shared" si="161"/>
        <v>Planes</v>
      </c>
      <c r="E2007" t="s">
        <v>345</v>
      </c>
      <c r="F2007" s="5">
        <v>2018.4</v>
      </c>
      <c r="G2007" s="5">
        <v>403.68000000000012</v>
      </c>
      <c r="I2007" t="str">
        <f t="shared" si="157"/>
        <v>Low Sales</v>
      </c>
      <c r="J2007" t="str">
        <f t="shared" si="158"/>
        <v>Average Performance</v>
      </c>
      <c r="K2007">
        <f t="shared" si="159"/>
        <v>2004</v>
      </c>
      <c r="L2007" t="str">
        <f t="shared" si="160"/>
        <v>January</v>
      </c>
    </row>
    <row r="2008" spans="1:12" x14ac:dyDescent="0.25">
      <c r="A2008" t="s">
        <v>78</v>
      </c>
      <c r="C2008" t="s">
        <v>265</v>
      </c>
      <c r="D2008" t="str">
        <f t="shared" si="161"/>
        <v>Planes</v>
      </c>
      <c r="E2008" t="s">
        <v>345</v>
      </c>
      <c r="F2008" s="5">
        <v>2718.72</v>
      </c>
      <c r="G2008" s="5">
        <v>543.74400000000003</v>
      </c>
      <c r="I2008" t="str">
        <f t="shared" si="157"/>
        <v>Low Sales</v>
      </c>
      <c r="J2008" t="str">
        <f t="shared" si="158"/>
        <v>Average Performance</v>
      </c>
      <c r="K2008">
        <f t="shared" si="159"/>
        <v>2004</v>
      </c>
      <c r="L2008" t="str">
        <f t="shared" si="160"/>
        <v>February</v>
      </c>
    </row>
    <row r="2009" spans="1:12" x14ac:dyDescent="0.25">
      <c r="A2009" t="s">
        <v>216</v>
      </c>
      <c r="C2009" t="s">
        <v>265</v>
      </c>
      <c r="D2009" t="str">
        <f t="shared" si="161"/>
        <v>Planes</v>
      </c>
      <c r="E2009" t="s">
        <v>345</v>
      </c>
      <c r="F2009" s="5">
        <v>1981.65</v>
      </c>
      <c r="G2009" s="5">
        <v>396.33</v>
      </c>
      <c r="I2009" t="str">
        <f t="shared" si="157"/>
        <v>Low Sales</v>
      </c>
      <c r="J2009" t="str">
        <f t="shared" si="158"/>
        <v>Average Performance</v>
      </c>
      <c r="K2009">
        <f t="shared" si="159"/>
        <v>2004</v>
      </c>
      <c r="L2009" t="str">
        <f t="shared" si="160"/>
        <v>April</v>
      </c>
    </row>
    <row r="2010" spans="1:12" x14ac:dyDescent="0.25">
      <c r="A2010" t="s">
        <v>195</v>
      </c>
      <c r="C2010" t="s">
        <v>265</v>
      </c>
      <c r="D2010" t="str">
        <f t="shared" si="161"/>
        <v>Planes</v>
      </c>
      <c r="E2010" t="s">
        <v>345</v>
      </c>
      <c r="F2010" s="5">
        <v>3002.4</v>
      </c>
      <c r="G2010" s="5">
        <v>600.48</v>
      </c>
      <c r="I2010" t="str">
        <f t="shared" si="157"/>
        <v>Low Sales</v>
      </c>
      <c r="J2010" t="str">
        <f t="shared" si="158"/>
        <v>Average Performance</v>
      </c>
      <c r="K2010">
        <f t="shared" si="159"/>
        <v>2004</v>
      </c>
      <c r="L2010" t="str">
        <f t="shared" si="160"/>
        <v>May</v>
      </c>
    </row>
    <row r="2011" spans="1:12" x14ac:dyDescent="0.25">
      <c r="A2011" t="s">
        <v>196</v>
      </c>
      <c r="B2011" t="s">
        <v>258</v>
      </c>
      <c r="C2011" t="s">
        <v>265</v>
      </c>
      <c r="D2011" t="str">
        <f t="shared" si="161"/>
        <v>Planes</v>
      </c>
      <c r="E2011" t="s">
        <v>345</v>
      </c>
      <c r="F2011" s="5">
        <v>2948.16</v>
      </c>
      <c r="G2011" s="5">
        <v>589.63199999999995</v>
      </c>
      <c r="I2011" t="str">
        <f t="shared" si="157"/>
        <v>Low Sales</v>
      </c>
      <c r="J2011" t="str">
        <f t="shared" si="158"/>
        <v>Average Performance</v>
      </c>
      <c r="K2011">
        <f t="shared" si="159"/>
        <v>2004</v>
      </c>
      <c r="L2011" t="str">
        <f t="shared" si="160"/>
        <v>June</v>
      </c>
    </row>
    <row r="2012" spans="1:12" x14ac:dyDescent="0.25">
      <c r="A2012" t="s">
        <v>20</v>
      </c>
      <c r="B2012" t="s">
        <v>258</v>
      </c>
      <c r="C2012" t="s">
        <v>265</v>
      </c>
      <c r="D2012" t="str">
        <f t="shared" si="161"/>
        <v>Planes</v>
      </c>
      <c r="E2012" t="s">
        <v>345</v>
      </c>
      <c r="F2012" s="5">
        <v>3357.49</v>
      </c>
      <c r="G2012" s="5">
        <v>671.49800000000005</v>
      </c>
      <c r="I2012" t="str">
        <f t="shared" si="157"/>
        <v>Low Sales</v>
      </c>
      <c r="J2012" t="str">
        <f t="shared" si="158"/>
        <v>Average Performance</v>
      </c>
      <c r="K2012">
        <f t="shared" si="159"/>
        <v>2004</v>
      </c>
      <c r="L2012" t="str">
        <f t="shared" si="160"/>
        <v>July</v>
      </c>
    </row>
    <row r="2013" spans="1:12" x14ac:dyDescent="0.25">
      <c r="A2013" t="s">
        <v>197</v>
      </c>
      <c r="B2013" t="s">
        <v>258</v>
      </c>
      <c r="C2013" t="s">
        <v>265</v>
      </c>
      <c r="D2013" t="str">
        <f t="shared" si="161"/>
        <v>Planes</v>
      </c>
      <c r="E2013" t="s">
        <v>345</v>
      </c>
      <c r="F2013" s="5">
        <v>1175.1600000000001</v>
      </c>
      <c r="G2013" s="5">
        <v>235.03200000000001</v>
      </c>
      <c r="I2013" t="str">
        <f t="shared" si="157"/>
        <v>Low Sales</v>
      </c>
      <c r="J2013" t="str">
        <f t="shared" si="158"/>
        <v>Average Performance</v>
      </c>
      <c r="K2013">
        <f t="shared" si="159"/>
        <v>2004</v>
      </c>
      <c r="L2013" t="str">
        <f t="shared" si="160"/>
        <v>August</v>
      </c>
    </row>
    <row r="2014" spans="1:12" x14ac:dyDescent="0.25">
      <c r="A2014" t="s">
        <v>198</v>
      </c>
      <c r="B2014" t="s">
        <v>258</v>
      </c>
      <c r="C2014" t="s">
        <v>265</v>
      </c>
      <c r="D2014" t="str">
        <f t="shared" si="161"/>
        <v>Planes</v>
      </c>
      <c r="E2014" t="s">
        <v>345</v>
      </c>
      <c r="F2014" s="5">
        <v>2292.8000000000002</v>
      </c>
      <c r="G2014" s="5">
        <v>458.56000000000012</v>
      </c>
      <c r="I2014" t="str">
        <f t="shared" si="157"/>
        <v>Low Sales</v>
      </c>
      <c r="J2014" t="str">
        <f t="shared" si="158"/>
        <v>Average Performance</v>
      </c>
      <c r="K2014">
        <f t="shared" si="159"/>
        <v>2004</v>
      </c>
      <c r="L2014" t="str">
        <f t="shared" si="160"/>
        <v>September</v>
      </c>
    </row>
    <row r="2015" spans="1:12" x14ac:dyDescent="0.25">
      <c r="A2015" t="s">
        <v>23</v>
      </c>
      <c r="C2015" t="s">
        <v>265</v>
      </c>
      <c r="D2015" t="str">
        <f t="shared" si="161"/>
        <v>Planes</v>
      </c>
      <c r="E2015" t="s">
        <v>345</v>
      </c>
      <c r="F2015" s="5">
        <v>3286.49</v>
      </c>
      <c r="G2015" s="5">
        <v>657.298</v>
      </c>
      <c r="I2015" t="str">
        <f t="shared" si="157"/>
        <v>Low Sales</v>
      </c>
      <c r="J2015" t="str">
        <f t="shared" si="158"/>
        <v>Average Performance</v>
      </c>
      <c r="K2015">
        <f t="shared" si="159"/>
        <v>2004</v>
      </c>
      <c r="L2015" t="str">
        <f t="shared" si="160"/>
        <v>October</v>
      </c>
    </row>
    <row r="2016" spans="1:12" x14ac:dyDescent="0.25">
      <c r="A2016" t="s">
        <v>85</v>
      </c>
      <c r="B2016" t="s">
        <v>258</v>
      </c>
      <c r="C2016" t="s">
        <v>265</v>
      </c>
      <c r="D2016" t="str">
        <f t="shared" si="161"/>
        <v>Planes</v>
      </c>
      <c r="E2016" t="s">
        <v>345</v>
      </c>
      <c r="F2016" s="5">
        <v>2333.6999999999998</v>
      </c>
      <c r="G2016" s="5">
        <v>466.74</v>
      </c>
      <c r="I2016" t="str">
        <f t="shared" si="157"/>
        <v>Low Sales</v>
      </c>
      <c r="J2016" t="str">
        <f t="shared" si="158"/>
        <v>Average Performance</v>
      </c>
      <c r="K2016">
        <f t="shared" si="159"/>
        <v>2004</v>
      </c>
      <c r="L2016" t="str">
        <f t="shared" si="160"/>
        <v>November</v>
      </c>
    </row>
    <row r="2017" spans="1:12" x14ac:dyDescent="0.25">
      <c r="A2017" t="s">
        <v>239</v>
      </c>
      <c r="B2017" t="s">
        <v>258</v>
      </c>
      <c r="C2017" t="s">
        <v>265</v>
      </c>
      <c r="D2017" t="str">
        <f t="shared" si="161"/>
        <v>Planes</v>
      </c>
      <c r="E2017" t="s">
        <v>345</v>
      </c>
      <c r="F2017" s="5">
        <v>2675.05</v>
      </c>
      <c r="G2017" s="5">
        <v>535.0100000000001</v>
      </c>
      <c r="I2017" t="str">
        <f t="shared" si="157"/>
        <v>Low Sales</v>
      </c>
      <c r="J2017" t="str">
        <f t="shared" si="158"/>
        <v>Average Performance</v>
      </c>
      <c r="K2017">
        <f t="shared" si="159"/>
        <v>2004</v>
      </c>
      <c r="L2017" t="str">
        <f t="shared" si="160"/>
        <v>November</v>
      </c>
    </row>
    <row r="2018" spans="1:12" x14ac:dyDescent="0.25">
      <c r="A2018" t="s">
        <v>64</v>
      </c>
      <c r="B2018" t="s">
        <v>260</v>
      </c>
      <c r="C2018" t="s">
        <v>265</v>
      </c>
      <c r="D2018" t="str">
        <f t="shared" si="161"/>
        <v>Planes</v>
      </c>
      <c r="E2018" t="s">
        <v>345</v>
      </c>
      <c r="F2018" s="5">
        <v>4361.3999999999996</v>
      </c>
      <c r="G2018" s="5">
        <v>872.28</v>
      </c>
      <c r="I2018" t="str">
        <f t="shared" si="157"/>
        <v>Low Sales</v>
      </c>
      <c r="J2018" t="str">
        <f t="shared" si="158"/>
        <v>Average Performance</v>
      </c>
      <c r="K2018">
        <f t="shared" si="159"/>
        <v>2004</v>
      </c>
      <c r="L2018" t="str">
        <f t="shared" si="160"/>
        <v>November</v>
      </c>
    </row>
    <row r="2019" spans="1:12" x14ac:dyDescent="0.25">
      <c r="A2019" t="s">
        <v>201</v>
      </c>
      <c r="B2019" t="s">
        <v>258</v>
      </c>
      <c r="C2019" t="s">
        <v>265</v>
      </c>
      <c r="D2019" t="str">
        <f t="shared" si="161"/>
        <v>Planes</v>
      </c>
      <c r="E2019" t="s">
        <v>345</v>
      </c>
      <c r="F2019" s="5">
        <v>2018.58</v>
      </c>
      <c r="G2019" s="5">
        <v>403.71600000000001</v>
      </c>
      <c r="I2019" t="str">
        <f t="shared" si="157"/>
        <v>Low Sales</v>
      </c>
      <c r="J2019" t="str">
        <f t="shared" si="158"/>
        <v>Average Performance</v>
      </c>
      <c r="K2019">
        <f t="shared" si="159"/>
        <v>2004</v>
      </c>
      <c r="L2019" t="str">
        <f t="shared" si="160"/>
        <v>December</v>
      </c>
    </row>
    <row r="2020" spans="1:12" x14ac:dyDescent="0.25">
      <c r="A2020" t="s">
        <v>27</v>
      </c>
      <c r="B2020" t="s">
        <v>259</v>
      </c>
      <c r="C2020" t="s">
        <v>265</v>
      </c>
      <c r="D2020" t="str">
        <f t="shared" si="161"/>
        <v>Planes</v>
      </c>
      <c r="E2020" t="s">
        <v>345</v>
      </c>
      <c r="F2020" s="5">
        <v>3710.98</v>
      </c>
      <c r="G2020" s="5">
        <v>742.19600000000003</v>
      </c>
      <c r="I2020" t="str">
        <f t="shared" si="157"/>
        <v>Low Sales</v>
      </c>
      <c r="J2020" t="str">
        <f t="shared" si="158"/>
        <v>Average Performance</v>
      </c>
      <c r="K2020">
        <f t="shared" si="159"/>
        <v>2004</v>
      </c>
      <c r="L2020" t="str">
        <f t="shared" si="160"/>
        <v>December</v>
      </c>
    </row>
    <row r="2021" spans="1:12" x14ac:dyDescent="0.25">
      <c r="A2021" t="s">
        <v>90</v>
      </c>
      <c r="B2021" t="s">
        <v>258</v>
      </c>
      <c r="C2021" t="s">
        <v>265</v>
      </c>
      <c r="D2021" t="str">
        <f t="shared" si="161"/>
        <v>Planes</v>
      </c>
      <c r="E2021" t="s">
        <v>345</v>
      </c>
      <c r="F2021" s="5">
        <v>2847</v>
      </c>
      <c r="G2021" s="5">
        <v>569.4</v>
      </c>
      <c r="I2021" t="str">
        <f t="shared" si="157"/>
        <v>Low Sales</v>
      </c>
      <c r="J2021" t="str">
        <f t="shared" si="158"/>
        <v>Average Performance</v>
      </c>
      <c r="K2021">
        <f t="shared" si="159"/>
        <v>2005</v>
      </c>
      <c r="L2021" t="str">
        <f t="shared" si="160"/>
        <v>January</v>
      </c>
    </row>
    <row r="2022" spans="1:12" x14ac:dyDescent="0.25">
      <c r="A2022" t="s">
        <v>202</v>
      </c>
      <c r="B2022" t="s">
        <v>258</v>
      </c>
      <c r="C2022" t="s">
        <v>265</v>
      </c>
      <c r="D2022" t="str">
        <f t="shared" si="161"/>
        <v>Planes</v>
      </c>
      <c r="E2022" t="s">
        <v>345</v>
      </c>
      <c r="F2022" s="5">
        <v>3006.12</v>
      </c>
      <c r="G2022" s="5">
        <v>601.22400000000005</v>
      </c>
      <c r="I2022" t="str">
        <f t="shared" si="157"/>
        <v>Low Sales</v>
      </c>
      <c r="J2022" t="str">
        <f t="shared" si="158"/>
        <v>Average Performance</v>
      </c>
      <c r="K2022">
        <f t="shared" si="159"/>
        <v>2005</v>
      </c>
      <c r="L2022" t="str">
        <f t="shared" si="160"/>
        <v>March</v>
      </c>
    </row>
    <row r="2023" spans="1:12" x14ac:dyDescent="0.25">
      <c r="A2023" t="s">
        <v>203</v>
      </c>
      <c r="B2023" t="s">
        <v>258</v>
      </c>
      <c r="C2023" t="s">
        <v>265</v>
      </c>
      <c r="D2023" t="str">
        <f t="shared" si="161"/>
        <v>Planes</v>
      </c>
      <c r="E2023" t="s">
        <v>345</v>
      </c>
      <c r="F2023" s="5">
        <v>2797.84</v>
      </c>
      <c r="G2023" s="5">
        <v>559.5680000000001</v>
      </c>
      <c r="I2023" t="str">
        <f t="shared" si="157"/>
        <v>Low Sales</v>
      </c>
      <c r="J2023" t="str">
        <f t="shared" si="158"/>
        <v>Average Performance</v>
      </c>
      <c r="K2023">
        <f t="shared" si="159"/>
        <v>2005</v>
      </c>
      <c r="L2023" t="str">
        <f t="shared" si="160"/>
        <v>March</v>
      </c>
    </row>
    <row r="2024" spans="1:12" x14ac:dyDescent="0.25">
      <c r="A2024" t="s">
        <v>219</v>
      </c>
      <c r="C2024" t="s">
        <v>265</v>
      </c>
      <c r="D2024" t="str">
        <f t="shared" si="161"/>
        <v>Planes</v>
      </c>
      <c r="E2024" t="s">
        <v>345</v>
      </c>
      <c r="F2024" s="5">
        <v>3843.2</v>
      </c>
      <c r="G2024" s="5">
        <v>768.64</v>
      </c>
      <c r="I2024" t="str">
        <f t="shared" si="157"/>
        <v>Low Sales</v>
      </c>
      <c r="J2024" t="str">
        <f t="shared" si="158"/>
        <v>Average Performance</v>
      </c>
      <c r="K2024">
        <f t="shared" si="159"/>
        <v>2005</v>
      </c>
      <c r="L2024" t="str">
        <f t="shared" si="160"/>
        <v>April</v>
      </c>
    </row>
    <row r="2025" spans="1:12" x14ac:dyDescent="0.25">
      <c r="A2025" t="s">
        <v>204</v>
      </c>
      <c r="B2025" t="s">
        <v>258</v>
      </c>
      <c r="C2025" t="s">
        <v>265</v>
      </c>
      <c r="D2025" t="str">
        <f t="shared" si="161"/>
        <v>Planes</v>
      </c>
      <c r="E2025" t="s">
        <v>345</v>
      </c>
      <c r="F2025" s="5">
        <v>1351.08</v>
      </c>
      <c r="G2025" s="5">
        <v>270.21600000000001</v>
      </c>
      <c r="I2025" t="str">
        <f t="shared" si="157"/>
        <v>Low Sales</v>
      </c>
      <c r="J2025" t="str">
        <f t="shared" si="158"/>
        <v>Average Performance</v>
      </c>
      <c r="K2025">
        <f t="shared" si="159"/>
        <v>2005</v>
      </c>
      <c r="L2025" t="str">
        <f t="shared" si="160"/>
        <v>May</v>
      </c>
    </row>
    <row r="2026" spans="1:12" x14ac:dyDescent="0.25">
      <c r="A2026" t="s">
        <v>205</v>
      </c>
      <c r="C2026" t="s">
        <v>264</v>
      </c>
      <c r="D2026" t="str">
        <f t="shared" si="161"/>
        <v>Vintage Cars</v>
      </c>
      <c r="E2026" t="s">
        <v>346</v>
      </c>
      <c r="F2026" s="5">
        <v>1689.03</v>
      </c>
      <c r="G2026" s="5">
        <v>337.80599999999998</v>
      </c>
      <c r="I2026" t="str">
        <f t="shared" si="157"/>
        <v>Low Sales</v>
      </c>
      <c r="J2026" t="str">
        <f t="shared" si="158"/>
        <v>Average Performance</v>
      </c>
      <c r="K2026">
        <f t="shared" si="159"/>
        <v>2003</v>
      </c>
      <c r="L2026" t="str">
        <f t="shared" si="160"/>
        <v>January</v>
      </c>
    </row>
    <row r="2027" spans="1:12" x14ac:dyDescent="0.25">
      <c r="A2027" t="s">
        <v>184</v>
      </c>
      <c r="B2027" t="s">
        <v>258</v>
      </c>
      <c r="C2027" t="s">
        <v>264</v>
      </c>
      <c r="D2027" t="str">
        <f t="shared" si="161"/>
        <v>Vintage Cars</v>
      </c>
      <c r="E2027" t="s">
        <v>346</v>
      </c>
      <c r="F2027" s="5">
        <v>1654.56</v>
      </c>
      <c r="G2027" s="5">
        <v>330.91199999999998</v>
      </c>
      <c r="I2027" t="str">
        <f t="shared" si="157"/>
        <v>Low Sales</v>
      </c>
      <c r="J2027" t="str">
        <f t="shared" si="158"/>
        <v>Average Performance</v>
      </c>
      <c r="K2027">
        <f t="shared" si="159"/>
        <v>2003</v>
      </c>
      <c r="L2027" t="str">
        <f t="shared" si="160"/>
        <v>March</v>
      </c>
    </row>
    <row r="2028" spans="1:12" x14ac:dyDescent="0.25">
      <c r="A2028" t="s">
        <v>172</v>
      </c>
      <c r="C2028" t="s">
        <v>264</v>
      </c>
      <c r="D2028" t="str">
        <f t="shared" si="161"/>
        <v>Vintage Cars</v>
      </c>
      <c r="E2028" t="s">
        <v>346</v>
      </c>
      <c r="F2028" s="5">
        <v>1528.58</v>
      </c>
      <c r="G2028" s="5">
        <v>305.71600000000001</v>
      </c>
      <c r="I2028" t="str">
        <f t="shared" si="157"/>
        <v>Low Sales</v>
      </c>
      <c r="J2028" t="str">
        <f t="shared" si="158"/>
        <v>Average Performance</v>
      </c>
      <c r="K2028">
        <f t="shared" si="159"/>
        <v>2003</v>
      </c>
      <c r="L2028" t="str">
        <f t="shared" si="160"/>
        <v>May</v>
      </c>
    </row>
    <row r="2029" spans="1:12" x14ac:dyDescent="0.25">
      <c r="A2029" t="s">
        <v>174</v>
      </c>
      <c r="C2029" t="s">
        <v>264</v>
      </c>
      <c r="D2029" t="str">
        <f t="shared" si="161"/>
        <v>Vintage Cars</v>
      </c>
      <c r="E2029" t="s">
        <v>346</v>
      </c>
      <c r="F2029" s="5">
        <v>1013.48</v>
      </c>
      <c r="G2029" s="5">
        <v>202.696</v>
      </c>
      <c r="I2029" t="str">
        <f t="shared" si="157"/>
        <v>Low Sales</v>
      </c>
      <c r="J2029" t="str">
        <f t="shared" si="158"/>
        <v>Average Performance</v>
      </c>
      <c r="K2029">
        <f t="shared" si="159"/>
        <v>2003</v>
      </c>
      <c r="L2029" t="str">
        <f t="shared" si="160"/>
        <v>September</v>
      </c>
    </row>
    <row r="2030" spans="1:12" x14ac:dyDescent="0.25">
      <c r="A2030" t="s">
        <v>175</v>
      </c>
      <c r="C2030" t="s">
        <v>264</v>
      </c>
      <c r="D2030" t="str">
        <f t="shared" si="161"/>
        <v>Vintage Cars</v>
      </c>
      <c r="E2030" t="s">
        <v>346</v>
      </c>
      <c r="F2030" s="5">
        <v>1442.26</v>
      </c>
      <c r="G2030" s="5">
        <v>288.452</v>
      </c>
      <c r="I2030" t="str">
        <f t="shared" si="157"/>
        <v>Low Sales</v>
      </c>
      <c r="J2030" t="str">
        <f t="shared" si="158"/>
        <v>Average Performance</v>
      </c>
      <c r="K2030">
        <f t="shared" si="159"/>
        <v>2003</v>
      </c>
      <c r="L2030" t="str">
        <f t="shared" si="160"/>
        <v>October</v>
      </c>
    </row>
    <row r="2031" spans="1:12" x14ac:dyDescent="0.25">
      <c r="A2031" t="s">
        <v>161</v>
      </c>
      <c r="B2031" t="s">
        <v>258</v>
      </c>
      <c r="C2031" t="s">
        <v>264</v>
      </c>
      <c r="D2031" t="str">
        <f t="shared" si="161"/>
        <v>Vintage Cars</v>
      </c>
      <c r="E2031" t="s">
        <v>346</v>
      </c>
      <c r="F2031" s="5">
        <v>1163.05</v>
      </c>
      <c r="G2031" s="5">
        <v>232.61</v>
      </c>
      <c r="I2031" t="str">
        <f t="shared" si="157"/>
        <v>Low Sales</v>
      </c>
      <c r="J2031" t="str">
        <f t="shared" si="158"/>
        <v>Average Performance</v>
      </c>
      <c r="K2031">
        <f t="shared" si="159"/>
        <v>2003</v>
      </c>
      <c r="L2031" t="str">
        <f t="shared" si="160"/>
        <v>November</v>
      </c>
    </row>
    <row r="2032" spans="1:12" x14ac:dyDescent="0.25">
      <c r="A2032" t="s">
        <v>109</v>
      </c>
      <c r="C2032" t="s">
        <v>264</v>
      </c>
      <c r="D2032" t="str">
        <f t="shared" si="161"/>
        <v>Vintage Cars</v>
      </c>
      <c r="E2032" t="s">
        <v>346</v>
      </c>
      <c r="F2032" s="5">
        <v>971.98</v>
      </c>
      <c r="G2032" s="5">
        <v>194.39599999999999</v>
      </c>
      <c r="I2032" t="str">
        <f t="shared" si="157"/>
        <v>Low Sales</v>
      </c>
      <c r="J2032" t="str">
        <f t="shared" si="158"/>
        <v>Average Performance</v>
      </c>
      <c r="K2032">
        <f t="shared" si="159"/>
        <v>2003</v>
      </c>
      <c r="L2032" t="str">
        <f t="shared" si="160"/>
        <v>November</v>
      </c>
    </row>
    <row r="2033" spans="1:12" x14ac:dyDescent="0.25">
      <c r="A2033" t="s">
        <v>176</v>
      </c>
      <c r="B2033" t="s">
        <v>259</v>
      </c>
      <c r="C2033" t="s">
        <v>264</v>
      </c>
      <c r="D2033" t="str">
        <f t="shared" si="161"/>
        <v>Vintage Cars</v>
      </c>
      <c r="E2033" t="s">
        <v>346</v>
      </c>
      <c r="F2033" s="5">
        <v>902.66</v>
      </c>
      <c r="G2033" s="5">
        <v>180.53200000000001</v>
      </c>
      <c r="I2033" t="str">
        <f t="shared" si="157"/>
        <v>Low Sales</v>
      </c>
      <c r="J2033" t="str">
        <f t="shared" si="158"/>
        <v>Average Performance</v>
      </c>
      <c r="K2033">
        <f t="shared" si="159"/>
        <v>2003</v>
      </c>
      <c r="L2033" t="str">
        <f t="shared" si="160"/>
        <v>November</v>
      </c>
    </row>
    <row r="2034" spans="1:12" x14ac:dyDescent="0.25">
      <c r="A2034" t="s">
        <v>111</v>
      </c>
      <c r="C2034" t="s">
        <v>264</v>
      </c>
      <c r="D2034" t="str">
        <f t="shared" si="161"/>
        <v>Vintage Cars</v>
      </c>
      <c r="E2034" t="s">
        <v>346</v>
      </c>
      <c r="F2034" s="5">
        <v>1295.97</v>
      </c>
      <c r="G2034" s="5">
        <v>259.19400000000002</v>
      </c>
      <c r="I2034" t="str">
        <f t="shared" si="157"/>
        <v>Low Sales</v>
      </c>
      <c r="J2034" t="str">
        <f t="shared" si="158"/>
        <v>Average Performance</v>
      </c>
      <c r="K2034">
        <f t="shared" si="159"/>
        <v>2003</v>
      </c>
      <c r="L2034" t="str">
        <f t="shared" si="160"/>
        <v>December</v>
      </c>
    </row>
    <row r="2035" spans="1:12" x14ac:dyDescent="0.25">
      <c r="A2035" t="s">
        <v>206</v>
      </c>
      <c r="B2035" t="s">
        <v>258</v>
      </c>
      <c r="C2035" t="s">
        <v>264</v>
      </c>
      <c r="D2035" t="str">
        <f t="shared" si="161"/>
        <v>Vintage Cars</v>
      </c>
      <c r="E2035" t="s">
        <v>346</v>
      </c>
      <c r="F2035" s="5">
        <v>1534.72</v>
      </c>
      <c r="G2035" s="5">
        <v>306.94400000000002</v>
      </c>
      <c r="I2035" t="str">
        <f t="shared" si="157"/>
        <v>Low Sales</v>
      </c>
      <c r="J2035" t="str">
        <f t="shared" si="158"/>
        <v>Average Performance</v>
      </c>
      <c r="K2035">
        <f t="shared" si="159"/>
        <v>2004</v>
      </c>
      <c r="L2035" t="str">
        <f t="shared" si="160"/>
        <v>January</v>
      </c>
    </row>
    <row r="2036" spans="1:12" x14ac:dyDescent="0.25">
      <c r="A2036" t="s">
        <v>178</v>
      </c>
      <c r="B2036" t="s">
        <v>258</v>
      </c>
      <c r="C2036" t="s">
        <v>264</v>
      </c>
      <c r="D2036" t="str">
        <f t="shared" si="161"/>
        <v>Vintage Cars</v>
      </c>
      <c r="E2036" t="s">
        <v>346</v>
      </c>
      <c r="F2036" s="5">
        <v>1185.3</v>
      </c>
      <c r="G2036" s="5">
        <v>237.06</v>
      </c>
      <c r="I2036" t="str">
        <f t="shared" si="157"/>
        <v>Low Sales</v>
      </c>
      <c r="J2036" t="str">
        <f t="shared" si="158"/>
        <v>Average Performance</v>
      </c>
      <c r="K2036">
        <f t="shared" si="159"/>
        <v>2004</v>
      </c>
      <c r="L2036" t="str">
        <f t="shared" si="160"/>
        <v>March</v>
      </c>
    </row>
    <row r="2037" spans="1:12" x14ac:dyDescent="0.25">
      <c r="A2037" t="s">
        <v>251</v>
      </c>
      <c r="C2037" t="s">
        <v>264</v>
      </c>
      <c r="D2037" t="str">
        <f t="shared" si="161"/>
        <v>Vintage Cars</v>
      </c>
      <c r="E2037" t="s">
        <v>346</v>
      </c>
      <c r="F2037" s="5">
        <v>1698.78</v>
      </c>
      <c r="G2037" s="5">
        <v>339.75599999999997</v>
      </c>
      <c r="I2037" t="str">
        <f t="shared" si="157"/>
        <v>Low Sales</v>
      </c>
      <c r="J2037" t="str">
        <f t="shared" si="158"/>
        <v>Average Performance</v>
      </c>
      <c r="K2037">
        <f t="shared" si="159"/>
        <v>2004</v>
      </c>
      <c r="L2037" t="str">
        <f t="shared" si="160"/>
        <v>April</v>
      </c>
    </row>
    <row r="2038" spans="1:12" x14ac:dyDescent="0.25">
      <c r="A2038" t="s">
        <v>47</v>
      </c>
      <c r="B2038" t="s">
        <v>258</v>
      </c>
      <c r="C2038" t="s">
        <v>264</v>
      </c>
      <c r="D2038" t="str">
        <f t="shared" si="161"/>
        <v>Vintage Cars</v>
      </c>
      <c r="E2038" t="s">
        <v>346</v>
      </c>
      <c r="F2038" s="5">
        <v>1381.05</v>
      </c>
      <c r="G2038" s="5">
        <v>276.20999999999998</v>
      </c>
      <c r="I2038" t="str">
        <f t="shared" si="157"/>
        <v>Low Sales</v>
      </c>
      <c r="J2038" t="str">
        <f t="shared" si="158"/>
        <v>Average Performance</v>
      </c>
      <c r="K2038">
        <f t="shared" si="159"/>
        <v>2004</v>
      </c>
      <c r="L2038" t="str">
        <f t="shared" si="160"/>
        <v>August</v>
      </c>
    </row>
    <row r="2039" spans="1:12" x14ac:dyDescent="0.25">
      <c r="A2039" t="s">
        <v>188</v>
      </c>
      <c r="B2039" t="s">
        <v>259</v>
      </c>
      <c r="C2039" t="s">
        <v>264</v>
      </c>
      <c r="D2039" t="str">
        <f t="shared" si="161"/>
        <v>Vintage Cars</v>
      </c>
      <c r="E2039" t="s">
        <v>346</v>
      </c>
      <c r="F2039" s="5">
        <v>1340.46</v>
      </c>
      <c r="G2039" s="5">
        <v>268.09199999999998</v>
      </c>
      <c r="I2039" t="str">
        <f t="shared" si="157"/>
        <v>Low Sales</v>
      </c>
      <c r="J2039" t="str">
        <f t="shared" si="158"/>
        <v>Average Performance</v>
      </c>
      <c r="K2039">
        <f t="shared" si="159"/>
        <v>2004</v>
      </c>
      <c r="L2039" t="str">
        <f t="shared" si="160"/>
        <v>September</v>
      </c>
    </row>
    <row r="2040" spans="1:12" x14ac:dyDescent="0.25">
      <c r="A2040" t="s">
        <v>210</v>
      </c>
      <c r="B2040" t="s">
        <v>258</v>
      </c>
      <c r="C2040" t="s">
        <v>264</v>
      </c>
      <c r="D2040" t="str">
        <f t="shared" si="161"/>
        <v>Vintage Cars</v>
      </c>
      <c r="E2040" t="s">
        <v>346</v>
      </c>
      <c r="F2040" s="5">
        <v>965.04</v>
      </c>
      <c r="G2040" s="5">
        <v>193.00800000000001</v>
      </c>
      <c r="I2040" t="str">
        <f t="shared" si="157"/>
        <v>Low Sales</v>
      </c>
      <c r="J2040" t="str">
        <f t="shared" si="158"/>
        <v>Average Performance</v>
      </c>
      <c r="K2040">
        <f t="shared" si="159"/>
        <v>2004</v>
      </c>
      <c r="L2040" t="str">
        <f t="shared" si="160"/>
        <v>October</v>
      </c>
    </row>
    <row r="2041" spans="1:12" x14ac:dyDescent="0.25">
      <c r="A2041" t="s">
        <v>50</v>
      </c>
      <c r="C2041" t="s">
        <v>264</v>
      </c>
      <c r="D2041" t="str">
        <f t="shared" si="161"/>
        <v>Vintage Cars</v>
      </c>
      <c r="E2041" t="s">
        <v>346</v>
      </c>
      <c r="F2041" s="5">
        <v>1093.99</v>
      </c>
      <c r="G2041" s="5">
        <v>218.798</v>
      </c>
      <c r="I2041" t="str">
        <f t="shared" si="157"/>
        <v>Low Sales</v>
      </c>
      <c r="J2041" t="str">
        <f t="shared" si="158"/>
        <v>Average Performance</v>
      </c>
      <c r="K2041">
        <f t="shared" si="159"/>
        <v>2004</v>
      </c>
      <c r="L2041" t="str">
        <f t="shared" si="160"/>
        <v>October</v>
      </c>
    </row>
    <row r="2042" spans="1:12" x14ac:dyDescent="0.25">
      <c r="A2042" t="s">
        <v>165</v>
      </c>
      <c r="B2042" t="s">
        <v>258</v>
      </c>
      <c r="C2042" t="s">
        <v>264</v>
      </c>
      <c r="D2042" t="str">
        <f t="shared" si="161"/>
        <v>Vintage Cars</v>
      </c>
      <c r="E2042" t="s">
        <v>346</v>
      </c>
      <c r="F2042" s="5">
        <v>3166.84</v>
      </c>
      <c r="G2042" s="5">
        <v>633.36800000000005</v>
      </c>
      <c r="I2042" t="str">
        <f t="shared" si="157"/>
        <v>Low Sales</v>
      </c>
      <c r="J2042" t="str">
        <f t="shared" si="158"/>
        <v>Average Performance</v>
      </c>
      <c r="K2042">
        <f t="shared" si="159"/>
        <v>2004</v>
      </c>
      <c r="L2042" t="str">
        <f t="shared" si="160"/>
        <v>November</v>
      </c>
    </row>
    <row r="2043" spans="1:12" x14ac:dyDescent="0.25">
      <c r="A2043" t="s">
        <v>53</v>
      </c>
      <c r="C2043" t="s">
        <v>264</v>
      </c>
      <c r="D2043" t="str">
        <f t="shared" si="161"/>
        <v>Vintage Cars</v>
      </c>
      <c r="E2043" t="s">
        <v>346</v>
      </c>
      <c r="F2043" s="5">
        <v>2143.6799999999998</v>
      </c>
      <c r="G2043" s="5">
        <v>428.73599999999999</v>
      </c>
      <c r="I2043" t="str">
        <f t="shared" si="157"/>
        <v>Low Sales</v>
      </c>
      <c r="J2043" t="str">
        <f t="shared" si="158"/>
        <v>Average Performance</v>
      </c>
      <c r="K2043">
        <f t="shared" si="159"/>
        <v>2004</v>
      </c>
      <c r="L2043" t="str">
        <f t="shared" si="160"/>
        <v>November</v>
      </c>
    </row>
    <row r="2044" spans="1:12" x14ac:dyDescent="0.25">
      <c r="A2044" t="s">
        <v>247</v>
      </c>
      <c r="C2044" t="s">
        <v>264</v>
      </c>
      <c r="D2044" t="str">
        <f t="shared" si="161"/>
        <v>Vintage Cars</v>
      </c>
      <c r="E2044" t="s">
        <v>346</v>
      </c>
      <c r="F2044" s="5">
        <v>1717.64</v>
      </c>
      <c r="G2044" s="5">
        <v>343.52800000000002</v>
      </c>
      <c r="I2044" t="str">
        <f t="shared" si="157"/>
        <v>Low Sales</v>
      </c>
      <c r="J2044" t="str">
        <f t="shared" si="158"/>
        <v>Average Performance</v>
      </c>
      <c r="K2044">
        <f t="shared" si="159"/>
        <v>2005</v>
      </c>
      <c r="L2044" t="str">
        <f t="shared" si="160"/>
        <v>January</v>
      </c>
    </row>
    <row r="2045" spans="1:12" x14ac:dyDescent="0.25">
      <c r="A2045" t="s">
        <v>182</v>
      </c>
      <c r="B2045" t="s">
        <v>258</v>
      </c>
      <c r="C2045" t="s">
        <v>264</v>
      </c>
      <c r="D2045" t="str">
        <f t="shared" si="161"/>
        <v>Vintage Cars</v>
      </c>
      <c r="E2045" t="s">
        <v>346</v>
      </c>
      <c r="F2045" s="5">
        <v>4086.29</v>
      </c>
      <c r="G2045" s="5">
        <v>817.25800000000004</v>
      </c>
      <c r="I2045" t="str">
        <f t="shared" si="157"/>
        <v>Low Sales</v>
      </c>
      <c r="J2045" t="str">
        <f t="shared" si="158"/>
        <v>Average Performance</v>
      </c>
      <c r="K2045">
        <f t="shared" si="159"/>
        <v>2005</v>
      </c>
      <c r="L2045" t="str">
        <f t="shared" si="160"/>
        <v>February</v>
      </c>
    </row>
    <row r="2046" spans="1:12" x14ac:dyDescent="0.25">
      <c r="A2046" t="s">
        <v>191</v>
      </c>
      <c r="B2046" t="s">
        <v>260</v>
      </c>
      <c r="C2046" t="s">
        <v>264</v>
      </c>
      <c r="D2046" t="str">
        <f t="shared" si="161"/>
        <v>Vintage Cars</v>
      </c>
      <c r="E2046" t="s">
        <v>346</v>
      </c>
      <c r="F2046" s="5">
        <v>553.95000000000005</v>
      </c>
      <c r="G2046" s="5">
        <v>110.79</v>
      </c>
      <c r="I2046" t="str">
        <f t="shared" si="157"/>
        <v>Low Sales</v>
      </c>
      <c r="J2046" t="str">
        <f t="shared" si="158"/>
        <v>Average Performance</v>
      </c>
      <c r="K2046">
        <f t="shared" si="159"/>
        <v>2005</v>
      </c>
      <c r="L2046" t="str">
        <f t="shared" si="160"/>
        <v>April</v>
      </c>
    </row>
    <row r="2047" spans="1:12" x14ac:dyDescent="0.25">
      <c r="A2047" t="s">
        <v>208</v>
      </c>
      <c r="B2047" t="s">
        <v>259</v>
      </c>
      <c r="C2047" t="s">
        <v>264</v>
      </c>
      <c r="D2047" t="str">
        <f t="shared" si="161"/>
        <v>Vintage Cars</v>
      </c>
      <c r="E2047" t="s">
        <v>346</v>
      </c>
      <c r="F2047" s="5">
        <v>652.35</v>
      </c>
      <c r="G2047" s="5">
        <v>130.47</v>
      </c>
      <c r="I2047" t="str">
        <f t="shared" si="157"/>
        <v>Low Sales</v>
      </c>
      <c r="J2047" t="str">
        <f t="shared" si="158"/>
        <v>Average Performance</v>
      </c>
      <c r="K2047">
        <f t="shared" si="159"/>
        <v>2005</v>
      </c>
      <c r="L2047" t="str">
        <f t="shared" si="160"/>
        <v>May</v>
      </c>
    </row>
    <row r="2048" spans="1:12" x14ac:dyDescent="0.25">
      <c r="A2048" t="s">
        <v>140</v>
      </c>
      <c r="B2048" t="s">
        <v>258</v>
      </c>
      <c r="C2048" t="s">
        <v>262</v>
      </c>
      <c r="D2048" t="str">
        <f t="shared" si="161"/>
        <v>Classic Cars</v>
      </c>
      <c r="E2048" t="s">
        <v>347</v>
      </c>
      <c r="F2048" s="5">
        <v>2921.62</v>
      </c>
      <c r="G2048" s="5">
        <v>584.32399999999996</v>
      </c>
      <c r="I2048" t="str">
        <f t="shared" si="157"/>
        <v>Low Sales</v>
      </c>
      <c r="J2048" t="str">
        <f t="shared" si="158"/>
        <v>Average Performance</v>
      </c>
      <c r="K2048">
        <f t="shared" si="159"/>
        <v>2003</v>
      </c>
      <c r="L2048" t="str">
        <f t="shared" si="160"/>
        <v>January</v>
      </c>
    </row>
    <row r="2049" spans="1:12" x14ac:dyDescent="0.25">
      <c r="A2049" t="s">
        <v>149</v>
      </c>
      <c r="C2049" t="s">
        <v>262</v>
      </c>
      <c r="D2049" t="str">
        <f t="shared" si="161"/>
        <v>Classic Cars</v>
      </c>
      <c r="E2049" t="s">
        <v>347</v>
      </c>
      <c r="F2049" s="5">
        <v>5568.64</v>
      </c>
      <c r="G2049" s="5">
        <v>1113.7280000000001</v>
      </c>
      <c r="I2049" t="str">
        <f t="shared" si="157"/>
        <v>Low Sales</v>
      </c>
      <c r="J2049" t="str">
        <f t="shared" si="158"/>
        <v>Average Performance</v>
      </c>
      <c r="K2049">
        <f t="shared" si="159"/>
        <v>2003</v>
      </c>
      <c r="L2049" t="str">
        <f t="shared" si="160"/>
        <v>April</v>
      </c>
    </row>
    <row r="2050" spans="1:12" x14ac:dyDescent="0.25">
      <c r="A2050" t="s">
        <v>124</v>
      </c>
      <c r="C2050" t="s">
        <v>262</v>
      </c>
      <c r="D2050" t="str">
        <f t="shared" si="161"/>
        <v>Classic Cars</v>
      </c>
      <c r="E2050" t="s">
        <v>347</v>
      </c>
      <c r="F2050" s="5">
        <v>1939.8</v>
      </c>
      <c r="G2050" s="5">
        <v>387.96</v>
      </c>
      <c r="I2050" t="str">
        <f t="shared" si="157"/>
        <v>Low Sales</v>
      </c>
      <c r="J2050" t="str">
        <f t="shared" si="158"/>
        <v>Average Performance</v>
      </c>
      <c r="K2050">
        <f t="shared" si="159"/>
        <v>2003</v>
      </c>
      <c r="L2050" t="str">
        <f t="shared" si="160"/>
        <v>June</v>
      </c>
    </row>
    <row r="2051" spans="1:12" x14ac:dyDescent="0.25">
      <c r="A2051" t="s">
        <v>150</v>
      </c>
      <c r="B2051" t="s">
        <v>258</v>
      </c>
      <c r="C2051" t="s">
        <v>262</v>
      </c>
      <c r="D2051" t="str">
        <f t="shared" si="161"/>
        <v>Classic Cars</v>
      </c>
      <c r="E2051" t="s">
        <v>347</v>
      </c>
      <c r="F2051" s="5">
        <v>3784.8</v>
      </c>
      <c r="G2051" s="5">
        <v>756.96</v>
      </c>
      <c r="I2051" t="str">
        <f t="shared" ref="I2051:I2114" si="162">IF(F2051&gt;50000,"High Sales","Low Sales")</f>
        <v>Low Sales</v>
      </c>
      <c r="J2051" t="str">
        <f t="shared" ref="J2051:J2114" si="163">IF(AND(F2051&gt;30000,G2051&gt;5000),"Good Performance","Average Performance")</f>
        <v>Average Performance</v>
      </c>
      <c r="K2051">
        <f t="shared" ref="K2051:K2114" si="164">YEAR(A2051)</f>
        <v>2003</v>
      </c>
      <c r="L2051" t="str">
        <f t="shared" ref="L2051:L2114" si="165">TEXT(A2051,"mmmm")</f>
        <v>August</v>
      </c>
    </row>
    <row r="2052" spans="1:12" x14ac:dyDescent="0.25">
      <c r="A2052" t="s">
        <v>241</v>
      </c>
      <c r="B2052" t="s">
        <v>259</v>
      </c>
      <c r="C2052" t="s">
        <v>262</v>
      </c>
      <c r="D2052" t="str">
        <f t="shared" si="161"/>
        <v>Classic Cars</v>
      </c>
      <c r="E2052" t="s">
        <v>347</v>
      </c>
      <c r="F2052" s="5">
        <v>2802.09</v>
      </c>
      <c r="G2052" s="5">
        <v>560.41800000000001</v>
      </c>
      <c r="I2052" t="str">
        <f t="shared" si="162"/>
        <v>Low Sales</v>
      </c>
      <c r="J2052" t="str">
        <f t="shared" si="163"/>
        <v>Average Performance</v>
      </c>
      <c r="K2052">
        <f t="shared" si="164"/>
        <v>2003</v>
      </c>
      <c r="L2052" t="str">
        <f t="shared" si="165"/>
        <v>September</v>
      </c>
    </row>
    <row r="2053" spans="1:12" x14ac:dyDescent="0.25">
      <c r="A2053" t="s">
        <v>127</v>
      </c>
      <c r="B2053" t="s">
        <v>260</v>
      </c>
      <c r="C2053" t="s">
        <v>262</v>
      </c>
      <c r="D2053" t="str">
        <f t="shared" si="161"/>
        <v>Classic Cars</v>
      </c>
      <c r="E2053" t="s">
        <v>347</v>
      </c>
      <c r="F2053" s="5">
        <v>2384.64</v>
      </c>
      <c r="G2053" s="5">
        <v>476.928</v>
      </c>
      <c r="I2053" t="str">
        <f t="shared" si="162"/>
        <v>Low Sales</v>
      </c>
      <c r="J2053" t="str">
        <f t="shared" si="163"/>
        <v>Average Performance</v>
      </c>
      <c r="K2053">
        <f t="shared" si="164"/>
        <v>2003</v>
      </c>
      <c r="L2053" t="str">
        <f t="shared" si="165"/>
        <v>October</v>
      </c>
    </row>
    <row r="2054" spans="1:12" x14ac:dyDescent="0.25">
      <c r="A2054" t="s">
        <v>38</v>
      </c>
      <c r="B2054" t="s">
        <v>258</v>
      </c>
      <c r="C2054" t="s">
        <v>262</v>
      </c>
      <c r="D2054" t="str">
        <f t="shared" si="161"/>
        <v>Classic Cars</v>
      </c>
      <c r="E2054" t="s">
        <v>347</v>
      </c>
      <c r="F2054" s="5">
        <v>2915.66</v>
      </c>
      <c r="G2054" s="5">
        <v>583.13199999999995</v>
      </c>
      <c r="I2054" t="str">
        <f t="shared" si="162"/>
        <v>Low Sales</v>
      </c>
      <c r="J2054" t="str">
        <f t="shared" si="163"/>
        <v>Average Performance</v>
      </c>
      <c r="K2054">
        <f t="shared" si="164"/>
        <v>2003</v>
      </c>
      <c r="L2054" t="str">
        <f t="shared" si="165"/>
        <v>November</v>
      </c>
    </row>
    <row r="2055" spans="1:12" x14ac:dyDescent="0.25">
      <c r="A2055" t="s">
        <v>75</v>
      </c>
      <c r="B2055" t="s">
        <v>258</v>
      </c>
      <c r="C2055" t="s">
        <v>262</v>
      </c>
      <c r="D2055" t="str">
        <f t="shared" si="161"/>
        <v>Classic Cars</v>
      </c>
      <c r="E2055" t="s">
        <v>347</v>
      </c>
      <c r="F2055" s="5">
        <v>5795.72</v>
      </c>
      <c r="G2055" s="5">
        <v>1159.144</v>
      </c>
      <c r="I2055" t="str">
        <f t="shared" si="162"/>
        <v>Low Sales</v>
      </c>
      <c r="J2055" t="str">
        <f t="shared" si="163"/>
        <v>Average Performance</v>
      </c>
      <c r="K2055">
        <f t="shared" si="164"/>
        <v>2003</v>
      </c>
      <c r="L2055" t="str">
        <f t="shared" si="165"/>
        <v>November</v>
      </c>
    </row>
    <row r="2056" spans="1:12" x14ac:dyDescent="0.25">
      <c r="A2056" t="s">
        <v>40</v>
      </c>
      <c r="C2056" t="s">
        <v>262</v>
      </c>
      <c r="D2056" t="str">
        <f t="shared" si="161"/>
        <v>Classic Cars</v>
      </c>
      <c r="E2056" t="s">
        <v>347</v>
      </c>
      <c r="F2056" s="5">
        <v>3699.88</v>
      </c>
      <c r="G2056" s="5">
        <v>739.97600000000011</v>
      </c>
      <c r="I2056" t="str">
        <f t="shared" si="162"/>
        <v>Low Sales</v>
      </c>
      <c r="J2056" t="str">
        <f t="shared" si="163"/>
        <v>Average Performance</v>
      </c>
      <c r="K2056">
        <f t="shared" si="164"/>
        <v>2003</v>
      </c>
      <c r="L2056" t="str">
        <f t="shared" si="165"/>
        <v>November</v>
      </c>
    </row>
    <row r="2057" spans="1:12" x14ac:dyDescent="0.25">
      <c r="A2057" t="s">
        <v>97</v>
      </c>
      <c r="C2057" t="s">
        <v>262</v>
      </c>
      <c r="D2057" t="str">
        <f t="shared" si="161"/>
        <v>Classic Cars</v>
      </c>
      <c r="E2057" t="s">
        <v>347</v>
      </c>
      <c r="F2057" s="5">
        <v>2980.6</v>
      </c>
      <c r="G2057" s="5">
        <v>596.12</v>
      </c>
      <c r="I2057" t="str">
        <f t="shared" si="162"/>
        <v>Low Sales</v>
      </c>
      <c r="J2057" t="str">
        <f t="shared" si="163"/>
        <v>Average Performance</v>
      </c>
      <c r="K2057">
        <f t="shared" si="164"/>
        <v>2003</v>
      </c>
      <c r="L2057" t="str">
        <f t="shared" si="165"/>
        <v>December</v>
      </c>
    </row>
    <row r="2058" spans="1:12" x14ac:dyDescent="0.25">
      <c r="A2058" t="s">
        <v>129</v>
      </c>
      <c r="B2058" t="s">
        <v>258</v>
      </c>
      <c r="C2058" t="s">
        <v>262</v>
      </c>
      <c r="D2058" t="str">
        <f t="shared" si="161"/>
        <v>Classic Cars</v>
      </c>
      <c r="E2058" t="s">
        <v>347</v>
      </c>
      <c r="F2058" s="5">
        <v>5032.74</v>
      </c>
      <c r="G2058" s="5">
        <v>1006.548</v>
      </c>
      <c r="I2058" t="str">
        <f t="shared" si="162"/>
        <v>Low Sales</v>
      </c>
      <c r="J2058" t="str">
        <f t="shared" si="163"/>
        <v>Average Performance</v>
      </c>
      <c r="K2058">
        <f t="shared" si="164"/>
        <v>2004</v>
      </c>
      <c r="L2058" t="str">
        <f t="shared" si="165"/>
        <v>February</v>
      </c>
    </row>
    <row r="2059" spans="1:12" x14ac:dyDescent="0.25">
      <c r="A2059" t="s">
        <v>141</v>
      </c>
      <c r="B2059" t="s">
        <v>258</v>
      </c>
      <c r="C2059" t="s">
        <v>262</v>
      </c>
      <c r="D2059" t="str">
        <f t="shared" si="161"/>
        <v>Classic Cars</v>
      </c>
      <c r="E2059" t="s">
        <v>347</v>
      </c>
      <c r="F2059" s="5">
        <v>4737.1499999999996</v>
      </c>
      <c r="G2059" s="5">
        <v>947.43</v>
      </c>
      <c r="I2059" t="str">
        <f t="shared" si="162"/>
        <v>Low Sales</v>
      </c>
      <c r="J2059" t="str">
        <f t="shared" si="163"/>
        <v>Average Performance</v>
      </c>
      <c r="K2059">
        <f t="shared" si="164"/>
        <v>2004</v>
      </c>
      <c r="L2059" t="str">
        <f t="shared" si="165"/>
        <v>March</v>
      </c>
    </row>
    <row r="2060" spans="1:12" x14ac:dyDescent="0.25">
      <c r="A2060" t="s">
        <v>131</v>
      </c>
      <c r="B2060" t="s">
        <v>258</v>
      </c>
      <c r="C2060" t="s">
        <v>262</v>
      </c>
      <c r="D2060" t="str">
        <f t="shared" si="161"/>
        <v>Classic Cars</v>
      </c>
      <c r="E2060" t="s">
        <v>347</v>
      </c>
      <c r="F2060" s="5">
        <v>6311.2</v>
      </c>
      <c r="G2060" s="5">
        <v>1262.24</v>
      </c>
      <c r="I2060" t="str">
        <f t="shared" si="162"/>
        <v>Low Sales</v>
      </c>
      <c r="J2060" t="str">
        <f t="shared" si="163"/>
        <v>Average Performance</v>
      </c>
      <c r="K2060">
        <f t="shared" si="164"/>
        <v>2004</v>
      </c>
      <c r="L2060" t="str">
        <f t="shared" si="165"/>
        <v>May</v>
      </c>
    </row>
    <row r="2061" spans="1:12" x14ac:dyDescent="0.25">
      <c r="A2061" t="s">
        <v>132</v>
      </c>
      <c r="C2061" t="s">
        <v>262</v>
      </c>
      <c r="D2061" t="str">
        <f t="shared" si="161"/>
        <v>Classic Cars</v>
      </c>
      <c r="E2061" t="s">
        <v>347</v>
      </c>
      <c r="F2061" s="5">
        <v>3070.54</v>
      </c>
      <c r="G2061" s="5">
        <v>614.10800000000006</v>
      </c>
      <c r="I2061" t="str">
        <f t="shared" si="162"/>
        <v>Low Sales</v>
      </c>
      <c r="J2061" t="str">
        <f t="shared" si="163"/>
        <v>Average Performance</v>
      </c>
      <c r="K2061">
        <f t="shared" si="164"/>
        <v>2004</v>
      </c>
      <c r="L2061" t="str">
        <f t="shared" si="165"/>
        <v>July</v>
      </c>
    </row>
    <row r="2062" spans="1:12" x14ac:dyDescent="0.25">
      <c r="A2062" t="s">
        <v>82</v>
      </c>
      <c r="C2062" t="s">
        <v>262</v>
      </c>
      <c r="D2062" t="str">
        <f t="shared" si="161"/>
        <v>Classic Cars</v>
      </c>
      <c r="E2062" t="s">
        <v>347</v>
      </c>
      <c r="F2062" s="5">
        <v>4797.3900000000003</v>
      </c>
      <c r="G2062" s="5">
        <v>959.47800000000007</v>
      </c>
      <c r="I2062" t="str">
        <f t="shared" si="162"/>
        <v>Low Sales</v>
      </c>
      <c r="J2062" t="str">
        <f t="shared" si="163"/>
        <v>Average Performance</v>
      </c>
      <c r="K2062">
        <f t="shared" si="164"/>
        <v>2004</v>
      </c>
      <c r="L2062" t="str">
        <f t="shared" si="165"/>
        <v>August</v>
      </c>
    </row>
    <row r="2063" spans="1:12" x14ac:dyDescent="0.25">
      <c r="A2063" t="s">
        <v>48</v>
      </c>
      <c r="C2063" t="s">
        <v>262</v>
      </c>
      <c r="D2063" t="str">
        <f t="shared" si="161"/>
        <v>Classic Cars</v>
      </c>
      <c r="E2063" t="s">
        <v>347</v>
      </c>
      <c r="F2063" s="5">
        <v>3832.38</v>
      </c>
      <c r="G2063" s="5">
        <v>766.47600000000011</v>
      </c>
      <c r="I2063" t="str">
        <f t="shared" si="162"/>
        <v>Low Sales</v>
      </c>
      <c r="J2063" t="str">
        <f t="shared" si="163"/>
        <v>Average Performance</v>
      </c>
      <c r="K2063">
        <f t="shared" si="164"/>
        <v>2004</v>
      </c>
      <c r="L2063" t="str">
        <f t="shared" si="165"/>
        <v>September</v>
      </c>
    </row>
    <row r="2064" spans="1:12" x14ac:dyDescent="0.25">
      <c r="A2064" t="s">
        <v>101</v>
      </c>
      <c r="C2064" t="s">
        <v>262</v>
      </c>
      <c r="D2064" t="str">
        <f t="shared" si="161"/>
        <v>Classic Cars</v>
      </c>
      <c r="E2064" t="s">
        <v>347</v>
      </c>
      <c r="F2064" s="5">
        <v>4641.4799999999996</v>
      </c>
      <c r="G2064" s="5">
        <v>928.29599999999994</v>
      </c>
      <c r="I2064" t="str">
        <f t="shared" si="162"/>
        <v>Low Sales</v>
      </c>
      <c r="J2064" t="str">
        <f t="shared" si="163"/>
        <v>Average Performance</v>
      </c>
      <c r="K2064">
        <f t="shared" si="164"/>
        <v>2004</v>
      </c>
      <c r="L2064" t="str">
        <f t="shared" si="165"/>
        <v>October</v>
      </c>
    </row>
    <row r="2065" spans="1:12" x14ac:dyDescent="0.25">
      <c r="A2065" t="s">
        <v>102</v>
      </c>
      <c r="B2065" t="s">
        <v>258</v>
      </c>
      <c r="C2065" t="s">
        <v>262</v>
      </c>
      <c r="D2065" t="str">
        <f t="shared" si="161"/>
        <v>Classic Cars</v>
      </c>
      <c r="E2065" t="s">
        <v>347</v>
      </c>
      <c r="F2065" s="5">
        <v>4000.26</v>
      </c>
      <c r="G2065" s="5">
        <v>800.05200000000013</v>
      </c>
      <c r="I2065" t="str">
        <f t="shared" si="162"/>
        <v>Low Sales</v>
      </c>
      <c r="J2065" t="str">
        <f t="shared" si="163"/>
        <v>Average Performance</v>
      </c>
      <c r="K2065">
        <f t="shared" si="164"/>
        <v>2004</v>
      </c>
      <c r="L2065" t="str">
        <f t="shared" si="165"/>
        <v>October</v>
      </c>
    </row>
    <row r="2066" spans="1:12" x14ac:dyDescent="0.25">
      <c r="A2066" t="s">
        <v>86</v>
      </c>
      <c r="B2066" t="s">
        <v>258</v>
      </c>
      <c r="C2066" t="s">
        <v>262</v>
      </c>
      <c r="D2066" t="str">
        <f t="shared" si="161"/>
        <v>Classic Cars</v>
      </c>
      <c r="E2066" t="s">
        <v>347</v>
      </c>
      <c r="F2066" s="5">
        <v>5325.76</v>
      </c>
      <c r="G2066" s="5">
        <v>1065.152</v>
      </c>
      <c r="I2066" t="str">
        <f t="shared" si="162"/>
        <v>Low Sales</v>
      </c>
      <c r="J2066" t="str">
        <f t="shared" si="163"/>
        <v>Average Performance</v>
      </c>
      <c r="K2066">
        <f t="shared" si="164"/>
        <v>2004</v>
      </c>
      <c r="L2066" t="str">
        <f t="shared" si="165"/>
        <v>November</v>
      </c>
    </row>
    <row r="2067" spans="1:12" x14ac:dyDescent="0.25">
      <c r="A2067" t="s">
        <v>134</v>
      </c>
      <c r="B2067" t="s">
        <v>258</v>
      </c>
      <c r="C2067" t="s">
        <v>262</v>
      </c>
      <c r="D2067" t="str">
        <f t="shared" si="161"/>
        <v>Classic Cars</v>
      </c>
      <c r="E2067" t="s">
        <v>347</v>
      </c>
      <c r="F2067" s="5">
        <v>4618.6899999999996</v>
      </c>
      <c r="G2067" s="5">
        <v>923.73799999999994</v>
      </c>
      <c r="I2067" t="str">
        <f t="shared" si="162"/>
        <v>Low Sales</v>
      </c>
      <c r="J2067" t="str">
        <f t="shared" si="163"/>
        <v>Average Performance</v>
      </c>
      <c r="K2067">
        <f t="shared" si="164"/>
        <v>2004</v>
      </c>
      <c r="L2067" t="str">
        <f t="shared" si="165"/>
        <v>November</v>
      </c>
    </row>
    <row r="2068" spans="1:12" x14ac:dyDescent="0.25">
      <c r="A2068" t="s">
        <v>146</v>
      </c>
      <c r="C2068" t="s">
        <v>262</v>
      </c>
      <c r="D2068" t="str">
        <f t="shared" ref="D2068:D2131" si="166">PROPER(TRIM(C2068))</f>
        <v>Classic Cars</v>
      </c>
      <c r="E2068" t="s">
        <v>347</v>
      </c>
      <c r="F2068" s="5">
        <v>3182.97</v>
      </c>
      <c r="G2068" s="5">
        <v>636.59400000000005</v>
      </c>
      <c r="I2068" t="str">
        <f t="shared" si="162"/>
        <v>Low Sales</v>
      </c>
      <c r="J2068" t="str">
        <f t="shared" si="163"/>
        <v>Average Performance</v>
      </c>
      <c r="K2068">
        <f t="shared" si="164"/>
        <v>2004</v>
      </c>
      <c r="L2068" t="str">
        <f t="shared" si="165"/>
        <v>December</v>
      </c>
    </row>
    <row r="2069" spans="1:12" x14ac:dyDescent="0.25">
      <c r="A2069" t="s">
        <v>89</v>
      </c>
      <c r="B2069" t="s">
        <v>258</v>
      </c>
      <c r="C2069" t="s">
        <v>262</v>
      </c>
      <c r="D2069" t="str">
        <f t="shared" si="166"/>
        <v>Classic Cars</v>
      </c>
      <c r="E2069" t="s">
        <v>347</v>
      </c>
      <c r="F2069" s="5">
        <v>2603.04</v>
      </c>
      <c r="G2069" s="5">
        <v>520.60800000000006</v>
      </c>
      <c r="I2069" t="str">
        <f t="shared" si="162"/>
        <v>Low Sales</v>
      </c>
      <c r="J2069" t="str">
        <f t="shared" si="163"/>
        <v>Average Performance</v>
      </c>
      <c r="K2069">
        <f t="shared" si="164"/>
        <v>2004</v>
      </c>
      <c r="L2069" t="str">
        <f t="shared" si="165"/>
        <v>December</v>
      </c>
    </row>
    <row r="2070" spans="1:12" x14ac:dyDescent="0.25">
      <c r="A2070" t="s">
        <v>135</v>
      </c>
      <c r="C2070" t="s">
        <v>262</v>
      </c>
      <c r="D2070" t="str">
        <f t="shared" si="166"/>
        <v>Classic Cars</v>
      </c>
      <c r="E2070" t="s">
        <v>347</v>
      </c>
      <c r="F2070" s="5">
        <v>1408.96</v>
      </c>
      <c r="G2070" s="5">
        <v>281.79199999999997</v>
      </c>
      <c r="I2070" t="str">
        <f t="shared" si="162"/>
        <v>Low Sales</v>
      </c>
      <c r="J2070" t="str">
        <f t="shared" si="163"/>
        <v>Average Performance</v>
      </c>
      <c r="K2070">
        <f t="shared" si="164"/>
        <v>2005</v>
      </c>
      <c r="L2070" t="str">
        <f t="shared" si="165"/>
        <v>January</v>
      </c>
    </row>
    <row r="2071" spans="1:12" x14ac:dyDescent="0.25">
      <c r="A2071" t="s">
        <v>211</v>
      </c>
      <c r="B2071" t="s">
        <v>258</v>
      </c>
      <c r="C2071" t="s">
        <v>262</v>
      </c>
      <c r="D2071" t="str">
        <f t="shared" si="166"/>
        <v>Classic Cars</v>
      </c>
      <c r="E2071" t="s">
        <v>347</v>
      </c>
      <c r="F2071" s="5">
        <v>1972.11</v>
      </c>
      <c r="G2071" s="5">
        <v>394.42200000000003</v>
      </c>
      <c r="I2071" t="str">
        <f t="shared" si="162"/>
        <v>Low Sales</v>
      </c>
      <c r="J2071" t="str">
        <f t="shared" si="163"/>
        <v>Average Performance</v>
      </c>
      <c r="K2071">
        <f t="shared" si="164"/>
        <v>2005</v>
      </c>
      <c r="L2071" t="str">
        <f t="shared" si="165"/>
        <v>February</v>
      </c>
    </row>
    <row r="2072" spans="1:12" x14ac:dyDescent="0.25">
      <c r="A2072" t="s">
        <v>228</v>
      </c>
      <c r="B2072" t="s">
        <v>258</v>
      </c>
      <c r="C2072" t="s">
        <v>262</v>
      </c>
      <c r="D2072" t="str">
        <f t="shared" si="166"/>
        <v>Classic Cars</v>
      </c>
      <c r="E2072" t="s">
        <v>347</v>
      </c>
      <c r="F2072" s="5">
        <v>5207.75</v>
      </c>
      <c r="G2072" s="5">
        <v>1041.55</v>
      </c>
      <c r="I2072" t="str">
        <f t="shared" si="162"/>
        <v>Low Sales</v>
      </c>
      <c r="J2072" t="str">
        <f t="shared" si="163"/>
        <v>Average Performance</v>
      </c>
      <c r="K2072">
        <f t="shared" si="164"/>
        <v>2005</v>
      </c>
      <c r="L2072" t="str">
        <f t="shared" si="165"/>
        <v>March</v>
      </c>
    </row>
    <row r="2073" spans="1:12" x14ac:dyDescent="0.25">
      <c r="A2073" t="s">
        <v>153</v>
      </c>
      <c r="B2073" t="s">
        <v>258</v>
      </c>
      <c r="C2073" t="s">
        <v>262</v>
      </c>
      <c r="D2073" t="str">
        <f t="shared" si="166"/>
        <v>Classic Cars</v>
      </c>
      <c r="E2073" t="s">
        <v>347</v>
      </c>
      <c r="F2073" s="5">
        <v>4253.2</v>
      </c>
      <c r="G2073" s="5">
        <v>850.64</v>
      </c>
      <c r="I2073" t="str">
        <f t="shared" si="162"/>
        <v>Low Sales</v>
      </c>
      <c r="J2073" t="str">
        <f t="shared" si="163"/>
        <v>Average Performance</v>
      </c>
      <c r="K2073">
        <f t="shared" si="164"/>
        <v>2005</v>
      </c>
      <c r="L2073" t="str">
        <f t="shared" si="165"/>
        <v>May</v>
      </c>
    </row>
    <row r="2074" spans="1:12" x14ac:dyDescent="0.25">
      <c r="A2074" t="s">
        <v>32</v>
      </c>
      <c r="B2074" t="s">
        <v>258</v>
      </c>
      <c r="C2074" t="s">
        <v>264</v>
      </c>
      <c r="D2074" t="str">
        <f t="shared" si="166"/>
        <v>Vintage Cars</v>
      </c>
      <c r="E2074" t="s">
        <v>348</v>
      </c>
      <c r="F2074" s="5">
        <v>2873</v>
      </c>
      <c r="G2074" s="5">
        <v>574.6</v>
      </c>
      <c r="I2074" t="str">
        <f t="shared" si="162"/>
        <v>Low Sales</v>
      </c>
      <c r="J2074" t="str">
        <f t="shared" si="163"/>
        <v>Average Performance</v>
      </c>
      <c r="K2074">
        <f t="shared" si="164"/>
        <v>2003</v>
      </c>
      <c r="L2074" t="str">
        <f t="shared" si="165"/>
        <v>January</v>
      </c>
    </row>
    <row r="2075" spans="1:12" x14ac:dyDescent="0.25">
      <c r="A2075" t="s">
        <v>171</v>
      </c>
      <c r="C2075" t="s">
        <v>264</v>
      </c>
      <c r="D2075" t="str">
        <f t="shared" si="166"/>
        <v>Vintage Cars</v>
      </c>
      <c r="E2075" t="s">
        <v>348</v>
      </c>
      <c r="F2075" s="5">
        <v>2253.6799999999998</v>
      </c>
      <c r="G2075" s="5">
        <v>450.73599999999999</v>
      </c>
      <c r="I2075" t="str">
        <f t="shared" si="162"/>
        <v>Low Sales</v>
      </c>
      <c r="J2075" t="str">
        <f t="shared" si="163"/>
        <v>Average Performance</v>
      </c>
      <c r="K2075">
        <f t="shared" si="164"/>
        <v>2003</v>
      </c>
      <c r="L2075" t="str">
        <f t="shared" si="165"/>
        <v>March</v>
      </c>
    </row>
    <row r="2076" spans="1:12" x14ac:dyDescent="0.25">
      <c r="A2076" t="s">
        <v>34</v>
      </c>
      <c r="B2076" t="s">
        <v>258</v>
      </c>
      <c r="C2076" t="s">
        <v>264</v>
      </c>
      <c r="D2076" t="str">
        <f t="shared" si="166"/>
        <v>Vintage Cars</v>
      </c>
      <c r="E2076" t="s">
        <v>348</v>
      </c>
      <c r="F2076" s="5">
        <v>3576.12</v>
      </c>
      <c r="G2076" s="5">
        <v>715.22400000000005</v>
      </c>
      <c r="I2076" t="str">
        <f t="shared" si="162"/>
        <v>Low Sales</v>
      </c>
      <c r="J2076" t="str">
        <f t="shared" si="163"/>
        <v>Average Performance</v>
      </c>
      <c r="K2076">
        <f t="shared" si="164"/>
        <v>2003</v>
      </c>
      <c r="L2076" t="str">
        <f t="shared" si="165"/>
        <v>May</v>
      </c>
    </row>
    <row r="2077" spans="1:12" x14ac:dyDescent="0.25">
      <c r="A2077" t="s">
        <v>173</v>
      </c>
      <c r="B2077" t="s">
        <v>259</v>
      </c>
      <c r="C2077" t="s">
        <v>264</v>
      </c>
      <c r="D2077" t="str">
        <f t="shared" si="166"/>
        <v>Vintage Cars</v>
      </c>
      <c r="E2077" t="s">
        <v>348</v>
      </c>
      <c r="F2077" s="5">
        <v>3276.13</v>
      </c>
      <c r="G2077" s="5">
        <v>655.22600000000011</v>
      </c>
      <c r="I2077" t="str">
        <f t="shared" si="162"/>
        <v>Low Sales</v>
      </c>
      <c r="J2077" t="str">
        <f t="shared" si="163"/>
        <v>Average Performance</v>
      </c>
      <c r="K2077">
        <f t="shared" si="164"/>
        <v>2003</v>
      </c>
      <c r="L2077" t="str">
        <f t="shared" si="165"/>
        <v>July</v>
      </c>
    </row>
    <row r="2078" spans="1:12" x14ac:dyDescent="0.25">
      <c r="A2078" t="s">
        <v>174</v>
      </c>
      <c r="C2078" t="s">
        <v>264</v>
      </c>
      <c r="D2078" t="str">
        <f t="shared" si="166"/>
        <v>Vintage Cars</v>
      </c>
      <c r="E2078" t="s">
        <v>348</v>
      </c>
      <c r="F2078" s="5">
        <v>1811.4</v>
      </c>
      <c r="G2078" s="5">
        <v>362.28</v>
      </c>
      <c r="I2078" t="str">
        <f t="shared" si="162"/>
        <v>Low Sales</v>
      </c>
      <c r="J2078" t="str">
        <f t="shared" si="163"/>
        <v>Average Performance</v>
      </c>
      <c r="K2078">
        <f t="shared" si="164"/>
        <v>2003</v>
      </c>
      <c r="L2078" t="str">
        <f t="shared" si="165"/>
        <v>September</v>
      </c>
    </row>
    <row r="2079" spans="1:12" x14ac:dyDescent="0.25">
      <c r="A2079" t="s">
        <v>37</v>
      </c>
      <c r="C2079" t="s">
        <v>264</v>
      </c>
      <c r="D2079" t="str">
        <f t="shared" si="166"/>
        <v>Vintage Cars</v>
      </c>
      <c r="E2079" t="s">
        <v>348</v>
      </c>
      <c r="F2079" s="5">
        <v>3845.1</v>
      </c>
      <c r="G2079" s="5">
        <v>769.02</v>
      </c>
      <c r="I2079" t="str">
        <f t="shared" si="162"/>
        <v>Low Sales</v>
      </c>
      <c r="J2079" t="str">
        <f t="shared" si="163"/>
        <v>Average Performance</v>
      </c>
      <c r="K2079">
        <f t="shared" si="164"/>
        <v>2003</v>
      </c>
      <c r="L2079" t="str">
        <f t="shared" si="165"/>
        <v>October</v>
      </c>
    </row>
    <row r="2080" spans="1:12" x14ac:dyDescent="0.25">
      <c r="A2080" t="s">
        <v>161</v>
      </c>
      <c r="B2080" t="s">
        <v>258</v>
      </c>
      <c r="C2080" t="s">
        <v>264</v>
      </c>
      <c r="D2080" t="str">
        <f t="shared" si="166"/>
        <v>Vintage Cars</v>
      </c>
      <c r="E2080" t="s">
        <v>348</v>
      </c>
      <c r="F2080" s="5">
        <v>2571.14</v>
      </c>
      <c r="G2080" s="5">
        <v>514.22799999999995</v>
      </c>
      <c r="I2080" t="str">
        <f t="shared" si="162"/>
        <v>Low Sales</v>
      </c>
      <c r="J2080" t="str">
        <f t="shared" si="163"/>
        <v>Average Performance</v>
      </c>
      <c r="K2080">
        <f t="shared" si="164"/>
        <v>2003</v>
      </c>
      <c r="L2080" t="str">
        <f t="shared" si="165"/>
        <v>November</v>
      </c>
    </row>
    <row r="2081" spans="1:12" x14ac:dyDescent="0.25">
      <c r="A2081" t="s">
        <v>39</v>
      </c>
      <c r="C2081" t="s">
        <v>264</v>
      </c>
      <c r="D2081" t="str">
        <f t="shared" si="166"/>
        <v>Vintage Cars</v>
      </c>
      <c r="E2081" t="s">
        <v>348</v>
      </c>
      <c r="F2081" s="5">
        <v>5035.1099999999997</v>
      </c>
      <c r="G2081" s="5">
        <v>1007.022</v>
      </c>
      <c r="I2081" t="str">
        <f t="shared" si="162"/>
        <v>Low Sales</v>
      </c>
      <c r="J2081" t="str">
        <f t="shared" si="163"/>
        <v>Average Performance</v>
      </c>
      <c r="K2081">
        <f t="shared" si="164"/>
        <v>2003</v>
      </c>
      <c r="L2081" t="str">
        <f t="shared" si="165"/>
        <v>November</v>
      </c>
    </row>
    <row r="2082" spans="1:12" x14ac:dyDescent="0.25">
      <c r="A2082" t="s">
        <v>176</v>
      </c>
      <c r="B2082" t="s">
        <v>259</v>
      </c>
      <c r="C2082" t="s">
        <v>264</v>
      </c>
      <c r="D2082" t="str">
        <f t="shared" si="166"/>
        <v>Vintage Cars</v>
      </c>
      <c r="E2082" t="s">
        <v>348</v>
      </c>
      <c r="F2082" s="5">
        <v>2279</v>
      </c>
      <c r="G2082" s="5">
        <v>455.8</v>
      </c>
      <c r="I2082" t="str">
        <f t="shared" si="162"/>
        <v>Low Sales</v>
      </c>
      <c r="J2082" t="str">
        <f t="shared" si="163"/>
        <v>Average Performance</v>
      </c>
      <c r="K2082">
        <f t="shared" si="164"/>
        <v>2003</v>
      </c>
      <c r="L2082" t="str">
        <f t="shared" si="165"/>
        <v>November</v>
      </c>
    </row>
    <row r="2083" spans="1:12" x14ac:dyDescent="0.25">
      <c r="A2083" t="s">
        <v>41</v>
      </c>
      <c r="C2083" t="s">
        <v>264</v>
      </c>
      <c r="D2083" t="str">
        <f t="shared" si="166"/>
        <v>Vintage Cars</v>
      </c>
      <c r="E2083" t="s">
        <v>348</v>
      </c>
      <c r="F2083" s="5">
        <v>3213.87</v>
      </c>
      <c r="G2083" s="5">
        <v>642.774</v>
      </c>
      <c r="I2083" t="str">
        <f t="shared" si="162"/>
        <v>Low Sales</v>
      </c>
      <c r="J2083" t="str">
        <f t="shared" si="163"/>
        <v>Average Performance</v>
      </c>
      <c r="K2083">
        <f t="shared" si="164"/>
        <v>2003</v>
      </c>
      <c r="L2083" t="str">
        <f t="shared" si="165"/>
        <v>December</v>
      </c>
    </row>
    <row r="2084" spans="1:12" x14ac:dyDescent="0.25">
      <c r="A2084" t="s">
        <v>42</v>
      </c>
      <c r="C2084" t="s">
        <v>264</v>
      </c>
      <c r="D2084" t="str">
        <f t="shared" si="166"/>
        <v>Vintage Cars</v>
      </c>
      <c r="E2084" t="s">
        <v>348</v>
      </c>
      <c r="F2084" s="5">
        <v>3532.23</v>
      </c>
      <c r="G2084" s="5">
        <v>706.44600000000003</v>
      </c>
      <c r="I2084" t="str">
        <f t="shared" si="162"/>
        <v>Low Sales</v>
      </c>
      <c r="J2084" t="str">
        <f t="shared" si="163"/>
        <v>Average Performance</v>
      </c>
      <c r="K2084">
        <f t="shared" si="164"/>
        <v>2004</v>
      </c>
      <c r="L2084" t="str">
        <f t="shared" si="165"/>
        <v>January</v>
      </c>
    </row>
    <row r="2085" spans="1:12" x14ac:dyDescent="0.25">
      <c r="A2085" t="s">
        <v>43</v>
      </c>
      <c r="C2085" t="s">
        <v>264</v>
      </c>
      <c r="D2085" t="str">
        <f t="shared" si="166"/>
        <v>Vintage Cars</v>
      </c>
      <c r="E2085" t="s">
        <v>348</v>
      </c>
      <c r="F2085" s="5">
        <v>3406.59</v>
      </c>
      <c r="G2085" s="5">
        <v>681.3180000000001</v>
      </c>
      <c r="I2085" t="str">
        <f t="shared" si="162"/>
        <v>Low Sales</v>
      </c>
      <c r="J2085" t="str">
        <f t="shared" si="163"/>
        <v>Average Performance</v>
      </c>
      <c r="K2085">
        <f t="shared" si="164"/>
        <v>2004</v>
      </c>
      <c r="L2085" t="str">
        <f t="shared" si="165"/>
        <v>March</v>
      </c>
    </row>
    <row r="2086" spans="1:12" x14ac:dyDescent="0.25">
      <c r="A2086" t="s">
        <v>179</v>
      </c>
      <c r="B2086" t="s">
        <v>258</v>
      </c>
      <c r="C2086" t="s">
        <v>264</v>
      </c>
      <c r="D2086" t="str">
        <f t="shared" si="166"/>
        <v>Vintage Cars</v>
      </c>
      <c r="E2086" t="s">
        <v>348</v>
      </c>
      <c r="F2086" s="5">
        <v>3467.2</v>
      </c>
      <c r="G2086" s="5">
        <v>693.44</v>
      </c>
      <c r="I2086" t="str">
        <f t="shared" si="162"/>
        <v>Low Sales</v>
      </c>
      <c r="J2086" t="str">
        <f t="shared" si="163"/>
        <v>Average Performance</v>
      </c>
      <c r="K2086">
        <f t="shared" si="164"/>
        <v>2004</v>
      </c>
      <c r="L2086" t="str">
        <f t="shared" si="165"/>
        <v>April</v>
      </c>
    </row>
    <row r="2087" spans="1:12" x14ac:dyDescent="0.25">
      <c r="A2087" t="s">
        <v>221</v>
      </c>
      <c r="C2087" t="s">
        <v>264</v>
      </c>
      <c r="D2087" t="str">
        <f t="shared" si="166"/>
        <v>Vintage Cars</v>
      </c>
      <c r="E2087" t="s">
        <v>348</v>
      </c>
      <c r="F2087" s="5">
        <v>3628.94</v>
      </c>
      <c r="G2087" s="5">
        <v>725.78800000000001</v>
      </c>
      <c r="I2087" t="str">
        <f t="shared" si="162"/>
        <v>Low Sales</v>
      </c>
      <c r="J2087" t="str">
        <f t="shared" si="163"/>
        <v>Average Performance</v>
      </c>
      <c r="K2087">
        <f t="shared" si="164"/>
        <v>2004</v>
      </c>
      <c r="L2087" t="str">
        <f t="shared" si="165"/>
        <v>June</v>
      </c>
    </row>
    <row r="2088" spans="1:12" x14ac:dyDescent="0.25">
      <c r="A2088" t="s">
        <v>222</v>
      </c>
      <c r="B2088" t="s">
        <v>258</v>
      </c>
      <c r="C2088" t="s">
        <v>264</v>
      </c>
      <c r="D2088" t="str">
        <f t="shared" si="166"/>
        <v>Vintage Cars</v>
      </c>
      <c r="E2088" t="s">
        <v>348</v>
      </c>
      <c r="F2088" s="5">
        <v>4674.72</v>
      </c>
      <c r="G2088" s="5">
        <v>934.94400000000007</v>
      </c>
      <c r="I2088" t="str">
        <f t="shared" si="162"/>
        <v>Low Sales</v>
      </c>
      <c r="J2088" t="str">
        <f t="shared" si="163"/>
        <v>Average Performance</v>
      </c>
      <c r="K2088">
        <f t="shared" si="164"/>
        <v>2004</v>
      </c>
      <c r="L2088" t="str">
        <f t="shared" si="165"/>
        <v>July</v>
      </c>
    </row>
    <row r="2089" spans="1:12" x14ac:dyDescent="0.25">
      <c r="A2089" t="s">
        <v>47</v>
      </c>
      <c r="B2089" t="s">
        <v>258</v>
      </c>
      <c r="C2089" t="s">
        <v>264</v>
      </c>
      <c r="D2089" t="str">
        <f t="shared" si="166"/>
        <v>Vintage Cars</v>
      </c>
      <c r="E2089" t="s">
        <v>348</v>
      </c>
      <c r="F2089" s="5">
        <v>1656.69</v>
      </c>
      <c r="G2089" s="5">
        <v>331.33800000000002</v>
      </c>
      <c r="I2089" t="str">
        <f t="shared" si="162"/>
        <v>Low Sales</v>
      </c>
      <c r="J2089" t="str">
        <f t="shared" si="163"/>
        <v>Average Performance</v>
      </c>
      <c r="K2089">
        <f t="shared" si="164"/>
        <v>2004</v>
      </c>
      <c r="L2089" t="str">
        <f t="shared" si="165"/>
        <v>August</v>
      </c>
    </row>
    <row r="2090" spans="1:12" x14ac:dyDescent="0.25">
      <c r="A2090" t="s">
        <v>232</v>
      </c>
      <c r="C2090" t="s">
        <v>264</v>
      </c>
      <c r="D2090" t="str">
        <f t="shared" si="166"/>
        <v>Vintage Cars</v>
      </c>
      <c r="E2090" t="s">
        <v>348</v>
      </c>
      <c r="F2090" s="5">
        <v>5171.3999999999996</v>
      </c>
      <c r="G2090" s="5">
        <v>1034.28</v>
      </c>
      <c r="I2090" t="str">
        <f t="shared" si="162"/>
        <v>Low Sales</v>
      </c>
      <c r="J2090" t="str">
        <f t="shared" si="163"/>
        <v>Average Performance</v>
      </c>
      <c r="K2090">
        <f t="shared" si="164"/>
        <v>2004</v>
      </c>
      <c r="L2090" t="str">
        <f t="shared" si="165"/>
        <v>September</v>
      </c>
    </row>
    <row r="2091" spans="1:12" x14ac:dyDescent="0.25">
      <c r="A2091" t="s">
        <v>49</v>
      </c>
      <c r="B2091" t="s">
        <v>258</v>
      </c>
      <c r="C2091" t="s">
        <v>264</v>
      </c>
      <c r="D2091" t="str">
        <f t="shared" si="166"/>
        <v>Vintage Cars</v>
      </c>
      <c r="E2091" t="s">
        <v>348</v>
      </c>
      <c r="F2091" s="5">
        <v>3342.57</v>
      </c>
      <c r="G2091" s="5">
        <v>668.51400000000012</v>
      </c>
      <c r="I2091" t="str">
        <f t="shared" si="162"/>
        <v>Low Sales</v>
      </c>
      <c r="J2091" t="str">
        <f t="shared" si="163"/>
        <v>Average Performance</v>
      </c>
      <c r="K2091">
        <f t="shared" si="164"/>
        <v>2004</v>
      </c>
      <c r="L2091" t="str">
        <f t="shared" si="165"/>
        <v>October</v>
      </c>
    </row>
    <row r="2092" spans="1:12" x14ac:dyDescent="0.25">
      <c r="A2092" t="s">
        <v>50</v>
      </c>
      <c r="C2092" t="s">
        <v>264</v>
      </c>
      <c r="D2092" t="str">
        <f t="shared" si="166"/>
        <v>Vintage Cars</v>
      </c>
      <c r="E2092" t="s">
        <v>348</v>
      </c>
      <c r="F2092" s="5">
        <v>4884.88</v>
      </c>
      <c r="G2092" s="5">
        <v>976.97600000000011</v>
      </c>
      <c r="I2092" t="str">
        <f t="shared" si="162"/>
        <v>Low Sales</v>
      </c>
      <c r="J2092" t="str">
        <f t="shared" si="163"/>
        <v>Average Performance</v>
      </c>
      <c r="K2092">
        <f t="shared" si="164"/>
        <v>2004</v>
      </c>
      <c r="L2092" t="str">
        <f t="shared" si="165"/>
        <v>October</v>
      </c>
    </row>
    <row r="2093" spans="1:12" x14ac:dyDescent="0.25">
      <c r="A2093" t="s">
        <v>86</v>
      </c>
      <c r="C2093" t="s">
        <v>264</v>
      </c>
      <c r="D2093" t="str">
        <f t="shared" si="166"/>
        <v>Vintage Cars</v>
      </c>
      <c r="E2093" t="s">
        <v>348</v>
      </c>
      <c r="F2093" s="5">
        <v>6267.69</v>
      </c>
      <c r="G2093" s="5">
        <v>1253.538</v>
      </c>
      <c r="I2093" t="str">
        <f t="shared" si="162"/>
        <v>Low Sales</v>
      </c>
      <c r="J2093" t="str">
        <f t="shared" si="163"/>
        <v>Average Performance</v>
      </c>
      <c r="K2093">
        <f t="shared" si="164"/>
        <v>2004</v>
      </c>
      <c r="L2093" t="str">
        <f t="shared" si="165"/>
        <v>November</v>
      </c>
    </row>
    <row r="2094" spans="1:12" x14ac:dyDescent="0.25">
      <c r="A2094" t="s">
        <v>52</v>
      </c>
      <c r="C2094" t="s">
        <v>264</v>
      </c>
      <c r="D2094" t="str">
        <f t="shared" si="166"/>
        <v>Vintage Cars</v>
      </c>
      <c r="E2094" t="s">
        <v>348</v>
      </c>
      <c r="F2094" s="5">
        <v>4424.16</v>
      </c>
      <c r="G2094" s="5">
        <v>884.83199999999999</v>
      </c>
      <c r="I2094" t="str">
        <f t="shared" si="162"/>
        <v>Low Sales</v>
      </c>
      <c r="J2094" t="str">
        <f t="shared" si="163"/>
        <v>Average Performance</v>
      </c>
      <c r="K2094">
        <f t="shared" si="164"/>
        <v>2004</v>
      </c>
      <c r="L2094" t="str">
        <f t="shared" si="165"/>
        <v>November</v>
      </c>
    </row>
    <row r="2095" spans="1:12" x14ac:dyDescent="0.25">
      <c r="A2095" t="s">
        <v>85</v>
      </c>
      <c r="B2095" t="s">
        <v>258</v>
      </c>
      <c r="C2095" t="s">
        <v>264</v>
      </c>
      <c r="D2095" t="str">
        <f t="shared" si="166"/>
        <v>Vintage Cars</v>
      </c>
      <c r="E2095" t="s">
        <v>348</v>
      </c>
      <c r="F2095" s="5">
        <v>1962.09</v>
      </c>
      <c r="G2095" s="5">
        <v>392.41800000000001</v>
      </c>
      <c r="I2095" t="str">
        <f t="shared" si="162"/>
        <v>Low Sales</v>
      </c>
      <c r="J2095" t="str">
        <f t="shared" si="163"/>
        <v>Average Performance</v>
      </c>
      <c r="K2095">
        <f t="shared" si="164"/>
        <v>2004</v>
      </c>
      <c r="L2095" t="str">
        <f t="shared" si="165"/>
        <v>November</v>
      </c>
    </row>
    <row r="2096" spans="1:12" x14ac:dyDescent="0.25">
      <c r="A2096" t="s">
        <v>54</v>
      </c>
      <c r="B2096" t="s">
        <v>258</v>
      </c>
      <c r="C2096" t="s">
        <v>264</v>
      </c>
      <c r="D2096" t="str">
        <f t="shared" si="166"/>
        <v>Vintage Cars</v>
      </c>
      <c r="E2096" t="s">
        <v>348</v>
      </c>
      <c r="F2096" s="5">
        <v>6847</v>
      </c>
      <c r="G2096" s="5">
        <v>1369.4</v>
      </c>
      <c r="I2096" t="str">
        <f t="shared" si="162"/>
        <v>Low Sales</v>
      </c>
      <c r="J2096" t="str">
        <f t="shared" si="163"/>
        <v>Average Performance</v>
      </c>
      <c r="K2096">
        <f t="shared" si="164"/>
        <v>2004</v>
      </c>
      <c r="L2096" t="str">
        <f t="shared" si="165"/>
        <v>December</v>
      </c>
    </row>
    <row r="2097" spans="1:12" x14ac:dyDescent="0.25">
      <c r="A2097" t="s">
        <v>55</v>
      </c>
      <c r="C2097" t="s">
        <v>264</v>
      </c>
      <c r="D2097" t="str">
        <f t="shared" si="166"/>
        <v>Vintage Cars</v>
      </c>
      <c r="E2097" t="s">
        <v>348</v>
      </c>
      <c r="F2097" s="5">
        <v>3476.8</v>
      </c>
      <c r="G2097" s="5">
        <v>695.36000000000013</v>
      </c>
      <c r="I2097" t="str">
        <f t="shared" si="162"/>
        <v>Low Sales</v>
      </c>
      <c r="J2097" t="str">
        <f t="shared" si="163"/>
        <v>Average Performance</v>
      </c>
      <c r="K2097">
        <f t="shared" si="164"/>
        <v>2005</v>
      </c>
      <c r="L2097" t="str">
        <f t="shared" si="165"/>
        <v>January</v>
      </c>
    </row>
    <row r="2098" spans="1:12" x14ac:dyDescent="0.25">
      <c r="A2098" t="s">
        <v>56</v>
      </c>
      <c r="C2098" t="s">
        <v>264</v>
      </c>
      <c r="D2098" t="str">
        <f t="shared" si="166"/>
        <v>Vintage Cars</v>
      </c>
      <c r="E2098" t="s">
        <v>348</v>
      </c>
      <c r="F2098" s="5">
        <v>4592.6099999999997</v>
      </c>
      <c r="G2098" s="5">
        <v>918.52199999999993</v>
      </c>
      <c r="I2098" t="str">
        <f t="shared" si="162"/>
        <v>Low Sales</v>
      </c>
      <c r="J2098" t="str">
        <f t="shared" si="163"/>
        <v>Average Performance</v>
      </c>
      <c r="K2098">
        <f t="shared" si="164"/>
        <v>2005</v>
      </c>
      <c r="L2098" t="str">
        <f t="shared" si="165"/>
        <v>February</v>
      </c>
    </row>
    <row r="2099" spans="1:12" x14ac:dyDescent="0.25">
      <c r="A2099" t="s">
        <v>183</v>
      </c>
      <c r="B2099" t="s">
        <v>258</v>
      </c>
      <c r="C2099" t="s">
        <v>264</v>
      </c>
      <c r="D2099" t="str">
        <f t="shared" si="166"/>
        <v>Vintage Cars</v>
      </c>
      <c r="E2099" t="s">
        <v>348</v>
      </c>
      <c r="F2099" s="5">
        <v>2208.92</v>
      </c>
      <c r="G2099" s="5">
        <v>441.78399999999999</v>
      </c>
      <c r="I2099" t="str">
        <f t="shared" si="162"/>
        <v>Low Sales</v>
      </c>
      <c r="J2099" t="str">
        <f t="shared" si="163"/>
        <v>Average Performance</v>
      </c>
      <c r="K2099">
        <f t="shared" si="164"/>
        <v>2005</v>
      </c>
      <c r="L2099" t="str">
        <f t="shared" si="165"/>
        <v>May</v>
      </c>
    </row>
    <row r="2100" spans="1:12" x14ac:dyDescent="0.25">
      <c r="A2100" t="s">
        <v>192</v>
      </c>
      <c r="B2100" t="s">
        <v>258</v>
      </c>
      <c r="C2100" t="s">
        <v>265</v>
      </c>
      <c r="D2100" t="str">
        <f t="shared" si="166"/>
        <v>Planes</v>
      </c>
      <c r="E2100" t="s">
        <v>349</v>
      </c>
      <c r="F2100" s="5">
        <v>1657.76</v>
      </c>
      <c r="G2100" s="5">
        <v>331.55200000000002</v>
      </c>
      <c r="I2100" t="str">
        <f t="shared" si="162"/>
        <v>Low Sales</v>
      </c>
      <c r="J2100" t="str">
        <f t="shared" si="163"/>
        <v>Average Performance</v>
      </c>
      <c r="K2100">
        <f t="shared" si="164"/>
        <v>2003</v>
      </c>
      <c r="L2100" t="str">
        <f t="shared" si="165"/>
        <v>February</v>
      </c>
    </row>
    <row r="2101" spans="1:12" x14ac:dyDescent="0.25">
      <c r="A2101" t="s">
        <v>60</v>
      </c>
      <c r="B2101" t="s">
        <v>259</v>
      </c>
      <c r="C2101" t="s">
        <v>265</v>
      </c>
      <c r="D2101" t="str">
        <f t="shared" si="166"/>
        <v>Planes</v>
      </c>
      <c r="E2101" t="s">
        <v>349</v>
      </c>
      <c r="F2101" s="5">
        <v>2479.21</v>
      </c>
      <c r="G2101" s="5">
        <v>495.84199999999998</v>
      </c>
      <c r="I2101" t="str">
        <f t="shared" si="162"/>
        <v>Low Sales</v>
      </c>
      <c r="J2101" t="str">
        <f t="shared" si="163"/>
        <v>Average Performance</v>
      </c>
      <c r="K2101">
        <f t="shared" si="164"/>
        <v>2003</v>
      </c>
      <c r="L2101" t="str">
        <f t="shared" si="165"/>
        <v>April</v>
      </c>
    </row>
    <row r="2102" spans="1:12" x14ac:dyDescent="0.25">
      <c r="A2102" t="s">
        <v>215</v>
      </c>
      <c r="B2102" t="s">
        <v>258</v>
      </c>
      <c r="C2102" t="s">
        <v>265</v>
      </c>
      <c r="D2102" t="str">
        <f t="shared" si="166"/>
        <v>Planes</v>
      </c>
      <c r="E2102" t="s">
        <v>349</v>
      </c>
      <c r="F2102" s="5">
        <v>3565.92</v>
      </c>
      <c r="G2102" s="5">
        <v>713.18400000000008</v>
      </c>
      <c r="I2102" t="str">
        <f t="shared" si="162"/>
        <v>Low Sales</v>
      </c>
      <c r="J2102" t="str">
        <f t="shared" si="163"/>
        <v>Average Performance</v>
      </c>
      <c r="K2102">
        <f t="shared" si="164"/>
        <v>2003</v>
      </c>
      <c r="L2102" t="str">
        <f t="shared" si="165"/>
        <v>June</v>
      </c>
    </row>
    <row r="2103" spans="1:12" x14ac:dyDescent="0.25">
      <c r="A2103" t="s">
        <v>9</v>
      </c>
      <c r="C2103" t="s">
        <v>265</v>
      </c>
      <c r="D2103" t="str">
        <f t="shared" si="166"/>
        <v>Planes</v>
      </c>
      <c r="E2103" t="s">
        <v>349</v>
      </c>
      <c r="F2103" s="5">
        <v>2797.41</v>
      </c>
      <c r="G2103" s="5">
        <v>559.48199999999997</v>
      </c>
      <c r="I2103" t="str">
        <f t="shared" si="162"/>
        <v>Low Sales</v>
      </c>
      <c r="J2103" t="str">
        <f t="shared" si="163"/>
        <v>Average Performance</v>
      </c>
      <c r="K2103">
        <f t="shared" si="164"/>
        <v>2003</v>
      </c>
      <c r="L2103" t="str">
        <f t="shared" si="165"/>
        <v>August</v>
      </c>
    </row>
    <row r="2104" spans="1:12" x14ac:dyDescent="0.25">
      <c r="A2104" t="s">
        <v>11</v>
      </c>
      <c r="C2104" t="s">
        <v>265</v>
      </c>
      <c r="D2104" t="str">
        <f t="shared" si="166"/>
        <v>Planes</v>
      </c>
      <c r="E2104" t="s">
        <v>349</v>
      </c>
      <c r="F2104" s="5">
        <v>3756</v>
      </c>
      <c r="G2104" s="5">
        <v>751.2</v>
      </c>
      <c r="I2104" t="str">
        <f t="shared" si="162"/>
        <v>Low Sales</v>
      </c>
      <c r="J2104" t="str">
        <f t="shared" si="163"/>
        <v>Average Performance</v>
      </c>
      <c r="K2104">
        <f t="shared" si="164"/>
        <v>2003</v>
      </c>
      <c r="L2104" t="str">
        <f t="shared" si="165"/>
        <v>October</v>
      </c>
    </row>
    <row r="2105" spans="1:12" x14ac:dyDescent="0.25">
      <c r="A2105" t="s">
        <v>61</v>
      </c>
      <c r="B2105" t="s">
        <v>260</v>
      </c>
      <c r="C2105" t="s">
        <v>265</v>
      </c>
      <c r="D2105" t="str">
        <f t="shared" si="166"/>
        <v>Planes</v>
      </c>
      <c r="E2105" t="s">
        <v>349</v>
      </c>
      <c r="F2105" s="5">
        <v>2840</v>
      </c>
      <c r="G2105" s="5">
        <v>568</v>
      </c>
      <c r="I2105" t="str">
        <f t="shared" si="162"/>
        <v>Low Sales</v>
      </c>
      <c r="J2105" t="str">
        <f t="shared" si="163"/>
        <v>Average Performance</v>
      </c>
      <c r="K2105">
        <f t="shared" si="164"/>
        <v>2004</v>
      </c>
      <c r="L2105" t="str">
        <f t="shared" si="165"/>
        <v>January</v>
      </c>
    </row>
    <row r="2106" spans="1:12" x14ac:dyDescent="0.25">
      <c r="A2106" t="s">
        <v>16</v>
      </c>
      <c r="B2106" t="s">
        <v>259</v>
      </c>
      <c r="C2106" t="s">
        <v>265</v>
      </c>
      <c r="D2106" t="str">
        <f t="shared" si="166"/>
        <v>Planes</v>
      </c>
      <c r="E2106" t="s">
        <v>349</v>
      </c>
      <c r="F2106" s="5">
        <v>1716.26</v>
      </c>
      <c r="G2106" s="5">
        <v>343.25200000000001</v>
      </c>
      <c r="I2106" t="str">
        <f t="shared" si="162"/>
        <v>Low Sales</v>
      </c>
      <c r="J2106" t="str">
        <f t="shared" si="163"/>
        <v>Average Performance</v>
      </c>
      <c r="K2106">
        <f t="shared" si="164"/>
        <v>2004</v>
      </c>
      <c r="L2106" t="str">
        <f t="shared" si="165"/>
        <v>February</v>
      </c>
    </row>
    <row r="2107" spans="1:12" x14ac:dyDescent="0.25">
      <c r="A2107" t="s">
        <v>216</v>
      </c>
      <c r="C2107" t="s">
        <v>265</v>
      </c>
      <c r="D2107" t="str">
        <f t="shared" si="166"/>
        <v>Planes</v>
      </c>
      <c r="E2107" t="s">
        <v>349</v>
      </c>
      <c r="F2107" s="5">
        <v>3245.6</v>
      </c>
      <c r="G2107" s="5">
        <v>649.12</v>
      </c>
      <c r="I2107" t="str">
        <f t="shared" si="162"/>
        <v>Low Sales</v>
      </c>
      <c r="J2107" t="str">
        <f t="shared" si="163"/>
        <v>Average Performance</v>
      </c>
      <c r="K2107">
        <f t="shared" si="164"/>
        <v>2004</v>
      </c>
      <c r="L2107" t="str">
        <f t="shared" si="165"/>
        <v>April</v>
      </c>
    </row>
    <row r="2108" spans="1:12" x14ac:dyDescent="0.25">
      <c r="A2108" t="s">
        <v>195</v>
      </c>
      <c r="C2108" t="s">
        <v>265</v>
      </c>
      <c r="D2108" t="str">
        <f t="shared" si="166"/>
        <v>Planes</v>
      </c>
      <c r="E2108" t="s">
        <v>349</v>
      </c>
      <c r="F2108" s="5">
        <v>2760.94</v>
      </c>
      <c r="G2108" s="5">
        <v>552.18799999999999</v>
      </c>
      <c r="I2108" t="str">
        <f t="shared" si="162"/>
        <v>Low Sales</v>
      </c>
      <c r="J2108" t="str">
        <f t="shared" si="163"/>
        <v>Average Performance</v>
      </c>
      <c r="K2108">
        <f t="shared" si="164"/>
        <v>2004</v>
      </c>
      <c r="L2108" t="str">
        <f t="shared" si="165"/>
        <v>May</v>
      </c>
    </row>
    <row r="2109" spans="1:12" x14ac:dyDescent="0.25">
      <c r="A2109" t="s">
        <v>19</v>
      </c>
      <c r="C2109" t="s">
        <v>265</v>
      </c>
      <c r="D2109" t="str">
        <f t="shared" si="166"/>
        <v>Planes</v>
      </c>
      <c r="E2109" t="s">
        <v>349</v>
      </c>
      <c r="F2109" s="5">
        <v>1808.4</v>
      </c>
      <c r="G2109" s="5">
        <v>361.68000000000012</v>
      </c>
      <c r="I2109" t="str">
        <f t="shared" si="162"/>
        <v>Low Sales</v>
      </c>
      <c r="J2109" t="str">
        <f t="shared" si="163"/>
        <v>Average Performance</v>
      </c>
      <c r="K2109">
        <f t="shared" si="164"/>
        <v>2004</v>
      </c>
      <c r="L2109" t="str">
        <f t="shared" si="165"/>
        <v>June</v>
      </c>
    </row>
    <row r="2110" spans="1:12" x14ac:dyDescent="0.25">
      <c r="A2110" t="s">
        <v>20</v>
      </c>
      <c r="B2110" t="s">
        <v>258</v>
      </c>
      <c r="C2110" t="s">
        <v>265</v>
      </c>
      <c r="D2110" t="str">
        <f t="shared" si="166"/>
        <v>Planes</v>
      </c>
      <c r="E2110" t="s">
        <v>349</v>
      </c>
      <c r="F2110" s="5">
        <v>1682.37</v>
      </c>
      <c r="G2110" s="5">
        <v>336.47399999999999</v>
      </c>
      <c r="I2110" t="str">
        <f t="shared" si="162"/>
        <v>Low Sales</v>
      </c>
      <c r="J2110" t="str">
        <f t="shared" si="163"/>
        <v>Average Performance</v>
      </c>
      <c r="K2110">
        <f t="shared" si="164"/>
        <v>2004</v>
      </c>
      <c r="L2110" t="str">
        <f t="shared" si="165"/>
        <v>July</v>
      </c>
    </row>
    <row r="2111" spans="1:12" x14ac:dyDescent="0.25">
      <c r="A2111" t="s">
        <v>197</v>
      </c>
      <c r="B2111" t="s">
        <v>258</v>
      </c>
      <c r="C2111" t="s">
        <v>265</v>
      </c>
      <c r="D2111" t="str">
        <f t="shared" si="166"/>
        <v>Planes</v>
      </c>
      <c r="E2111" t="s">
        <v>349</v>
      </c>
      <c r="F2111" s="5">
        <v>1491</v>
      </c>
      <c r="G2111" s="5">
        <v>298.2</v>
      </c>
      <c r="I2111" t="str">
        <f t="shared" si="162"/>
        <v>Low Sales</v>
      </c>
      <c r="J2111" t="str">
        <f t="shared" si="163"/>
        <v>Average Performance</v>
      </c>
      <c r="K2111">
        <f t="shared" si="164"/>
        <v>2004</v>
      </c>
      <c r="L2111" t="str">
        <f t="shared" si="165"/>
        <v>August</v>
      </c>
    </row>
    <row r="2112" spans="1:12" x14ac:dyDescent="0.25">
      <c r="A2112" t="s">
        <v>217</v>
      </c>
      <c r="B2112" t="s">
        <v>258</v>
      </c>
      <c r="C2112" t="s">
        <v>265</v>
      </c>
      <c r="D2112" t="str">
        <f t="shared" si="166"/>
        <v>Planes</v>
      </c>
      <c r="E2112" t="s">
        <v>349</v>
      </c>
      <c r="F2112" s="5">
        <v>1666.35</v>
      </c>
      <c r="G2112" s="5">
        <v>333.27</v>
      </c>
      <c r="I2112" t="str">
        <f t="shared" si="162"/>
        <v>Low Sales</v>
      </c>
      <c r="J2112" t="str">
        <f t="shared" si="163"/>
        <v>Average Performance</v>
      </c>
      <c r="K2112">
        <f t="shared" si="164"/>
        <v>2004</v>
      </c>
      <c r="L2112" t="str">
        <f t="shared" si="165"/>
        <v>September</v>
      </c>
    </row>
    <row r="2113" spans="1:12" x14ac:dyDescent="0.25">
      <c r="A2113" t="s">
        <v>23</v>
      </c>
      <c r="C2113" t="s">
        <v>265</v>
      </c>
      <c r="D2113" t="str">
        <f t="shared" si="166"/>
        <v>Planes</v>
      </c>
      <c r="E2113" t="s">
        <v>349</v>
      </c>
      <c r="F2113" s="5">
        <v>3666.08</v>
      </c>
      <c r="G2113" s="5">
        <v>733.21600000000001</v>
      </c>
      <c r="I2113" t="str">
        <f t="shared" si="162"/>
        <v>Low Sales</v>
      </c>
      <c r="J2113" t="str">
        <f t="shared" si="163"/>
        <v>Average Performance</v>
      </c>
      <c r="K2113">
        <f t="shared" si="164"/>
        <v>2004</v>
      </c>
      <c r="L2113" t="str">
        <f t="shared" si="165"/>
        <v>October</v>
      </c>
    </row>
    <row r="2114" spans="1:12" x14ac:dyDescent="0.25">
      <c r="A2114" t="s">
        <v>24</v>
      </c>
      <c r="C2114" t="s">
        <v>265</v>
      </c>
      <c r="D2114" t="str">
        <f t="shared" si="166"/>
        <v>Planes</v>
      </c>
      <c r="E2114" t="s">
        <v>349</v>
      </c>
      <c r="F2114" s="5">
        <v>2916.2</v>
      </c>
      <c r="G2114" s="5">
        <v>583.24</v>
      </c>
      <c r="I2114" t="str">
        <f t="shared" si="162"/>
        <v>Low Sales</v>
      </c>
      <c r="J2114" t="str">
        <f t="shared" si="163"/>
        <v>Average Performance</v>
      </c>
      <c r="K2114">
        <f t="shared" si="164"/>
        <v>2004</v>
      </c>
      <c r="L2114" t="str">
        <f t="shared" si="165"/>
        <v>November</v>
      </c>
    </row>
    <row r="2115" spans="1:12" x14ac:dyDescent="0.25">
      <c r="A2115" t="s">
        <v>239</v>
      </c>
      <c r="B2115" t="s">
        <v>258</v>
      </c>
      <c r="C2115" t="s">
        <v>265</v>
      </c>
      <c r="D2115" t="str">
        <f t="shared" si="166"/>
        <v>Planes</v>
      </c>
      <c r="E2115" t="s">
        <v>349</v>
      </c>
      <c r="F2115" s="5">
        <v>2616.98</v>
      </c>
      <c r="G2115" s="5">
        <v>523.39600000000007</v>
      </c>
      <c r="I2115" t="str">
        <f t="shared" ref="I2115:I2178" si="167">IF(F2115&gt;50000,"High Sales","Low Sales")</f>
        <v>Low Sales</v>
      </c>
      <c r="J2115" t="str">
        <f t="shared" ref="J2115:J2178" si="168">IF(AND(F2115&gt;30000,G2115&gt;5000),"Good Performance","Average Performance")</f>
        <v>Average Performance</v>
      </c>
      <c r="K2115">
        <f t="shared" ref="K2115:K2178" si="169">YEAR(A2115)</f>
        <v>2004</v>
      </c>
      <c r="L2115" t="str">
        <f t="shared" ref="L2115:L2178" si="170">TEXT(A2115,"mmmm")</f>
        <v>November</v>
      </c>
    </row>
    <row r="2116" spans="1:12" x14ac:dyDescent="0.25">
      <c r="A2116" t="s">
        <v>26</v>
      </c>
      <c r="B2116" t="s">
        <v>258</v>
      </c>
      <c r="C2116" t="s">
        <v>265</v>
      </c>
      <c r="D2116" t="str">
        <f t="shared" si="166"/>
        <v>Planes</v>
      </c>
      <c r="E2116" t="s">
        <v>349</v>
      </c>
      <c r="F2116" s="5">
        <v>3390.8</v>
      </c>
      <c r="G2116" s="5">
        <v>678.16000000000008</v>
      </c>
      <c r="I2116" t="str">
        <f t="shared" si="167"/>
        <v>Low Sales</v>
      </c>
      <c r="J2116" t="str">
        <f t="shared" si="168"/>
        <v>Average Performance</v>
      </c>
      <c r="K2116">
        <f t="shared" si="169"/>
        <v>2004</v>
      </c>
      <c r="L2116" t="str">
        <f t="shared" si="170"/>
        <v>November</v>
      </c>
    </row>
    <row r="2117" spans="1:12" x14ac:dyDescent="0.25">
      <c r="A2117" t="s">
        <v>218</v>
      </c>
      <c r="C2117" t="s">
        <v>265</v>
      </c>
      <c r="D2117" t="str">
        <f t="shared" si="166"/>
        <v>Planes</v>
      </c>
      <c r="E2117" t="s">
        <v>349</v>
      </c>
      <c r="F2117" s="5">
        <v>3146.5</v>
      </c>
      <c r="G2117" s="5">
        <v>629.30000000000007</v>
      </c>
      <c r="I2117" t="str">
        <f t="shared" si="167"/>
        <v>Low Sales</v>
      </c>
      <c r="J2117" t="str">
        <f t="shared" si="168"/>
        <v>Average Performance</v>
      </c>
      <c r="K2117">
        <f t="shared" si="169"/>
        <v>2004</v>
      </c>
      <c r="L2117" t="str">
        <f t="shared" si="170"/>
        <v>December</v>
      </c>
    </row>
    <row r="2118" spans="1:12" x14ac:dyDescent="0.25">
      <c r="A2118" t="s">
        <v>27</v>
      </c>
      <c r="B2118" t="s">
        <v>259</v>
      </c>
      <c r="C2118" t="s">
        <v>265</v>
      </c>
      <c r="D2118" t="str">
        <f t="shared" si="166"/>
        <v>Planes</v>
      </c>
      <c r="E2118" t="s">
        <v>349</v>
      </c>
      <c r="F2118" s="5">
        <v>1561.5</v>
      </c>
      <c r="G2118" s="5">
        <v>312.3</v>
      </c>
      <c r="I2118" t="str">
        <f t="shared" si="167"/>
        <v>Low Sales</v>
      </c>
      <c r="J2118" t="str">
        <f t="shared" si="168"/>
        <v>Average Performance</v>
      </c>
      <c r="K2118">
        <f t="shared" si="169"/>
        <v>2004</v>
      </c>
      <c r="L2118" t="str">
        <f t="shared" si="170"/>
        <v>December</v>
      </c>
    </row>
    <row r="2119" spans="1:12" x14ac:dyDescent="0.25">
      <c r="A2119" t="s">
        <v>28</v>
      </c>
      <c r="B2119" t="s">
        <v>258</v>
      </c>
      <c r="C2119" t="s">
        <v>265</v>
      </c>
      <c r="D2119" t="str">
        <f t="shared" si="166"/>
        <v>Planes</v>
      </c>
      <c r="E2119" t="s">
        <v>349</v>
      </c>
      <c r="F2119" s="5">
        <v>10039.6</v>
      </c>
      <c r="G2119" s="5">
        <v>2007.92</v>
      </c>
      <c r="I2119" t="str">
        <f t="shared" si="167"/>
        <v>Low Sales</v>
      </c>
      <c r="J2119" t="str">
        <f t="shared" si="168"/>
        <v>Average Performance</v>
      </c>
      <c r="K2119">
        <f t="shared" si="169"/>
        <v>2005</v>
      </c>
      <c r="L2119" t="str">
        <f t="shared" si="170"/>
        <v>February</v>
      </c>
    </row>
    <row r="2120" spans="1:12" x14ac:dyDescent="0.25">
      <c r="A2120" t="s">
        <v>202</v>
      </c>
      <c r="B2120" t="s">
        <v>258</v>
      </c>
      <c r="C2120" t="s">
        <v>265</v>
      </c>
      <c r="D2120" t="str">
        <f t="shared" si="166"/>
        <v>Planes</v>
      </c>
      <c r="E2120" t="s">
        <v>349</v>
      </c>
      <c r="F2120" s="5">
        <v>3167</v>
      </c>
      <c r="G2120" s="5">
        <v>633.40000000000009</v>
      </c>
      <c r="I2120" t="str">
        <f t="shared" si="167"/>
        <v>Low Sales</v>
      </c>
      <c r="J2120" t="str">
        <f t="shared" si="168"/>
        <v>Average Performance</v>
      </c>
      <c r="K2120">
        <f t="shared" si="169"/>
        <v>2005</v>
      </c>
      <c r="L2120" t="str">
        <f t="shared" si="170"/>
        <v>March</v>
      </c>
    </row>
    <row r="2121" spans="1:12" x14ac:dyDescent="0.25">
      <c r="A2121" t="s">
        <v>203</v>
      </c>
      <c r="B2121" t="s">
        <v>258</v>
      </c>
      <c r="C2121" t="s">
        <v>265</v>
      </c>
      <c r="D2121" t="str">
        <f t="shared" si="166"/>
        <v>Planes</v>
      </c>
      <c r="E2121" t="s">
        <v>349</v>
      </c>
      <c r="F2121" s="5">
        <v>3521.25</v>
      </c>
      <c r="G2121" s="5">
        <v>704.25</v>
      </c>
      <c r="I2121" t="str">
        <f t="shared" si="167"/>
        <v>Low Sales</v>
      </c>
      <c r="J2121" t="str">
        <f t="shared" si="168"/>
        <v>Average Performance</v>
      </c>
      <c r="K2121">
        <f t="shared" si="169"/>
        <v>2005</v>
      </c>
      <c r="L2121" t="str">
        <f t="shared" si="170"/>
        <v>March</v>
      </c>
    </row>
    <row r="2122" spans="1:12" x14ac:dyDescent="0.25">
      <c r="A2122" t="s">
        <v>219</v>
      </c>
      <c r="C2122" t="s">
        <v>265</v>
      </c>
      <c r="D2122" t="str">
        <f t="shared" si="166"/>
        <v>Planes</v>
      </c>
      <c r="E2122" t="s">
        <v>349</v>
      </c>
      <c r="F2122" s="5">
        <v>4219.28</v>
      </c>
      <c r="G2122" s="5">
        <v>843.85599999999999</v>
      </c>
      <c r="I2122" t="str">
        <f t="shared" si="167"/>
        <v>Low Sales</v>
      </c>
      <c r="J2122" t="str">
        <f t="shared" si="168"/>
        <v>Average Performance</v>
      </c>
      <c r="K2122">
        <f t="shared" si="169"/>
        <v>2005</v>
      </c>
      <c r="L2122" t="str">
        <f t="shared" si="170"/>
        <v>April</v>
      </c>
    </row>
    <row r="2123" spans="1:12" x14ac:dyDescent="0.25">
      <c r="A2123" t="s">
        <v>204</v>
      </c>
      <c r="B2123" t="s">
        <v>258</v>
      </c>
      <c r="C2123" t="s">
        <v>265</v>
      </c>
      <c r="D2123" t="str">
        <f t="shared" si="166"/>
        <v>Planes</v>
      </c>
      <c r="E2123" t="s">
        <v>349</v>
      </c>
      <c r="F2123" s="5">
        <v>3581.76</v>
      </c>
      <c r="G2123" s="5">
        <v>716.35200000000009</v>
      </c>
      <c r="I2123" t="str">
        <f t="shared" si="167"/>
        <v>Low Sales</v>
      </c>
      <c r="J2123" t="str">
        <f t="shared" si="168"/>
        <v>Average Performance</v>
      </c>
      <c r="K2123">
        <f t="shared" si="169"/>
        <v>2005</v>
      </c>
      <c r="L2123" t="str">
        <f t="shared" si="170"/>
        <v>May</v>
      </c>
    </row>
    <row r="2124" spans="1:12" x14ac:dyDescent="0.25">
      <c r="A2124" t="s">
        <v>104</v>
      </c>
      <c r="B2124" t="s">
        <v>260</v>
      </c>
      <c r="C2124" t="s">
        <v>262</v>
      </c>
      <c r="D2124" t="str">
        <f t="shared" si="166"/>
        <v>Classic Cars</v>
      </c>
      <c r="E2124" t="s">
        <v>350</v>
      </c>
      <c r="F2124" s="5">
        <v>2130.0100000000002</v>
      </c>
      <c r="G2124" s="5">
        <v>426.00200000000012</v>
      </c>
      <c r="I2124" t="str">
        <f t="shared" si="167"/>
        <v>Low Sales</v>
      </c>
      <c r="J2124" t="str">
        <f t="shared" si="168"/>
        <v>Average Performance</v>
      </c>
      <c r="K2124">
        <f t="shared" si="169"/>
        <v>2003</v>
      </c>
      <c r="L2124" t="str">
        <f t="shared" si="170"/>
        <v>March</v>
      </c>
    </row>
    <row r="2125" spans="1:12" x14ac:dyDescent="0.25">
      <c r="A2125" t="s">
        <v>105</v>
      </c>
      <c r="B2125" t="s">
        <v>258</v>
      </c>
      <c r="C2125" t="s">
        <v>262</v>
      </c>
      <c r="D2125" t="str">
        <f t="shared" si="166"/>
        <v>Classic Cars</v>
      </c>
      <c r="E2125" t="s">
        <v>350</v>
      </c>
      <c r="F2125" s="5">
        <v>2063.06</v>
      </c>
      <c r="G2125" s="5">
        <v>412.61200000000002</v>
      </c>
      <c r="I2125" t="str">
        <f t="shared" si="167"/>
        <v>Low Sales</v>
      </c>
      <c r="J2125" t="str">
        <f t="shared" si="168"/>
        <v>Average Performance</v>
      </c>
      <c r="K2125">
        <f t="shared" si="169"/>
        <v>2003</v>
      </c>
      <c r="L2125" t="str">
        <f t="shared" si="170"/>
        <v>May</v>
      </c>
    </row>
    <row r="2126" spans="1:12" x14ac:dyDescent="0.25">
      <c r="A2126" t="s">
        <v>106</v>
      </c>
      <c r="C2126" t="s">
        <v>262</v>
      </c>
      <c r="D2126" t="str">
        <f t="shared" si="166"/>
        <v>Classic Cars</v>
      </c>
      <c r="E2126" t="s">
        <v>350</v>
      </c>
      <c r="F2126" s="5">
        <v>2008.13</v>
      </c>
      <c r="G2126" s="5">
        <v>401.62599999999998</v>
      </c>
      <c r="I2126" t="str">
        <f t="shared" si="167"/>
        <v>Low Sales</v>
      </c>
      <c r="J2126" t="str">
        <f t="shared" si="168"/>
        <v>Average Performance</v>
      </c>
      <c r="K2126">
        <f t="shared" si="169"/>
        <v>2003</v>
      </c>
      <c r="L2126" t="str">
        <f t="shared" si="170"/>
        <v>July</v>
      </c>
    </row>
    <row r="2127" spans="1:12" x14ac:dyDescent="0.25">
      <c r="A2127" t="s">
        <v>107</v>
      </c>
      <c r="C2127" t="s">
        <v>262</v>
      </c>
      <c r="D2127" t="str">
        <f t="shared" si="166"/>
        <v>Classic Cars</v>
      </c>
      <c r="E2127" t="s">
        <v>350</v>
      </c>
      <c r="F2127" s="5">
        <v>2004.77</v>
      </c>
      <c r="G2127" s="5">
        <v>400.95400000000001</v>
      </c>
      <c r="I2127" t="str">
        <f t="shared" si="167"/>
        <v>Low Sales</v>
      </c>
      <c r="J2127" t="str">
        <f t="shared" si="168"/>
        <v>Average Performance</v>
      </c>
      <c r="K2127">
        <f t="shared" si="169"/>
        <v>2003</v>
      </c>
      <c r="L2127" t="str">
        <f t="shared" si="170"/>
        <v>September</v>
      </c>
    </row>
    <row r="2128" spans="1:12" x14ac:dyDescent="0.25">
      <c r="A2128" t="s">
        <v>10</v>
      </c>
      <c r="C2128" t="s">
        <v>262</v>
      </c>
      <c r="D2128" t="str">
        <f t="shared" si="166"/>
        <v>Classic Cars</v>
      </c>
      <c r="E2128" t="s">
        <v>350</v>
      </c>
      <c r="F2128" s="5">
        <v>1543.3</v>
      </c>
      <c r="G2128" s="5">
        <v>308.66000000000003</v>
      </c>
      <c r="I2128" t="str">
        <f t="shared" si="167"/>
        <v>Low Sales</v>
      </c>
      <c r="J2128" t="str">
        <f t="shared" si="168"/>
        <v>Average Performance</v>
      </c>
      <c r="K2128">
        <f t="shared" si="169"/>
        <v>2003</v>
      </c>
      <c r="L2128" t="str">
        <f t="shared" si="170"/>
        <v>October</v>
      </c>
    </row>
    <row r="2129" spans="1:12" x14ac:dyDescent="0.25">
      <c r="A2129" t="s">
        <v>108</v>
      </c>
      <c r="B2129" t="s">
        <v>259</v>
      </c>
      <c r="C2129" t="s">
        <v>262</v>
      </c>
      <c r="D2129" t="str">
        <f t="shared" si="166"/>
        <v>Classic Cars</v>
      </c>
      <c r="E2129" t="s">
        <v>350</v>
      </c>
      <c r="F2129" s="5">
        <v>2269.92</v>
      </c>
      <c r="G2129" s="5">
        <v>453.98399999999998</v>
      </c>
      <c r="I2129" t="str">
        <f t="shared" si="167"/>
        <v>Low Sales</v>
      </c>
      <c r="J2129" t="str">
        <f t="shared" si="168"/>
        <v>Average Performance</v>
      </c>
      <c r="K2129">
        <f t="shared" si="169"/>
        <v>2003</v>
      </c>
      <c r="L2129" t="str">
        <f t="shared" si="170"/>
        <v>November</v>
      </c>
    </row>
    <row r="2130" spans="1:12" x14ac:dyDescent="0.25">
      <c r="A2130" t="s">
        <v>12</v>
      </c>
      <c r="B2130" t="s">
        <v>258</v>
      </c>
      <c r="C2130" t="s">
        <v>262</v>
      </c>
      <c r="D2130" t="str">
        <f t="shared" si="166"/>
        <v>Classic Cars</v>
      </c>
      <c r="E2130" t="s">
        <v>350</v>
      </c>
      <c r="F2130" s="5">
        <v>1991.92</v>
      </c>
      <c r="G2130" s="5">
        <v>398.38400000000001</v>
      </c>
      <c r="I2130" t="str">
        <f t="shared" si="167"/>
        <v>Low Sales</v>
      </c>
      <c r="J2130" t="str">
        <f t="shared" si="168"/>
        <v>Average Performance</v>
      </c>
      <c r="K2130">
        <f t="shared" si="169"/>
        <v>2003</v>
      </c>
      <c r="L2130" t="str">
        <f t="shared" si="170"/>
        <v>November</v>
      </c>
    </row>
    <row r="2131" spans="1:12" x14ac:dyDescent="0.25">
      <c r="A2131" t="s">
        <v>110</v>
      </c>
      <c r="B2131" t="s">
        <v>258</v>
      </c>
      <c r="C2131" t="s">
        <v>262</v>
      </c>
      <c r="D2131" t="str">
        <f t="shared" si="166"/>
        <v>Classic Cars</v>
      </c>
      <c r="E2131" t="s">
        <v>350</v>
      </c>
      <c r="F2131" s="5">
        <v>2916.76</v>
      </c>
      <c r="G2131" s="5">
        <v>583.35200000000009</v>
      </c>
      <c r="I2131" t="str">
        <f t="shared" si="167"/>
        <v>Low Sales</v>
      </c>
      <c r="J2131" t="str">
        <f t="shared" si="168"/>
        <v>Average Performance</v>
      </c>
      <c r="K2131">
        <f t="shared" si="169"/>
        <v>2003</v>
      </c>
      <c r="L2131" t="str">
        <f t="shared" si="170"/>
        <v>November</v>
      </c>
    </row>
    <row r="2132" spans="1:12" x14ac:dyDescent="0.25">
      <c r="A2132" t="s">
        <v>15</v>
      </c>
      <c r="B2132" t="s">
        <v>258</v>
      </c>
      <c r="C2132" t="s">
        <v>262</v>
      </c>
      <c r="D2132" t="str">
        <f t="shared" ref="D2132:D2195" si="171">PROPER(TRIM(C2132))</f>
        <v>Classic Cars</v>
      </c>
      <c r="E2132" t="s">
        <v>350</v>
      </c>
      <c r="F2132" s="5">
        <v>2027.52</v>
      </c>
      <c r="G2132" s="5">
        <v>405.50400000000002</v>
      </c>
      <c r="I2132" t="str">
        <f t="shared" si="167"/>
        <v>Low Sales</v>
      </c>
      <c r="J2132" t="str">
        <f t="shared" si="168"/>
        <v>Average Performance</v>
      </c>
      <c r="K2132">
        <f t="shared" si="169"/>
        <v>2004</v>
      </c>
      <c r="L2132" t="str">
        <f t="shared" si="170"/>
        <v>January</v>
      </c>
    </row>
    <row r="2133" spans="1:12" x14ac:dyDescent="0.25">
      <c r="A2133" t="s">
        <v>112</v>
      </c>
      <c r="B2133" t="s">
        <v>258</v>
      </c>
      <c r="C2133" t="s">
        <v>262</v>
      </c>
      <c r="D2133" t="str">
        <f t="shared" si="171"/>
        <v>Classic Cars</v>
      </c>
      <c r="E2133" t="s">
        <v>350</v>
      </c>
      <c r="F2133" s="5">
        <v>3235.18</v>
      </c>
      <c r="G2133" s="5">
        <v>647.03600000000006</v>
      </c>
      <c r="I2133" t="str">
        <f t="shared" si="167"/>
        <v>Low Sales</v>
      </c>
      <c r="J2133" t="str">
        <f t="shared" si="168"/>
        <v>Average Performance</v>
      </c>
      <c r="K2133">
        <f t="shared" si="169"/>
        <v>2004</v>
      </c>
      <c r="L2133" t="str">
        <f t="shared" si="170"/>
        <v>February</v>
      </c>
    </row>
    <row r="2134" spans="1:12" x14ac:dyDescent="0.25">
      <c r="A2134" t="s">
        <v>113</v>
      </c>
      <c r="B2134" t="s">
        <v>258</v>
      </c>
      <c r="C2134" t="s">
        <v>262</v>
      </c>
      <c r="D2134" t="str">
        <f t="shared" si="171"/>
        <v>Classic Cars</v>
      </c>
      <c r="E2134" t="s">
        <v>350</v>
      </c>
      <c r="F2134" s="5">
        <v>2062.94</v>
      </c>
      <c r="G2134" s="5">
        <v>412.58800000000002</v>
      </c>
      <c r="I2134" t="str">
        <f t="shared" si="167"/>
        <v>Low Sales</v>
      </c>
      <c r="J2134" t="str">
        <f t="shared" si="168"/>
        <v>Average Performance</v>
      </c>
      <c r="K2134">
        <f t="shared" si="169"/>
        <v>2004</v>
      </c>
      <c r="L2134" t="str">
        <f t="shared" si="170"/>
        <v>April</v>
      </c>
    </row>
    <row r="2135" spans="1:12" x14ac:dyDescent="0.25">
      <c r="A2135" t="s">
        <v>230</v>
      </c>
      <c r="B2135" t="s">
        <v>258</v>
      </c>
      <c r="C2135" t="s">
        <v>262</v>
      </c>
      <c r="D2135" t="str">
        <f t="shared" si="171"/>
        <v>Classic Cars</v>
      </c>
      <c r="E2135" t="s">
        <v>350</v>
      </c>
      <c r="F2135" s="5">
        <v>3317.78</v>
      </c>
      <c r="G2135" s="5">
        <v>663.55600000000004</v>
      </c>
      <c r="I2135" t="str">
        <f t="shared" si="167"/>
        <v>Low Sales</v>
      </c>
      <c r="J2135" t="str">
        <f t="shared" si="168"/>
        <v>Average Performance</v>
      </c>
      <c r="K2135">
        <f t="shared" si="169"/>
        <v>2004</v>
      </c>
      <c r="L2135" t="str">
        <f t="shared" si="170"/>
        <v>May</v>
      </c>
    </row>
    <row r="2136" spans="1:12" x14ac:dyDescent="0.25">
      <c r="A2136" t="s">
        <v>236</v>
      </c>
      <c r="C2136" t="s">
        <v>262</v>
      </c>
      <c r="D2136" t="str">
        <f t="shared" si="171"/>
        <v>Classic Cars</v>
      </c>
      <c r="E2136" t="s">
        <v>350</v>
      </c>
      <c r="F2136" s="5">
        <v>3913.69</v>
      </c>
      <c r="G2136" s="5">
        <v>782.73800000000006</v>
      </c>
      <c r="I2136" t="str">
        <f t="shared" si="167"/>
        <v>Low Sales</v>
      </c>
      <c r="J2136" t="str">
        <f t="shared" si="168"/>
        <v>Average Performance</v>
      </c>
      <c r="K2136">
        <f t="shared" si="169"/>
        <v>2004</v>
      </c>
      <c r="L2136" t="str">
        <f t="shared" si="170"/>
        <v>June</v>
      </c>
    </row>
    <row r="2137" spans="1:12" x14ac:dyDescent="0.25">
      <c r="A2137" t="s">
        <v>116</v>
      </c>
      <c r="C2137" t="s">
        <v>262</v>
      </c>
      <c r="D2137" t="str">
        <f t="shared" si="171"/>
        <v>Classic Cars</v>
      </c>
      <c r="E2137" t="s">
        <v>350</v>
      </c>
      <c r="F2137" s="5">
        <v>3608.64</v>
      </c>
      <c r="G2137" s="5">
        <v>721.72800000000007</v>
      </c>
      <c r="I2137" t="str">
        <f t="shared" si="167"/>
        <v>Low Sales</v>
      </c>
      <c r="J2137" t="str">
        <f t="shared" si="168"/>
        <v>Average Performance</v>
      </c>
      <c r="K2137">
        <f t="shared" si="169"/>
        <v>2004</v>
      </c>
      <c r="L2137" t="str">
        <f t="shared" si="170"/>
        <v>August</v>
      </c>
    </row>
    <row r="2138" spans="1:12" x14ac:dyDescent="0.25">
      <c r="A2138" t="s">
        <v>117</v>
      </c>
      <c r="B2138" t="s">
        <v>258</v>
      </c>
      <c r="C2138" t="s">
        <v>262</v>
      </c>
      <c r="D2138" t="str">
        <f t="shared" si="171"/>
        <v>Classic Cars</v>
      </c>
      <c r="E2138" t="s">
        <v>350</v>
      </c>
      <c r="F2138" s="5">
        <v>3524.8</v>
      </c>
      <c r="G2138" s="5">
        <v>704.96</v>
      </c>
      <c r="I2138" t="str">
        <f t="shared" si="167"/>
        <v>Low Sales</v>
      </c>
      <c r="J2138" t="str">
        <f t="shared" si="168"/>
        <v>Average Performance</v>
      </c>
      <c r="K2138">
        <f t="shared" si="169"/>
        <v>2004</v>
      </c>
      <c r="L2138" t="str">
        <f t="shared" si="170"/>
        <v>August</v>
      </c>
    </row>
    <row r="2139" spans="1:12" x14ac:dyDescent="0.25">
      <c r="A2139" t="s">
        <v>22</v>
      </c>
      <c r="B2139" t="s">
        <v>258</v>
      </c>
      <c r="C2139" t="s">
        <v>262</v>
      </c>
      <c r="D2139" t="str">
        <f t="shared" si="171"/>
        <v>Classic Cars</v>
      </c>
      <c r="E2139" t="s">
        <v>350</v>
      </c>
      <c r="F2139" s="5">
        <v>2586.88</v>
      </c>
      <c r="G2139" s="5">
        <v>517.37600000000009</v>
      </c>
      <c r="I2139" t="str">
        <f t="shared" si="167"/>
        <v>Low Sales</v>
      </c>
      <c r="J2139" t="str">
        <f t="shared" si="168"/>
        <v>Average Performance</v>
      </c>
      <c r="K2139">
        <f t="shared" si="169"/>
        <v>2004</v>
      </c>
      <c r="L2139" t="str">
        <f t="shared" si="170"/>
        <v>September</v>
      </c>
    </row>
    <row r="2140" spans="1:12" x14ac:dyDescent="0.25">
      <c r="A2140" t="s">
        <v>119</v>
      </c>
      <c r="B2140" t="s">
        <v>258</v>
      </c>
      <c r="C2140" t="s">
        <v>262</v>
      </c>
      <c r="D2140" t="str">
        <f t="shared" si="171"/>
        <v>Classic Cars</v>
      </c>
      <c r="E2140" t="s">
        <v>350</v>
      </c>
      <c r="F2140" s="5">
        <v>4753.49</v>
      </c>
      <c r="G2140" s="5">
        <v>950.69799999999998</v>
      </c>
      <c r="I2140" t="str">
        <f t="shared" si="167"/>
        <v>Low Sales</v>
      </c>
      <c r="J2140" t="str">
        <f t="shared" si="168"/>
        <v>Average Performance</v>
      </c>
      <c r="K2140">
        <f t="shared" si="169"/>
        <v>2004</v>
      </c>
      <c r="L2140" t="str">
        <f t="shared" si="170"/>
        <v>October</v>
      </c>
    </row>
    <row r="2141" spans="1:12" x14ac:dyDescent="0.25">
      <c r="A2141" t="s">
        <v>120</v>
      </c>
      <c r="C2141" t="s">
        <v>262</v>
      </c>
      <c r="D2141" t="str">
        <f t="shared" si="171"/>
        <v>Classic Cars</v>
      </c>
      <c r="E2141" t="s">
        <v>350</v>
      </c>
      <c r="F2141" s="5">
        <v>3684.67</v>
      </c>
      <c r="G2141" s="5">
        <v>736.93400000000008</v>
      </c>
      <c r="I2141" t="str">
        <f t="shared" si="167"/>
        <v>Low Sales</v>
      </c>
      <c r="J2141" t="str">
        <f t="shared" si="168"/>
        <v>Average Performance</v>
      </c>
      <c r="K2141">
        <f t="shared" si="169"/>
        <v>2004</v>
      </c>
      <c r="L2141" t="str">
        <f t="shared" si="170"/>
        <v>November</v>
      </c>
    </row>
    <row r="2142" spans="1:12" x14ac:dyDescent="0.25">
      <c r="A2142" t="s">
        <v>165</v>
      </c>
      <c r="C2142" t="s">
        <v>262</v>
      </c>
      <c r="D2142" t="str">
        <f t="shared" si="171"/>
        <v>Classic Cars</v>
      </c>
      <c r="E2142" t="s">
        <v>350</v>
      </c>
      <c r="F2142" s="5">
        <v>5715.4</v>
      </c>
      <c r="G2142" s="5">
        <v>1143.08</v>
      </c>
      <c r="I2142" t="str">
        <f t="shared" si="167"/>
        <v>Low Sales</v>
      </c>
      <c r="J2142" t="str">
        <f t="shared" si="168"/>
        <v>Average Performance</v>
      </c>
      <c r="K2142">
        <f t="shared" si="169"/>
        <v>2004</v>
      </c>
      <c r="L2142" t="str">
        <f t="shared" si="170"/>
        <v>November</v>
      </c>
    </row>
    <row r="2143" spans="1:12" x14ac:dyDescent="0.25">
      <c r="A2143" t="s">
        <v>26</v>
      </c>
      <c r="B2143" t="s">
        <v>258</v>
      </c>
      <c r="C2143" t="s">
        <v>262</v>
      </c>
      <c r="D2143" t="str">
        <f t="shared" si="171"/>
        <v>Classic Cars</v>
      </c>
      <c r="E2143" t="s">
        <v>350</v>
      </c>
      <c r="F2143" s="5">
        <v>3098.7</v>
      </c>
      <c r="G2143" s="5">
        <v>619.74</v>
      </c>
      <c r="I2143" t="str">
        <f t="shared" si="167"/>
        <v>Low Sales</v>
      </c>
      <c r="J2143" t="str">
        <f t="shared" si="168"/>
        <v>Average Performance</v>
      </c>
      <c r="K2143">
        <f t="shared" si="169"/>
        <v>2004</v>
      </c>
      <c r="L2143" t="str">
        <f t="shared" si="170"/>
        <v>November</v>
      </c>
    </row>
    <row r="2144" spans="1:12" x14ac:dyDescent="0.25">
      <c r="A2144" t="s">
        <v>234</v>
      </c>
      <c r="B2144" t="s">
        <v>258</v>
      </c>
      <c r="C2144" t="s">
        <v>262</v>
      </c>
      <c r="D2144" t="str">
        <f t="shared" si="171"/>
        <v>Classic Cars</v>
      </c>
      <c r="E2144" t="s">
        <v>350</v>
      </c>
      <c r="F2144" s="5">
        <v>2670.92</v>
      </c>
      <c r="G2144" s="5">
        <v>534.18400000000008</v>
      </c>
      <c r="I2144" t="str">
        <f t="shared" si="167"/>
        <v>Low Sales</v>
      </c>
      <c r="J2144" t="str">
        <f t="shared" si="168"/>
        <v>Average Performance</v>
      </c>
      <c r="K2144">
        <f t="shared" si="169"/>
        <v>2004</v>
      </c>
      <c r="L2144" t="str">
        <f t="shared" si="170"/>
        <v>December</v>
      </c>
    </row>
    <row r="2145" spans="1:12" x14ac:dyDescent="0.25">
      <c r="A2145" t="s">
        <v>121</v>
      </c>
      <c r="B2145" t="s">
        <v>258</v>
      </c>
      <c r="C2145" t="s">
        <v>262</v>
      </c>
      <c r="D2145" t="str">
        <f t="shared" si="171"/>
        <v>Classic Cars</v>
      </c>
      <c r="E2145" t="s">
        <v>350</v>
      </c>
      <c r="F2145" s="5">
        <v>5154.41</v>
      </c>
      <c r="G2145" s="5">
        <v>1030.8820000000001</v>
      </c>
      <c r="I2145" t="str">
        <f t="shared" si="167"/>
        <v>Low Sales</v>
      </c>
      <c r="J2145" t="str">
        <f t="shared" si="168"/>
        <v>Average Performance</v>
      </c>
      <c r="K2145">
        <f t="shared" si="169"/>
        <v>2005</v>
      </c>
      <c r="L2145" t="str">
        <f t="shared" si="170"/>
        <v>January</v>
      </c>
    </row>
    <row r="2146" spans="1:12" x14ac:dyDescent="0.25">
      <c r="A2146" t="s">
        <v>190</v>
      </c>
      <c r="B2146" t="s">
        <v>258</v>
      </c>
      <c r="C2146" t="s">
        <v>262</v>
      </c>
      <c r="D2146" t="str">
        <f t="shared" si="171"/>
        <v>Classic Cars</v>
      </c>
      <c r="E2146" t="s">
        <v>350</v>
      </c>
      <c r="F2146" s="5">
        <v>4894.17</v>
      </c>
      <c r="G2146" s="5">
        <v>978.83400000000006</v>
      </c>
      <c r="I2146" t="str">
        <f t="shared" si="167"/>
        <v>Low Sales</v>
      </c>
      <c r="J2146" t="str">
        <f t="shared" si="168"/>
        <v>Average Performance</v>
      </c>
      <c r="K2146">
        <f t="shared" si="169"/>
        <v>2005</v>
      </c>
      <c r="L2146" t="str">
        <f t="shared" si="170"/>
        <v>February</v>
      </c>
    </row>
    <row r="2147" spans="1:12" x14ac:dyDescent="0.25">
      <c r="A2147" t="s">
        <v>168</v>
      </c>
      <c r="C2147" t="s">
        <v>262</v>
      </c>
      <c r="D2147" t="str">
        <f t="shared" si="171"/>
        <v>Classic Cars</v>
      </c>
      <c r="E2147" t="s">
        <v>350</v>
      </c>
      <c r="F2147" s="5">
        <v>2472.6</v>
      </c>
      <c r="G2147" s="5">
        <v>494.52</v>
      </c>
      <c r="I2147" t="str">
        <f t="shared" si="167"/>
        <v>Low Sales</v>
      </c>
      <c r="J2147" t="str">
        <f t="shared" si="168"/>
        <v>Average Performance</v>
      </c>
      <c r="K2147">
        <f t="shared" si="169"/>
        <v>2005</v>
      </c>
      <c r="L2147" t="str">
        <f t="shared" si="170"/>
        <v>March</v>
      </c>
    </row>
    <row r="2148" spans="1:12" x14ac:dyDescent="0.25">
      <c r="A2148" t="s">
        <v>32</v>
      </c>
      <c r="B2148" t="s">
        <v>258</v>
      </c>
      <c r="C2148" t="s">
        <v>263</v>
      </c>
      <c r="D2148" t="str">
        <f t="shared" si="171"/>
        <v>Trucks And Buses</v>
      </c>
      <c r="E2148" t="s">
        <v>351</v>
      </c>
      <c r="F2148" s="5">
        <v>3224.31</v>
      </c>
      <c r="G2148" s="5">
        <v>644.86200000000008</v>
      </c>
      <c r="I2148" t="str">
        <f t="shared" si="167"/>
        <v>Low Sales</v>
      </c>
      <c r="J2148" t="str">
        <f t="shared" si="168"/>
        <v>Average Performance</v>
      </c>
      <c r="K2148">
        <f t="shared" si="169"/>
        <v>2003</v>
      </c>
      <c r="L2148" t="str">
        <f t="shared" si="170"/>
        <v>January</v>
      </c>
    </row>
    <row r="2149" spans="1:12" x14ac:dyDescent="0.25">
      <c r="A2149" t="s">
        <v>95</v>
      </c>
      <c r="B2149" t="s">
        <v>258</v>
      </c>
      <c r="C2149" t="s">
        <v>263</v>
      </c>
      <c r="D2149" t="str">
        <f t="shared" si="171"/>
        <v>Trucks And Buses</v>
      </c>
      <c r="E2149" t="s">
        <v>351</v>
      </c>
      <c r="F2149" s="5">
        <v>3667.52</v>
      </c>
      <c r="G2149" s="5">
        <v>733.50400000000002</v>
      </c>
      <c r="I2149" t="str">
        <f t="shared" si="167"/>
        <v>Low Sales</v>
      </c>
      <c r="J2149" t="str">
        <f t="shared" si="168"/>
        <v>Average Performance</v>
      </c>
      <c r="K2149">
        <f t="shared" si="169"/>
        <v>2003</v>
      </c>
      <c r="L2149" t="str">
        <f t="shared" si="170"/>
        <v>April</v>
      </c>
    </row>
    <row r="2150" spans="1:12" x14ac:dyDescent="0.25">
      <c r="A2150" t="s">
        <v>34</v>
      </c>
      <c r="B2150" t="s">
        <v>258</v>
      </c>
      <c r="C2150" t="s">
        <v>263</v>
      </c>
      <c r="D2150" t="str">
        <f t="shared" si="171"/>
        <v>Trucks And Buses</v>
      </c>
      <c r="E2150" t="s">
        <v>351</v>
      </c>
      <c r="F2150" s="5">
        <v>4141.33</v>
      </c>
      <c r="G2150" s="5">
        <v>828.26600000000008</v>
      </c>
      <c r="I2150" t="str">
        <f t="shared" si="167"/>
        <v>Low Sales</v>
      </c>
      <c r="J2150" t="str">
        <f t="shared" si="168"/>
        <v>Average Performance</v>
      </c>
      <c r="K2150">
        <f t="shared" si="169"/>
        <v>2003</v>
      </c>
      <c r="L2150" t="str">
        <f t="shared" si="170"/>
        <v>May</v>
      </c>
    </row>
    <row r="2151" spans="1:12" x14ac:dyDescent="0.25">
      <c r="A2151" t="s">
        <v>35</v>
      </c>
      <c r="C2151" t="s">
        <v>263</v>
      </c>
      <c r="D2151" t="str">
        <f t="shared" si="171"/>
        <v>Trucks And Buses</v>
      </c>
      <c r="E2151" t="s">
        <v>351</v>
      </c>
      <c r="F2151" s="5">
        <v>2829.58</v>
      </c>
      <c r="G2151" s="5">
        <v>565.91600000000005</v>
      </c>
      <c r="I2151" t="str">
        <f t="shared" si="167"/>
        <v>Low Sales</v>
      </c>
      <c r="J2151" t="str">
        <f t="shared" si="168"/>
        <v>Average Performance</v>
      </c>
      <c r="K2151">
        <f t="shared" si="169"/>
        <v>2003</v>
      </c>
      <c r="L2151" t="str">
        <f t="shared" si="170"/>
        <v>July</v>
      </c>
    </row>
    <row r="2152" spans="1:12" x14ac:dyDescent="0.25">
      <c r="A2152" t="s">
        <v>151</v>
      </c>
      <c r="B2152" t="s">
        <v>258</v>
      </c>
      <c r="C2152" t="s">
        <v>263</v>
      </c>
      <c r="D2152" t="str">
        <f t="shared" si="171"/>
        <v>Trucks And Buses</v>
      </c>
      <c r="E2152" t="s">
        <v>351</v>
      </c>
      <c r="F2152" s="5">
        <v>3068.55</v>
      </c>
      <c r="G2152" s="5">
        <v>613.71</v>
      </c>
      <c r="I2152" t="str">
        <f t="shared" si="167"/>
        <v>Low Sales</v>
      </c>
      <c r="J2152" t="str">
        <f t="shared" si="168"/>
        <v>Average Performance</v>
      </c>
      <c r="K2152">
        <f t="shared" si="169"/>
        <v>2003</v>
      </c>
      <c r="L2152" t="str">
        <f t="shared" si="170"/>
        <v>September</v>
      </c>
    </row>
    <row r="2153" spans="1:12" x14ac:dyDescent="0.25">
      <c r="A2153" t="s">
        <v>96</v>
      </c>
      <c r="B2153" t="s">
        <v>258</v>
      </c>
      <c r="C2153" t="s">
        <v>263</v>
      </c>
      <c r="D2153" t="str">
        <f t="shared" si="171"/>
        <v>Trucks And Buses</v>
      </c>
      <c r="E2153" t="s">
        <v>351</v>
      </c>
      <c r="F2153" s="5">
        <v>2634.96</v>
      </c>
      <c r="G2153" s="5">
        <v>526.99200000000008</v>
      </c>
      <c r="I2153" t="str">
        <f t="shared" si="167"/>
        <v>Low Sales</v>
      </c>
      <c r="J2153" t="str">
        <f t="shared" si="168"/>
        <v>Average Performance</v>
      </c>
      <c r="K2153">
        <f t="shared" si="169"/>
        <v>2003</v>
      </c>
      <c r="L2153" t="str">
        <f t="shared" si="170"/>
        <v>October</v>
      </c>
    </row>
    <row r="2154" spans="1:12" x14ac:dyDescent="0.25">
      <c r="A2154" t="s">
        <v>38</v>
      </c>
      <c r="B2154" t="s">
        <v>258</v>
      </c>
      <c r="C2154" t="s">
        <v>263</v>
      </c>
      <c r="D2154" t="str">
        <f t="shared" si="171"/>
        <v>Trucks And Buses</v>
      </c>
      <c r="E2154" t="s">
        <v>351</v>
      </c>
      <c r="F2154" s="5">
        <v>2436.7199999999998</v>
      </c>
      <c r="G2154" s="5">
        <v>487.34399999999999</v>
      </c>
      <c r="I2154" t="str">
        <f t="shared" si="167"/>
        <v>Low Sales</v>
      </c>
      <c r="J2154" t="str">
        <f t="shared" si="168"/>
        <v>Average Performance</v>
      </c>
      <c r="K2154">
        <f t="shared" si="169"/>
        <v>2003</v>
      </c>
      <c r="L2154" t="str">
        <f t="shared" si="170"/>
        <v>November</v>
      </c>
    </row>
    <row r="2155" spans="1:12" x14ac:dyDescent="0.25">
      <c r="A2155" t="s">
        <v>75</v>
      </c>
      <c r="B2155" t="s">
        <v>258</v>
      </c>
      <c r="C2155" t="s">
        <v>263</v>
      </c>
      <c r="D2155" t="str">
        <f t="shared" si="171"/>
        <v>Trucks And Buses</v>
      </c>
      <c r="E2155" t="s">
        <v>351</v>
      </c>
      <c r="F2155" s="5">
        <v>4607.3599999999997</v>
      </c>
      <c r="G2155" s="5">
        <v>921.47199999999998</v>
      </c>
      <c r="I2155" t="str">
        <f t="shared" si="167"/>
        <v>Low Sales</v>
      </c>
      <c r="J2155" t="str">
        <f t="shared" si="168"/>
        <v>Average Performance</v>
      </c>
      <c r="K2155">
        <f t="shared" si="169"/>
        <v>2003</v>
      </c>
      <c r="L2155" t="str">
        <f t="shared" si="170"/>
        <v>November</v>
      </c>
    </row>
    <row r="2156" spans="1:12" x14ac:dyDescent="0.25">
      <c r="A2156" t="s">
        <v>40</v>
      </c>
      <c r="B2156" t="s">
        <v>258</v>
      </c>
      <c r="C2156" t="s">
        <v>263</v>
      </c>
      <c r="D2156" t="str">
        <f t="shared" si="171"/>
        <v>Trucks And Buses</v>
      </c>
      <c r="E2156" t="s">
        <v>351</v>
      </c>
      <c r="F2156" s="5">
        <v>3598.99</v>
      </c>
      <c r="G2156" s="5">
        <v>719.798</v>
      </c>
      <c r="I2156" t="str">
        <f t="shared" si="167"/>
        <v>Low Sales</v>
      </c>
      <c r="J2156" t="str">
        <f t="shared" si="168"/>
        <v>Average Performance</v>
      </c>
      <c r="K2156">
        <f t="shared" si="169"/>
        <v>2003</v>
      </c>
      <c r="L2156" t="str">
        <f t="shared" si="170"/>
        <v>November</v>
      </c>
    </row>
    <row r="2157" spans="1:12" x14ac:dyDescent="0.25">
      <c r="A2157" t="s">
        <v>97</v>
      </c>
      <c r="C2157" t="s">
        <v>263</v>
      </c>
      <c r="D2157" t="str">
        <f t="shared" si="171"/>
        <v>Trucks And Buses</v>
      </c>
      <c r="E2157" t="s">
        <v>351</v>
      </c>
      <c r="F2157" s="5">
        <v>3964.1</v>
      </c>
      <c r="G2157" s="5">
        <v>792.82</v>
      </c>
      <c r="I2157" t="str">
        <f t="shared" si="167"/>
        <v>Low Sales</v>
      </c>
      <c r="J2157" t="str">
        <f t="shared" si="168"/>
        <v>Average Performance</v>
      </c>
      <c r="K2157">
        <f t="shared" si="169"/>
        <v>2003</v>
      </c>
      <c r="L2157" t="str">
        <f t="shared" si="170"/>
        <v>December</v>
      </c>
    </row>
    <row r="2158" spans="1:12" x14ac:dyDescent="0.25">
      <c r="A2158" t="s">
        <v>98</v>
      </c>
      <c r="B2158" t="s">
        <v>259</v>
      </c>
      <c r="C2158" t="s">
        <v>263</v>
      </c>
      <c r="D2158" t="str">
        <f t="shared" si="171"/>
        <v>Trucks And Buses</v>
      </c>
      <c r="E2158" t="s">
        <v>351</v>
      </c>
      <c r="F2158" s="5">
        <v>2244.9</v>
      </c>
      <c r="G2158" s="5">
        <v>448.98</v>
      </c>
      <c r="I2158" t="str">
        <f t="shared" si="167"/>
        <v>Low Sales</v>
      </c>
      <c r="J2158" t="str">
        <f t="shared" si="168"/>
        <v>Average Performance</v>
      </c>
      <c r="K2158">
        <f t="shared" si="169"/>
        <v>2004</v>
      </c>
      <c r="L2158" t="str">
        <f t="shared" si="170"/>
        <v>February</v>
      </c>
    </row>
    <row r="2159" spans="1:12" x14ac:dyDescent="0.25">
      <c r="A2159" t="s">
        <v>99</v>
      </c>
      <c r="C2159" t="s">
        <v>263</v>
      </c>
      <c r="D2159" t="str">
        <f t="shared" si="171"/>
        <v>Trucks And Buses</v>
      </c>
      <c r="E2159" t="s">
        <v>351</v>
      </c>
      <c r="F2159" s="5">
        <v>2793</v>
      </c>
      <c r="G2159" s="5">
        <v>558.6</v>
      </c>
      <c r="I2159" t="str">
        <f t="shared" si="167"/>
        <v>Low Sales</v>
      </c>
      <c r="J2159" t="str">
        <f t="shared" si="168"/>
        <v>Average Performance</v>
      </c>
      <c r="K2159">
        <f t="shared" si="169"/>
        <v>2004</v>
      </c>
      <c r="L2159" t="str">
        <f t="shared" si="170"/>
        <v>March</v>
      </c>
    </row>
    <row r="2160" spans="1:12" x14ac:dyDescent="0.25">
      <c r="A2160" t="s">
        <v>44</v>
      </c>
      <c r="C2160" t="s">
        <v>263</v>
      </c>
      <c r="D2160" t="str">
        <f t="shared" si="171"/>
        <v>Trucks And Buses</v>
      </c>
      <c r="E2160" t="s">
        <v>351</v>
      </c>
      <c r="F2160" s="5">
        <v>4133.6400000000003</v>
      </c>
      <c r="G2160" s="5">
        <v>826.72800000000007</v>
      </c>
      <c r="I2160" t="str">
        <f t="shared" si="167"/>
        <v>Low Sales</v>
      </c>
      <c r="J2160" t="str">
        <f t="shared" si="168"/>
        <v>Average Performance</v>
      </c>
      <c r="K2160">
        <f t="shared" si="169"/>
        <v>2004</v>
      </c>
      <c r="L2160" t="str">
        <f t="shared" si="170"/>
        <v>May</v>
      </c>
    </row>
    <row r="2161" spans="1:12" x14ac:dyDescent="0.25">
      <c r="A2161" t="s">
        <v>45</v>
      </c>
      <c r="B2161" t="s">
        <v>259</v>
      </c>
      <c r="C2161" t="s">
        <v>263</v>
      </c>
      <c r="D2161" t="str">
        <f t="shared" si="171"/>
        <v>Trucks And Buses</v>
      </c>
      <c r="E2161" t="s">
        <v>351</v>
      </c>
      <c r="F2161" s="5">
        <v>3900.6</v>
      </c>
      <c r="G2161" s="5">
        <v>780.12</v>
      </c>
      <c r="I2161" t="str">
        <f t="shared" si="167"/>
        <v>Low Sales</v>
      </c>
      <c r="J2161" t="str">
        <f t="shared" si="168"/>
        <v>Average Performance</v>
      </c>
      <c r="K2161">
        <f t="shared" si="169"/>
        <v>2004</v>
      </c>
      <c r="L2161" t="str">
        <f t="shared" si="170"/>
        <v>June</v>
      </c>
    </row>
    <row r="2162" spans="1:12" x14ac:dyDescent="0.25">
      <c r="A2162" t="s">
        <v>46</v>
      </c>
      <c r="B2162" t="s">
        <v>259</v>
      </c>
      <c r="C2162" t="s">
        <v>263</v>
      </c>
      <c r="D2162" t="str">
        <f t="shared" si="171"/>
        <v>Trucks And Buses</v>
      </c>
      <c r="E2162" t="s">
        <v>351</v>
      </c>
      <c r="F2162" s="5">
        <v>2743.04</v>
      </c>
      <c r="G2162" s="5">
        <v>548.60800000000006</v>
      </c>
      <c r="I2162" t="str">
        <f t="shared" si="167"/>
        <v>Low Sales</v>
      </c>
      <c r="J2162" t="str">
        <f t="shared" si="168"/>
        <v>Average Performance</v>
      </c>
      <c r="K2162">
        <f t="shared" si="169"/>
        <v>2004</v>
      </c>
      <c r="L2162" t="str">
        <f t="shared" si="170"/>
        <v>July</v>
      </c>
    </row>
    <row r="2163" spans="1:12" x14ac:dyDescent="0.25">
      <c r="A2163" t="s">
        <v>100</v>
      </c>
      <c r="C2163" t="s">
        <v>263</v>
      </c>
      <c r="D2163" t="str">
        <f t="shared" si="171"/>
        <v>Trucks And Buses</v>
      </c>
      <c r="E2163" t="s">
        <v>351</v>
      </c>
      <c r="F2163" s="5">
        <v>2402.0700000000002</v>
      </c>
      <c r="G2163" s="5">
        <v>480.41399999999999</v>
      </c>
      <c r="I2163" t="str">
        <f t="shared" si="167"/>
        <v>Low Sales</v>
      </c>
      <c r="J2163" t="str">
        <f t="shared" si="168"/>
        <v>Average Performance</v>
      </c>
      <c r="K2163">
        <f t="shared" si="169"/>
        <v>2004</v>
      </c>
      <c r="L2163" t="str">
        <f t="shared" si="170"/>
        <v>August</v>
      </c>
    </row>
    <row r="2164" spans="1:12" x14ac:dyDescent="0.25">
      <c r="A2164" t="s">
        <v>48</v>
      </c>
      <c r="B2164" t="s">
        <v>258</v>
      </c>
      <c r="C2164" t="s">
        <v>263</v>
      </c>
      <c r="D2164" t="str">
        <f t="shared" si="171"/>
        <v>Trucks And Buses</v>
      </c>
      <c r="E2164" t="s">
        <v>351</v>
      </c>
      <c r="F2164" s="5">
        <v>2178.54</v>
      </c>
      <c r="G2164" s="5">
        <v>435.70800000000003</v>
      </c>
      <c r="I2164" t="str">
        <f t="shared" si="167"/>
        <v>Low Sales</v>
      </c>
      <c r="J2164" t="str">
        <f t="shared" si="168"/>
        <v>Average Performance</v>
      </c>
      <c r="K2164">
        <f t="shared" si="169"/>
        <v>2004</v>
      </c>
      <c r="L2164" t="str">
        <f t="shared" si="170"/>
        <v>September</v>
      </c>
    </row>
    <row r="2165" spans="1:12" x14ac:dyDescent="0.25">
      <c r="A2165" t="s">
        <v>101</v>
      </c>
      <c r="C2165" t="s">
        <v>263</v>
      </c>
      <c r="D2165" t="str">
        <f t="shared" si="171"/>
        <v>Trucks And Buses</v>
      </c>
      <c r="E2165" t="s">
        <v>351</v>
      </c>
      <c r="F2165" s="5">
        <v>3155.04</v>
      </c>
      <c r="G2165" s="5">
        <v>631.00800000000004</v>
      </c>
      <c r="I2165" t="str">
        <f t="shared" si="167"/>
        <v>Low Sales</v>
      </c>
      <c r="J2165" t="str">
        <f t="shared" si="168"/>
        <v>Average Performance</v>
      </c>
      <c r="K2165">
        <f t="shared" si="169"/>
        <v>2004</v>
      </c>
      <c r="L2165" t="str">
        <f t="shared" si="170"/>
        <v>October</v>
      </c>
    </row>
    <row r="2166" spans="1:12" x14ac:dyDescent="0.25">
      <c r="A2166" t="s">
        <v>102</v>
      </c>
      <c r="C2166" t="s">
        <v>263</v>
      </c>
      <c r="D2166" t="str">
        <f t="shared" si="171"/>
        <v>Trucks And Buses</v>
      </c>
      <c r="E2166" t="s">
        <v>351</v>
      </c>
      <c r="F2166" s="5">
        <v>2366.2800000000002</v>
      </c>
      <c r="G2166" s="5">
        <v>473.25600000000009</v>
      </c>
      <c r="I2166" t="str">
        <f t="shared" si="167"/>
        <v>Low Sales</v>
      </c>
      <c r="J2166" t="str">
        <f t="shared" si="168"/>
        <v>Average Performance</v>
      </c>
      <c r="K2166">
        <f t="shared" si="169"/>
        <v>2004</v>
      </c>
      <c r="L2166" t="str">
        <f t="shared" si="170"/>
        <v>October</v>
      </c>
    </row>
    <row r="2167" spans="1:12" x14ac:dyDescent="0.25">
      <c r="A2167" t="s">
        <v>86</v>
      </c>
      <c r="C2167" t="s">
        <v>263</v>
      </c>
      <c r="D2167" t="str">
        <f t="shared" si="171"/>
        <v>Trucks And Buses</v>
      </c>
      <c r="E2167" t="s">
        <v>351</v>
      </c>
      <c r="F2167" s="5">
        <v>1963.6</v>
      </c>
      <c r="G2167" s="5">
        <v>392.72</v>
      </c>
      <c r="I2167" t="str">
        <f t="shared" si="167"/>
        <v>Low Sales</v>
      </c>
      <c r="J2167" t="str">
        <f t="shared" si="168"/>
        <v>Average Performance</v>
      </c>
      <c r="K2167">
        <f t="shared" si="169"/>
        <v>2004</v>
      </c>
      <c r="L2167" t="str">
        <f t="shared" si="170"/>
        <v>November</v>
      </c>
    </row>
    <row r="2168" spans="1:12" x14ac:dyDescent="0.25">
      <c r="A2168" t="s">
        <v>103</v>
      </c>
      <c r="C2168" t="s">
        <v>263</v>
      </c>
      <c r="D2168" t="str">
        <f t="shared" si="171"/>
        <v>Trucks And Buses</v>
      </c>
      <c r="E2168" t="s">
        <v>351</v>
      </c>
      <c r="F2168" s="5">
        <v>4746.28</v>
      </c>
      <c r="G2168" s="5">
        <v>949.25599999999997</v>
      </c>
      <c r="I2168" t="str">
        <f t="shared" si="167"/>
        <v>Low Sales</v>
      </c>
      <c r="J2168" t="str">
        <f t="shared" si="168"/>
        <v>Average Performance</v>
      </c>
      <c r="K2168">
        <f t="shared" si="169"/>
        <v>2004</v>
      </c>
      <c r="L2168" t="str">
        <f t="shared" si="170"/>
        <v>November</v>
      </c>
    </row>
    <row r="2169" spans="1:12" x14ac:dyDescent="0.25">
      <c r="A2169" t="s">
        <v>85</v>
      </c>
      <c r="B2169" t="s">
        <v>258</v>
      </c>
      <c r="C2169" t="s">
        <v>263</v>
      </c>
      <c r="D2169" t="str">
        <f t="shared" si="171"/>
        <v>Trucks And Buses</v>
      </c>
      <c r="E2169" t="s">
        <v>351</v>
      </c>
      <c r="F2169" s="5">
        <v>6386.94</v>
      </c>
      <c r="G2169" s="5">
        <v>1277.3879999999999</v>
      </c>
      <c r="I2169" t="str">
        <f t="shared" si="167"/>
        <v>Low Sales</v>
      </c>
      <c r="J2169" t="str">
        <f t="shared" si="168"/>
        <v>Average Performance</v>
      </c>
      <c r="K2169">
        <f t="shared" si="169"/>
        <v>2004</v>
      </c>
      <c r="L2169" t="str">
        <f t="shared" si="170"/>
        <v>November</v>
      </c>
    </row>
    <row r="2170" spans="1:12" x14ac:dyDescent="0.25">
      <c r="A2170" t="s">
        <v>54</v>
      </c>
      <c r="B2170" t="s">
        <v>258</v>
      </c>
      <c r="C2170" t="s">
        <v>263</v>
      </c>
      <c r="D2170" t="str">
        <f t="shared" si="171"/>
        <v>Trucks And Buses</v>
      </c>
      <c r="E2170" t="s">
        <v>351</v>
      </c>
      <c r="F2170" s="5">
        <v>4428</v>
      </c>
      <c r="G2170" s="5">
        <v>885.6</v>
      </c>
      <c r="I2170" t="str">
        <f t="shared" si="167"/>
        <v>Low Sales</v>
      </c>
      <c r="J2170" t="str">
        <f t="shared" si="168"/>
        <v>Average Performance</v>
      </c>
      <c r="K2170">
        <f t="shared" si="169"/>
        <v>2004</v>
      </c>
      <c r="L2170" t="str">
        <f t="shared" si="170"/>
        <v>December</v>
      </c>
    </row>
    <row r="2171" spans="1:12" x14ac:dyDescent="0.25">
      <c r="A2171" t="s">
        <v>135</v>
      </c>
      <c r="C2171" t="s">
        <v>263</v>
      </c>
      <c r="D2171" t="str">
        <f t="shared" si="171"/>
        <v>Trucks And Buses</v>
      </c>
      <c r="E2171" t="s">
        <v>351</v>
      </c>
      <c r="F2171" s="5">
        <v>4044.04</v>
      </c>
      <c r="G2171" s="5">
        <v>808.80799999999999</v>
      </c>
      <c r="I2171" t="str">
        <f t="shared" si="167"/>
        <v>Low Sales</v>
      </c>
      <c r="J2171" t="str">
        <f t="shared" si="168"/>
        <v>Average Performance</v>
      </c>
      <c r="K2171">
        <f t="shared" si="169"/>
        <v>2005</v>
      </c>
      <c r="L2171" t="str">
        <f t="shared" si="170"/>
        <v>January</v>
      </c>
    </row>
    <row r="2172" spans="1:12" x14ac:dyDescent="0.25">
      <c r="A2172" t="s">
        <v>56</v>
      </c>
      <c r="C2172" t="s">
        <v>263</v>
      </c>
      <c r="D2172" t="str">
        <f t="shared" si="171"/>
        <v>Trucks And Buses</v>
      </c>
      <c r="E2172" t="s">
        <v>351</v>
      </c>
      <c r="F2172" s="5">
        <v>2708.42</v>
      </c>
      <c r="G2172" s="5">
        <v>541.68400000000008</v>
      </c>
      <c r="I2172" t="str">
        <f t="shared" si="167"/>
        <v>Low Sales</v>
      </c>
      <c r="J2172" t="str">
        <f t="shared" si="168"/>
        <v>Average Performance</v>
      </c>
      <c r="K2172">
        <f t="shared" si="169"/>
        <v>2005</v>
      </c>
      <c r="L2172" t="str">
        <f t="shared" si="170"/>
        <v>February</v>
      </c>
    </row>
    <row r="2173" spans="1:12" x14ac:dyDescent="0.25">
      <c r="A2173" t="s">
        <v>58</v>
      </c>
      <c r="C2173" t="s">
        <v>263</v>
      </c>
      <c r="D2173" t="str">
        <f t="shared" si="171"/>
        <v>Trucks And Buses</v>
      </c>
      <c r="E2173" t="s">
        <v>351</v>
      </c>
      <c r="F2173" s="5">
        <v>2904.72</v>
      </c>
      <c r="G2173" s="5">
        <v>580.94399999999996</v>
      </c>
      <c r="I2173" t="str">
        <f t="shared" si="167"/>
        <v>Low Sales</v>
      </c>
      <c r="J2173" t="str">
        <f t="shared" si="168"/>
        <v>Average Performance</v>
      </c>
      <c r="K2173">
        <f t="shared" si="169"/>
        <v>2005</v>
      </c>
      <c r="L2173" t="str">
        <f t="shared" si="170"/>
        <v>May</v>
      </c>
    </row>
    <row r="2174" spans="1:12" x14ac:dyDescent="0.25">
      <c r="A2174" t="s">
        <v>59</v>
      </c>
      <c r="B2174" t="s">
        <v>258</v>
      </c>
      <c r="C2174" t="s">
        <v>263</v>
      </c>
      <c r="D2174" t="str">
        <f t="shared" si="171"/>
        <v>Trucks And Buses</v>
      </c>
      <c r="E2174" t="s">
        <v>351</v>
      </c>
      <c r="F2174" s="5">
        <v>3553.88</v>
      </c>
      <c r="G2174" s="5">
        <v>710.77600000000007</v>
      </c>
      <c r="I2174" t="str">
        <f t="shared" si="167"/>
        <v>Low Sales</v>
      </c>
      <c r="J2174" t="str">
        <f t="shared" si="168"/>
        <v>Average Performance</v>
      </c>
      <c r="K2174">
        <f t="shared" si="169"/>
        <v>2005</v>
      </c>
      <c r="L2174" t="str">
        <f t="shared" si="170"/>
        <v>May</v>
      </c>
    </row>
    <row r="2175" spans="1:12" x14ac:dyDescent="0.25">
      <c r="A2175" t="s">
        <v>6</v>
      </c>
      <c r="C2175" t="s">
        <v>261</v>
      </c>
      <c r="D2175" t="str">
        <f t="shared" si="171"/>
        <v>Motorcycles</v>
      </c>
      <c r="E2175" t="s">
        <v>352</v>
      </c>
      <c r="F2175" s="5">
        <v>1858</v>
      </c>
      <c r="G2175" s="5">
        <v>371.6</v>
      </c>
      <c r="I2175" t="str">
        <f t="shared" si="167"/>
        <v>Low Sales</v>
      </c>
      <c r="J2175" t="str">
        <f t="shared" si="168"/>
        <v>Average Performance</v>
      </c>
      <c r="K2175">
        <f t="shared" si="169"/>
        <v>2003</v>
      </c>
      <c r="L2175" t="str">
        <f t="shared" si="170"/>
        <v>February</v>
      </c>
    </row>
    <row r="2176" spans="1:12" x14ac:dyDescent="0.25">
      <c r="A2176" t="s">
        <v>60</v>
      </c>
      <c r="B2176" t="s">
        <v>259</v>
      </c>
      <c r="C2176" t="s">
        <v>261</v>
      </c>
      <c r="D2176" t="str">
        <f t="shared" si="171"/>
        <v>Motorcycles</v>
      </c>
      <c r="E2176" t="s">
        <v>352</v>
      </c>
      <c r="F2176" s="5">
        <v>2461.36</v>
      </c>
      <c r="G2176" s="5">
        <v>492.27199999999999</v>
      </c>
      <c r="I2176" t="str">
        <f t="shared" si="167"/>
        <v>Low Sales</v>
      </c>
      <c r="J2176" t="str">
        <f t="shared" si="168"/>
        <v>Average Performance</v>
      </c>
      <c r="K2176">
        <f t="shared" si="169"/>
        <v>2003</v>
      </c>
      <c r="L2176" t="str">
        <f t="shared" si="170"/>
        <v>April</v>
      </c>
    </row>
    <row r="2177" spans="1:12" x14ac:dyDescent="0.25">
      <c r="A2177" t="s">
        <v>215</v>
      </c>
      <c r="B2177" t="s">
        <v>258</v>
      </c>
      <c r="C2177" t="s">
        <v>261</v>
      </c>
      <c r="D2177" t="str">
        <f t="shared" si="171"/>
        <v>Motorcycles</v>
      </c>
      <c r="E2177" t="s">
        <v>352</v>
      </c>
      <c r="F2177" s="5">
        <v>2642.01</v>
      </c>
      <c r="G2177" s="5">
        <v>528.40200000000004</v>
      </c>
      <c r="I2177" t="str">
        <f t="shared" si="167"/>
        <v>Low Sales</v>
      </c>
      <c r="J2177" t="str">
        <f t="shared" si="168"/>
        <v>Average Performance</v>
      </c>
      <c r="K2177">
        <f t="shared" si="169"/>
        <v>2003</v>
      </c>
      <c r="L2177" t="str">
        <f t="shared" si="170"/>
        <v>June</v>
      </c>
    </row>
    <row r="2178" spans="1:12" x14ac:dyDescent="0.25">
      <c r="A2178" t="s">
        <v>9</v>
      </c>
      <c r="C2178" t="s">
        <v>261</v>
      </c>
      <c r="D2178" t="str">
        <f t="shared" si="171"/>
        <v>Motorcycles</v>
      </c>
      <c r="E2178" t="s">
        <v>352</v>
      </c>
      <c r="F2178" s="5">
        <v>3098.7</v>
      </c>
      <c r="G2178" s="5">
        <v>619.74</v>
      </c>
      <c r="I2178" t="str">
        <f t="shared" si="167"/>
        <v>Low Sales</v>
      </c>
      <c r="J2178" t="str">
        <f t="shared" si="168"/>
        <v>Average Performance</v>
      </c>
      <c r="K2178">
        <f t="shared" si="169"/>
        <v>2003</v>
      </c>
      <c r="L2178" t="str">
        <f t="shared" si="170"/>
        <v>August</v>
      </c>
    </row>
    <row r="2179" spans="1:12" x14ac:dyDescent="0.25">
      <c r="A2179" t="s">
        <v>11</v>
      </c>
      <c r="C2179" t="s">
        <v>261</v>
      </c>
      <c r="D2179" t="str">
        <f t="shared" si="171"/>
        <v>Motorcycles</v>
      </c>
      <c r="E2179" t="s">
        <v>352</v>
      </c>
      <c r="F2179" s="5">
        <v>3244.36</v>
      </c>
      <c r="G2179" s="5">
        <v>648.87200000000007</v>
      </c>
      <c r="I2179" t="str">
        <f t="shared" ref="I2179:I2242" si="172">IF(F2179&gt;50000,"High Sales","Low Sales")</f>
        <v>Low Sales</v>
      </c>
      <c r="J2179" t="str">
        <f t="shared" ref="J2179:J2242" si="173">IF(AND(F2179&gt;30000,G2179&gt;5000),"Good Performance","Average Performance")</f>
        <v>Average Performance</v>
      </c>
      <c r="K2179">
        <f t="shared" ref="K2179:K2242" si="174">YEAR(A2179)</f>
        <v>2003</v>
      </c>
      <c r="L2179" t="str">
        <f t="shared" ref="L2179:L2242" si="175">TEXT(A2179,"mmmm")</f>
        <v>October</v>
      </c>
    </row>
    <row r="2180" spans="1:12" x14ac:dyDescent="0.25">
      <c r="A2180" t="s">
        <v>13</v>
      </c>
      <c r="B2180" t="s">
        <v>258</v>
      </c>
      <c r="C2180" t="s">
        <v>261</v>
      </c>
      <c r="D2180" t="str">
        <f t="shared" si="171"/>
        <v>Motorcycles</v>
      </c>
      <c r="E2180" t="s">
        <v>352</v>
      </c>
      <c r="F2180" s="5">
        <v>4351.16</v>
      </c>
      <c r="G2180" s="5">
        <v>870.23199999999997</v>
      </c>
      <c r="I2180" t="str">
        <f t="shared" si="172"/>
        <v>Low Sales</v>
      </c>
      <c r="J2180" t="str">
        <f t="shared" si="173"/>
        <v>Average Performance</v>
      </c>
      <c r="K2180">
        <f t="shared" si="174"/>
        <v>2003</v>
      </c>
      <c r="L2180" t="str">
        <f t="shared" si="175"/>
        <v>November</v>
      </c>
    </row>
    <row r="2181" spans="1:12" x14ac:dyDescent="0.25">
      <c r="A2181" t="s">
        <v>61</v>
      </c>
      <c r="B2181" t="s">
        <v>260</v>
      </c>
      <c r="C2181" t="s">
        <v>261</v>
      </c>
      <c r="D2181" t="str">
        <f t="shared" si="171"/>
        <v>Motorcycles</v>
      </c>
      <c r="E2181" t="s">
        <v>352</v>
      </c>
      <c r="F2181" s="5">
        <v>3675.86</v>
      </c>
      <c r="G2181" s="5">
        <v>735.17200000000003</v>
      </c>
      <c r="I2181" t="str">
        <f t="shared" si="172"/>
        <v>Low Sales</v>
      </c>
      <c r="J2181" t="str">
        <f t="shared" si="173"/>
        <v>Average Performance</v>
      </c>
      <c r="K2181">
        <f t="shared" si="174"/>
        <v>2004</v>
      </c>
      <c r="L2181" t="str">
        <f t="shared" si="175"/>
        <v>January</v>
      </c>
    </row>
    <row r="2182" spans="1:12" x14ac:dyDescent="0.25">
      <c r="A2182" t="s">
        <v>16</v>
      </c>
      <c r="B2182" t="s">
        <v>259</v>
      </c>
      <c r="C2182" t="s">
        <v>261</v>
      </c>
      <c r="D2182" t="str">
        <f t="shared" si="171"/>
        <v>Motorcycles</v>
      </c>
      <c r="E2182" t="s">
        <v>352</v>
      </c>
      <c r="F2182" s="5">
        <v>2475.27</v>
      </c>
      <c r="G2182" s="5">
        <v>495.05399999999997</v>
      </c>
      <c r="I2182" t="str">
        <f t="shared" si="172"/>
        <v>Low Sales</v>
      </c>
      <c r="J2182" t="str">
        <f t="shared" si="173"/>
        <v>Average Performance</v>
      </c>
      <c r="K2182">
        <f t="shared" si="174"/>
        <v>2004</v>
      </c>
      <c r="L2182" t="str">
        <f t="shared" si="175"/>
        <v>February</v>
      </c>
    </row>
    <row r="2183" spans="1:12" x14ac:dyDescent="0.25">
      <c r="A2183" t="s">
        <v>216</v>
      </c>
      <c r="C2183" t="s">
        <v>261</v>
      </c>
      <c r="D2183" t="str">
        <f t="shared" si="171"/>
        <v>Motorcycles</v>
      </c>
      <c r="E2183" t="s">
        <v>352</v>
      </c>
      <c r="F2183" s="5">
        <v>4177.49</v>
      </c>
      <c r="G2183" s="5">
        <v>835.49800000000005</v>
      </c>
      <c r="I2183" t="str">
        <f t="shared" si="172"/>
        <v>Low Sales</v>
      </c>
      <c r="J2183" t="str">
        <f t="shared" si="173"/>
        <v>Average Performance</v>
      </c>
      <c r="K2183">
        <f t="shared" si="174"/>
        <v>2004</v>
      </c>
      <c r="L2183" t="str">
        <f t="shared" si="175"/>
        <v>April</v>
      </c>
    </row>
    <row r="2184" spans="1:12" x14ac:dyDescent="0.25">
      <c r="A2184" t="s">
        <v>195</v>
      </c>
      <c r="C2184" t="s">
        <v>261</v>
      </c>
      <c r="D2184" t="str">
        <f t="shared" si="171"/>
        <v>Motorcycles</v>
      </c>
      <c r="E2184" t="s">
        <v>352</v>
      </c>
      <c r="F2184" s="5">
        <v>3282.28</v>
      </c>
      <c r="G2184" s="5">
        <v>656.45600000000013</v>
      </c>
      <c r="I2184" t="str">
        <f t="shared" si="172"/>
        <v>Low Sales</v>
      </c>
      <c r="J2184" t="str">
        <f t="shared" si="173"/>
        <v>Average Performance</v>
      </c>
      <c r="K2184">
        <f t="shared" si="174"/>
        <v>2004</v>
      </c>
      <c r="L2184" t="str">
        <f t="shared" si="175"/>
        <v>May</v>
      </c>
    </row>
    <row r="2185" spans="1:12" x14ac:dyDescent="0.25">
      <c r="A2185" t="s">
        <v>19</v>
      </c>
      <c r="C2185" t="s">
        <v>261</v>
      </c>
      <c r="D2185" t="str">
        <f t="shared" si="171"/>
        <v>Motorcycles</v>
      </c>
      <c r="E2185" t="s">
        <v>352</v>
      </c>
      <c r="F2185" s="5">
        <v>2477.21</v>
      </c>
      <c r="G2185" s="5">
        <v>495.44200000000001</v>
      </c>
      <c r="I2185" t="str">
        <f t="shared" si="172"/>
        <v>Low Sales</v>
      </c>
      <c r="J2185" t="str">
        <f t="shared" si="173"/>
        <v>Average Performance</v>
      </c>
      <c r="K2185">
        <f t="shared" si="174"/>
        <v>2004</v>
      </c>
      <c r="L2185" t="str">
        <f t="shared" si="175"/>
        <v>June</v>
      </c>
    </row>
    <row r="2186" spans="1:12" x14ac:dyDescent="0.25">
      <c r="A2186" t="s">
        <v>20</v>
      </c>
      <c r="B2186" t="s">
        <v>258</v>
      </c>
      <c r="C2186" t="s">
        <v>261</v>
      </c>
      <c r="D2186" t="str">
        <f t="shared" si="171"/>
        <v>Motorcycles</v>
      </c>
      <c r="E2186" t="s">
        <v>352</v>
      </c>
      <c r="F2186" s="5">
        <v>1883.93</v>
      </c>
      <c r="G2186" s="5">
        <v>376.78600000000012</v>
      </c>
      <c r="I2186" t="str">
        <f t="shared" si="172"/>
        <v>Low Sales</v>
      </c>
      <c r="J2186" t="str">
        <f t="shared" si="173"/>
        <v>Average Performance</v>
      </c>
      <c r="K2186">
        <f t="shared" si="174"/>
        <v>2004</v>
      </c>
      <c r="L2186" t="str">
        <f t="shared" si="175"/>
        <v>July</v>
      </c>
    </row>
    <row r="2187" spans="1:12" x14ac:dyDescent="0.25">
      <c r="A2187" t="s">
        <v>21</v>
      </c>
      <c r="C2187" t="s">
        <v>261</v>
      </c>
      <c r="D2187" t="str">
        <f t="shared" si="171"/>
        <v>Motorcycles</v>
      </c>
      <c r="E2187" t="s">
        <v>352</v>
      </c>
      <c r="F2187" s="5">
        <v>3658.93</v>
      </c>
      <c r="G2187" s="5">
        <v>731.78600000000006</v>
      </c>
      <c r="I2187" t="str">
        <f t="shared" si="172"/>
        <v>Low Sales</v>
      </c>
      <c r="J2187" t="str">
        <f t="shared" si="173"/>
        <v>Average Performance</v>
      </c>
      <c r="K2187">
        <f t="shared" si="174"/>
        <v>2004</v>
      </c>
      <c r="L2187" t="str">
        <f t="shared" si="175"/>
        <v>August</v>
      </c>
    </row>
    <row r="2188" spans="1:12" x14ac:dyDescent="0.25">
      <c r="A2188" t="s">
        <v>217</v>
      </c>
      <c r="B2188" t="s">
        <v>258</v>
      </c>
      <c r="C2188" t="s">
        <v>261</v>
      </c>
      <c r="D2188" t="str">
        <f t="shared" si="171"/>
        <v>Motorcycles</v>
      </c>
      <c r="E2188" t="s">
        <v>352</v>
      </c>
      <c r="F2188" s="5">
        <v>2856.88</v>
      </c>
      <c r="G2188" s="5">
        <v>571.37600000000009</v>
      </c>
      <c r="I2188" t="str">
        <f t="shared" si="172"/>
        <v>Low Sales</v>
      </c>
      <c r="J2188" t="str">
        <f t="shared" si="173"/>
        <v>Average Performance</v>
      </c>
      <c r="K2188">
        <f t="shared" si="174"/>
        <v>2004</v>
      </c>
      <c r="L2188" t="str">
        <f t="shared" si="175"/>
        <v>September</v>
      </c>
    </row>
    <row r="2189" spans="1:12" x14ac:dyDescent="0.25">
      <c r="A2189" t="s">
        <v>23</v>
      </c>
      <c r="C2189" t="s">
        <v>261</v>
      </c>
      <c r="D2189" t="str">
        <f t="shared" si="171"/>
        <v>Motorcycles</v>
      </c>
      <c r="E2189" t="s">
        <v>352</v>
      </c>
      <c r="F2189" s="5">
        <v>1917.84</v>
      </c>
      <c r="G2189" s="5">
        <v>383.56799999999998</v>
      </c>
      <c r="I2189" t="str">
        <f t="shared" si="172"/>
        <v>Low Sales</v>
      </c>
      <c r="J2189" t="str">
        <f t="shared" si="173"/>
        <v>Average Performance</v>
      </c>
      <c r="K2189">
        <f t="shared" si="174"/>
        <v>2004</v>
      </c>
      <c r="L2189" t="str">
        <f t="shared" si="175"/>
        <v>October</v>
      </c>
    </row>
    <row r="2190" spans="1:12" x14ac:dyDescent="0.25">
      <c r="A2190" t="s">
        <v>24</v>
      </c>
      <c r="C2190" t="s">
        <v>261</v>
      </c>
      <c r="D2190" t="str">
        <f t="shared" si="171"/>
        <v>Motorcycles</v>
      </c>
      <c r="E2190" t="s">
        <v>352</v>
      </c>
      <c r="F2190" s="5">
        <v>5305.36</v>
      </c>
      <c r="G2190" s="5">
        <v>1061.0719999999999</v>
      </c>
      <c r="I2190" t="str">
        <f t="shared" si="172"/>
        <v>Low Sales</v>
      </c>
      <c r="J2190" t="str">
        <f t="shared" si="173"/>
        <v>Average Performance</v>
      </c>
      <c r="K2190">
        <f t="shared" si="174"/>
        <v>2004</v>
      </c>
      <c r="L2190" t="str">
        <f t="shared" si="175"/>
        <v>November</v>
      </c>
    </row>
    <row r="2191" spans="1:12" x14ac:dyDescent="0.25">
      <c r="A2191" t="s">
        <v>25</v>
      </c>
      <c r="C2191" t="s">
        <v>261</v>
      </c>
      <c r="D2191" t="str">
        <f t="shared" si="171"/>
        <v>Motorcycles</v>
      </c>
      <c r="E2191" t="s">
        <v>352</v>
      </c>
      <c r="F2191" s="5">
        <v>2875.95</v>
      </c>
      <c r="G2191" s="5">
        <v>575.18999999999994</v>
      </c>
      <c r="I2191" t="str">
        <f t="shared" si="172"/>
        <v>Low Sales</v>
      </c>
      <c r="J2191" t="str">
        <f t="shared" si="173"/>
        <v>Average Performance</v>
      </c>
      <c r="K2191">
        <f t="shared" si="174"/>
        <v>2004</v>
      </c>
      <c r="L2191" t="str">
        <f t="shared" si="175"/>
        <v>November</v>
      </c>
    </row>
    <row r="2192" spans="1:12" x14ac:dyDescent="0.25">
      <c r="A2192" t="s">
        <v>26</v>
      </c>
      <c r="B2192" t="s">
        <v>258</v>
      </c>
      <c r="C2192" t="s">
        <v>261</v>
      </c>
      <c r="D2192" t="str">
        <f t="shared" si="171"/>
        <v>Motorcycles</v>
      </c>
      <c r="E2192" t="s">
        <v>352</v>
      </c>
      <c r="F2192" s="5">
        <v>6482.85</v>
      </c>
      <c r="G2192" s="5">
        <v>1296.57</v>
      </c>
      <c r="I2192" t="str">
        <f t="shared" si="172"/>
        <v>Low Sales</v>
      </c>
      <c r="J2192" t="str">
        <f t="shared" si="173"/>
        <v>Average Performance</v>
      </c>
      <c r="K2192">
        <f t="shared" si="174"/>
        <v>2004</v>
      </c>
      <c r="L2192" t="str">
        <f t="shared" si="175"/>
        <v>November</v>
      </c>
    </row>
    <row r="2193" spans="1:12" x14ac:dyDescent="0.25">
      <c r="A2193" t="s">
        <v>218</v>
      </c>
      <c r="C2193" t="s">
        <v>261</v>
      </c>
      <c r="D2193" t="str">
        <f t="shared" si="171"/>
        <v>Motorcycles</v>
      </c>
      <c r="E2193" t="s">
        <v>352</v>
      </c>
      <c r="F2193" s="5">
        <v>3733.82</v>
      </c>
      <c r="G2193" s="5">
        <v>746.76400000000012</v>
      </c>
      <c r="I2193" t="str">
        <f t="shared" si="172"/>
        <v>Low Sales</v>
      </c>
      <c r="J2193" t="str">
        <f t="shared" si="173"/>
        <v>Average Performance</v>
      </c>
      <c r="K2193">
        <f t="shared" si="174"/>
        <v>2004</v>
      </c>
      <c r="L2193" t="str">
        <f t="shared" si="175"/>
        <v>December</v>
      </c>
    </row>
    <row r="2194" spans="1:12" x14ac:dyDescent="0.25">
      <c r="A2194" t="s">
        <v>121</v>
      </c>
      <c r="B2194" t="s">
        <v>258</v>
      </c>
      <c r="C2194" t="s">
        <v>261</v>
      </c>
      <c r="D2194" t="str">
        <f t="shared" si="171"/>
        <v>Motorcycles</v>
      </c>
      <c r="E2194" t="s">
        <v>352</v>
      </c>
      <c r="F2194" s="5">
        <v>6576.5</v>
      </c>
      <c r="G2194" s="5">
        <v>1315.3</v>
      </c>
      <c r="I2194" t="str">
        <f t="shared" si="172"/>
        <v>Low Sales</v>
      </c>
      <c r="J2194" t="str">
        <f t="shared" si="173"/>
        <v>Average Performance</v>
      </c>
      <c r="K2194">
        <f t="shared" si="174"/>
        <v>2005</v>
      </c>
      <c r="L2194" t="str">
        <f t="shared" si="175"/>
        <v>January</v>
      </c>
    </row>
    <row r="2195" spans="1:12" x14ac:dyDescent="0.25">
      <c r="A2195" t="s">
        <v>28</v>
      </c>
      <c r="B2195" t="s">
        <v>258</v>
      </c>
      <c r="C2195" t="s">
        <v>261</v>
      </c>
      <c r="D2195" t="str">
        <f t="shared" si="171"/>
        <v>Motorcycles</v>
      </c>
      <c r="E2195" t="s">
        <v>352</v>
      </c>
      <c r="F2195" s="5">
        <v>6353.27</v>
      </c>
      <c r="G2195" s="5">
        <v>1270.654</v>
      </c>
      <c r="I2195" t="str">
        <f t="shared" si="172"/>
        <v>Low Sales</v>
      </c>
      <c r="J2195" t="str">
        <f t="shared" si="173"/>
        <v>Average Performance</v>
      </c>
      <c r="K2195">
        <f t="shared" si="174"/>
        <v>2005</v>
      </c>
      <c r="L2195" t="str">
        <f t="shared" si="175"/>
        <v>February</v>
      </c>
    </row>
    <row r="2196" spans="1:12" x14ac:dyDescent="0.25">
      <c r="A2196" t="s">
        <v>252</v>
      </c>
      <c r="B2196" t="s">
        <v>260</v>
      </c>
      <c r="C2196" t="s">
        <v>261</v>
      </c>
      <c r="D2196" t="str">
        <f t="shared" ref="D2196:D2259" si="176">PROPER(TRIM(C2196))</f>
        <v>Motorcycles</v>
      </c>
      <c r="E2196" t="s">
        <v>352</v>
      </c>
      <c r="F2196" s="5">
        <v>4175.6000000000004</v>
      </c>
      <c r="G2196" s="5">
        <v>835.12000000000012</v>
      </c>
      <c r="I2196" t="str">
        <f t="shared" si="172"/>
        <v>Low Sales</v>
      </c>
      <c r="J2196" t="str">
        <f t="shared" si="173"/>
        <v>Average Performance</v>
      </c>
      <c r="K2196">
        <f t="shared" si="174"/>
        <v>2005</v>
      </c>
      <c r="L2196" t="str">
        <f t="shared" si="175"/>
        <v>March</v>
      </c>
    </row>
    <row r="2197" spans="1:12" x14ac:dyDescent="0.25">
      <c r="A2197" t="s">
        <v>219</v>
      </c>
      <c r="C2197" t="s">
        <v>261</v>
      </c>
      <c r="D2197" t="str">
        <f t="shared" si="176"/>
        <v>Motorcycles</v>
      </c>
      <c r="E2197" t="s">
        <v>352</v>
      </c>
      <c r="F2197" s="5">
        <v>4992.6099999999997</v>
      </c>
      <c r="G2197" s="5">
        <v>998.52199999999993</v>
      </c>
      <c r="I2197" t="str">
        <f t="shared" si="172"/>
        <v>Low Sales</v>
      </c>
      <c r="J2197" t="str">
        <f t="shared" si="173"/>
        <v>Average Performance</v>
      </c>
      <c r="K2197">
        <f t="shared" si="174"/>
        <v>2005</v>
      </c>
      <c r="L2197" t="str">
        <f t="shared" si="175"/>
        <v>April</v>
      </c>
    </row>
    <row r="2198" spans="1:12" x14ac:dyDescent="0.25">
      <c r="A2198" t="s">
        <v>204</v>
      </c>
      <c r="B2198" t="s">
        <v>258</v>
      </c>
      <c r="C2198" t="s">
        <v>261</v>
      </c>
      <c r="D2198" t="str">
        <f t="shared" si="176"/>
        <v>Motorcycles</v>
      </c>
      <c r="E2198" t="s">
        <v>352</v>
      </c>
      <c r="F2198" s="5">
        <v>4764.6000000000004</v>
      </c>
      <c r="G2198" s="5">
        <v>952.92000000000007</v>
      </c>
      <c r="I2198" t="str">
        <f t="shared" si="172"/>
        <v>Low Sales</v>
      </c>
      <c r="J2198" t="str">
        <f t="shared" si="173"/>
        <v>Average Performance</v>
      </c>
      <c r="K2198">
        <f t="shared" si="174"/>
        <v>2005</v>
      </c>
      <c r="L2198" t="str">
        <f t="shared" si="175"/>
        <v>May</v>
      </c>
    </row>
    <row r="2199" spans="1:12" x14ac:dyDescent="0.25">
      <c r="A2199" t="s">
        <v>104</v>
      </c>
      <c r="B2199" t="s">
        <v>260</v>
      </c>
      <c r="C2199" t="s">
        <v>261</v>
      </c>
      <c r="D2199" t="str">
        <f t="shared" si="176"/>
        <v>Motorcycles</v>
      </c>
      <c r="E2199" t="s">
        <v>353</v>
      </c>
      <c r="F2199" s="5">
        <v>1173.1500000000001</v>
      </c>
      <c r="G2199" s="5">
        <v>234.63</v>
      </c>
      <c r="I2199" t="str">
        <f t="shared" si="172"/>
        <v>Low Sales</v>
      </c>
      <c r="J2199" t="str">
        <f t="shared" si="173"/>
        <v>Average Performance</v>
      </c>
      <c r="K2199">
        <f t="shared" si="174"/>
        <v>2003</v>
      </c>
      <c r="L2199" t="str">
        <f t="shared" si="175"/>
        <v>March</v>
      </c>
    </row>
    <row r="2200" spans="1:12" x14ac:dyDescent="0.25">
      <c r="A2200" t="s">
        <v>105</v>
      </c>
      <c r="B2200" t="s">
        <v>258</v>
      </c>
      <c r="C2200" t="s">
        <v>261</v>
      </c>
      <c r="D2200" t="str">
        <f t="shared" si="176"/>
        <v>Motorcycles</v>
      </c>
      <c r="E2200" t="s">
        <v>353</v>
      </c>
      <c r="F2200" s="5">
        <v>1384.46</v>
      </c>
      <c r="G2200" s="5">
        <v>276.892</v>
      </c>
      <c r="I2200" t="str">
        <f t="shared" si="172"/>
        <v>Low Sales</v>
      </c>
      <c r="J2200" t="str">
        <f t="shared" si="173"/>
        <v>Average Performance</v>
      </c>
      <c r="K2200">
        <f t="shared" si="174"/>
        <v>2003</v>
      </c>
      <c r="L2200" t="str">
        <f t="shared" si="175"/>
        <v>May</v>
      </c>
    </row>
    <row r="2201" spans="1:12" x14ac:dyDescent="0.25">
      <c r="A2201" t="s">
        <v>106</v>
      </c>
      <c r="C2201" t="s">
        <v>261</v>
      </c>
      <c r="D2201" t="str">
        <f t="shared" si="176"/>
        <v>Motorcycles</v>
      </c>
      <c r="E2201" t="s">
        <v>353</v>
      </c>
      <c r="F2201" s="5">
        <v>1327.59</v>
      </c>
      <c r="G2201" s="5">
        <v>265.51799999999997</v>
      </c>
      <c r="I2201" t="str">
        <f t="shared" si="172"/>
        <v>Low Sales</v>
      </c>
      <c r="J2201" t="str">
        <f t="shared" si="173"/>
        <v>Average Performance</v>
      </c>
      <c r="K2201">
        <f t="shared" si="174"/>
        <v>2003</v>
      </c>
      <c r="L2201" t="str">
        <f t="shared" si="175"/>
        <v>July</v>
      </c>
    </row>
    <row r="2202" spans="1:12" x14ac:dyDescent="0.25">
      <c r="A2202" t="s">
        <v>9</v>
      </c>
      <c r="C2202" t="s">
        <v>261</v>
      </c>
      <c r="D2202" t="str">
        <f t="shared" si="176"/>
        <v>Motorcycles</v>
      </c>
      <c r="E2202" t="s">
        <v>353</v>
      </c>
      <c r="F2202" s="5">
        <v>1109.8</v>
      </c>
      <c r="G2202" s="5">
        <v>221.96</v>
      </c>
      <c r="I2202" t="str">
        <f t="shared" si="172"/>
        <v>Low Sales</v>
      </c>
      <c r="J2202" t="str">
        <f t="shared" si="173"/>
        <v>Average Performance</v>
      </c>
      <c r="K2202">
        <f t="shared" si="174"/>
        <v>2003</v>
      </c>
      <c r="L2202" t="str">
        <f t="shared" si="175"/>
        <v>August</v>
      </c>
    </row>
    <row r="2203" spans="1:12" x14ac:dyDescent="0.25">
      <c r="A2203" t="s">
        <v>10</v>
      </c>
      <c r="C2203" t="s">
        <v>261</v>
      </c>
      <c r="D2203" t="str">
        <f t="shared" si="176"/>
        <v>Motorcycles</v>
      </c>
      <c r="E2203" t="s">
        <v>353</v>
      </c>
      <c r="F2203" s="5">
        <v>1239</v>
      </c>
      <c r="G2203" s="5">
        <v>247.8</v>
      </c>
      <c r="I2203" t="str">
        <f t="shared" si="172"/>
        <v>Low Sales</v>
      </c>
      <c r="J2203" t="str">
        <f t="shared" si="173"/>
        <v>Average Performance</v>
      </c>
      <c r="K2203">
        <f t="shared" si="174"/>
        <v>2003</v>
      </c>
      <c r="L2203" t="str">
        <f t="shared" si="175"/>
        <v>October</v>
      </c>
    </row>
    <row r="2204" spans="1:12" x14ac:dyDescent="0.25">
      <c r="A2204" t="s">
        <v>108</v>
      </c>
      <c r="B2204" t="s">
        <v>259</v>
      </c>
      <c r="C2204" t="s">
        <v>261</v>
      </c>
      <c r="D2204" t="str">
        <f t="shared" si="176"/>
        <v>Motorcycles</v>
      </c>
      <c r="E2204" t="s">
        <v>353</v>
      </c>
      <c r="F2204" s="5">
        <v>1035.58</v>
      </c>
      <c r="G2204" s="5">
        <v>207.11600000000001</v>
      </c>
      <c r="I2204" t="str">
        <f t="shared" si="172"/>
        <v>Low Sales</v>
      </c>
      <c r="J2204" t="str">
        <f t="shared" si="173"/>
        <v>Average Performance</v>
      </c>
      <c r="K2204">
        <f t="shared" si="174"/>
        <v>2003</v>
      </c>
      <c r="L2204" t="str">
        <f t="shared" si="175"/>
        <v>November</v>
      </c>
    </row>
    <row r="2205" spans="1:12" x14ac:dyDescent="0.25">
      <c r="A2205" t="s">
        <v>12</v>
      </c>
      <c r="B2205" t="s">
        <v>258</v>
      </c>
      <c r="C2205" t="s">
        <v>261</v>
      </c>
      <c r="D2205" t="str">
        <f t="shared" si="176"/>
        <v>Motorcycles</v>
      </c>
      <c r="E2205" t="s">
        <v>353</v>
      </c>
      <c r="F2205" s="5">
        <v>1545.64</v>
      </c>
      <c r="G2205" s="5">
        <v>309.12799999999999</v>
      </c>
      <c r="I2205" t="str">
        <f t="shared" si="172"/>
        <v>Low Sales</v>
      </c>
      <c r="J2205" t="str">
        <f t="shared" si="173"/>
        <v>Average Performance</v>
      </c>
      <c r="K2205">
        <f t="shared" si="174"/>
        <v>2003</v>
      </c>
      <c r="L2205" t="str">
        <f t="shared" si="175"/>
        <v>November</v>
      </c>
    </row>
    <row r="2206" spans="1:12" x14ac:dyDescent="0.25">
      <c r="A2206" t="s">
        <v>246</v>
      </c>
      <c r="B2206" t="s">
        <v>258</v>
      </c>
      <c r="C2206" t="s">
        <v>261</v>
      </c>
      <c r="D2206" t="str">
        <f t="shared" si="176"/>
        <v>Motorcycles</v>
      </c>
      <c r="E2206" t="s">
        <v>353</v>
      </c>
      <c r="F2206" s="5">
        <v>1517.54</v>
      </c>
      <c r="G2206" s="5">
        <v>303.50799999999998</v>
      </c>
      <c r="I2206" t="str">
        <f t="shared" si="172"/>
        <v>Low Sales</v>
      </c>
      <c r="J2206" t="str">
        <f t="shared" si="173"/>
        <v>Average Performance</v>
      </c>
      <c r="K2206">
        <f t="shared" si="174"/>
        <v>2003</v>
      </c>
      <c r="L2206" t="str">
        <f t="shared" si="175"/>
        <v>November</v>
      </c>
    </row>
    <row r="2207" spans="1:12" x14ac:dyDescent="0.25">
      <c r="A2207" t="s">
        <v>15</v>
      </c>
      <c r="B2207" t="s">
        <v>258</v>
      </c>
      <c r="C2207" t="s">
        <v>261</v>
      </c>
      <c r="D2207" t="str">
        <f t="shared" si="176"/>
        <v>Motorcycles</v>
      </c>
      <c r="E2207" t="s">
        <v>353</v>
      </c>
      <c r="F2207" s="5">
        <v>1731.84</v>
      </c>
      <c r="G2207" s="5">
        <v>346.36799999999999</v>
      </c>
      <c r="I2207" t="str">
        <f t="shared" si="172"/>
        <v>Low Sales</v>
      </c>
      <c r="J2207" t="str">
        <f t="shared" si="173"/>
        <v>Average Performance</v>
      </c>
      <c r="K2207">
        <f t="shared" si="174"/>
        <v>2004</v>
      </c>
      <c r="L2207" t="str">
        <f t="shared" si="175"/>
        <v>January</v>
      </c>
    </row>
    <row r="2208" spans="1:12" x14ac:dyDescent="0.25">
      <c r="A2208" t="s">
        <v>139</v>
      </c>
      <c r="B2208" t="s">
        <v>258</v>
      </c>
      <c r="C2208" t="s">
        <v>261</v>
      </c>
      <c r="D2208" t="str">
        <f t="shared" si="176"/>
        <v>Motorcycles</v>
      </c>
      <c r="E2208" t="s">
        <v>353</v>
      </c>
      <c r="F2208" s="5">
        <v>1695.49</v>
      </c>
      <c r="G2208" s="5">
        <v>339.09800000000001</v>
      </c>
      <c r="I2208" t="str">
        <f t="shared" si="172"/>
        <v>Low Sales</v>
      </c>
      <c r="J2208" t="str">
        <f t="shared" si="173"/>
        <v>Average Performance</v>
      </c>
      <c r="K2208">
        <f t="shared" si="174"/>
        <v>2004</v>
      </c>
      <c r="L2208" t="str">
        <f t="shared" si="175"/>
        <v>February</v>
      </c>
    </row>
    <row r="2209" spans="1:12" x14ac:dyDescent="0.25">
      <c r="A2209" t="s">
        <v>17</v>
      </c>
      <c r="C2209" t="s">
        <v>261</v>
      </c>
      <c r="D2209" t="str">
        <f t="shared" si="176"/>
        <v>Motorcycles</v>
      </c>
      <c r="E2209" t="s">
        <v>353</v>
      </c>
      <c r="F2209" s="5">
        <v>1045.98</v>
      </c>
      <c r="G2209" s="5">
        <v>209.196</v>
      </c>
      <c r="I2209" t="str">
        <f t="shared" si="172"/>
        <v>Low Sales</v>
      </c>
      <c r="J2209" t="str">
        <f t="shared" si="173"/>
        <v>Average Performance</v>
      </c>
      <c r="K2209">
        <f t="shared" si="174"/>
        <v>2004</v>
      </c>
      <c r="L2209" t="str">
        <f t="shared" si="175"/>
        <v>April</v>
      </c>
    </row>
    <row r="2210" spans="1:12" x14ac:dyDescent="0.25">
      <c r="A2210" t="s">
        <v>230</v>
      </c>
      <c r="B2210" t="s">
        <v>258</v>
      </c>
      <c r="C2210" t="s">
        <v>261</v>
      </c>
      <c r="D2210" t="str">
        <f t="shared" si="176"/>
        <v>Motorcycles</v>
      </c>
      <c r="E2210" t="s">
        <v>353</v>
      </c>
      <c r="F2210" s="5">
        <v>1738.08</v>
      </c>
      <c r="G2210" s="5">
        <v>347.61599999999999</v>
      </c>
      <c r="I2210" t="str">
        <f t="shared" si="172"/>
        <v>Low Sales</v>
      </c>
      <c r="J2210" t="str">
        <f t="shared" si="173"/>
        <v>Average Performance</v>
      </c>
      <c r="K2210">
        <f t="shared" si="174"/>
        <v>2004</v>
      </c>
      <c r="L2210" t="str">
        <f t="shared" si="175"/>
        <v>May</v>
      </c>
    </row>
    <row r="2211" spans="1:12" x14ac:dyDescent="0.25">
      <c r="A2211" t="s">
        <v>236</v>
      </c>
      <c r="C2211" t="s">
        <v>261</v>
      </c>
      <c r="D2211" t="str">
        <f t="shared" si="176"/>
        <v>Motorcycles</v>
      </c>
      <c r="E2211" t="s">
        <v>353</v>
      </c>
      <c r="F2211" s="5">
        <v>651.79999999999995</v>
      </c>
      <c r="G2211" s="5">
        <v>130.36000000000001</v>
      </c>
      <c r="I2211" t="str">
        <f t="shared" si="172"/>
        <v>Low Sales</v>
      </c>
      <c r="J2211" t="str">
        <f t="shared" si="173"/>
        <v>Average Performance</v>
      </c>
      <c r="K2211">
        <f t="shared" si="174"/>
        <v>2004</v>
      </c>
      <c r="L2211" t="str">
        <f t="shared" si="175"/>
        <v>June</v>
      </c>
    </row>
    <row r="2212" spans="1:12" x14ac:dyDescent="0.25">
      <c r="A2212" t="s">
        <v>116</v>
      </c>
      <c r="C2212" t="s">
        <v>261</v>
      </c>
      <c r="D2212" t="str">
        <f t="shared" si="176"/>
        <v>Motorcycles</v>
      </c>
      <c r="E2212" t="s">
        <v>353</v>
      </c>
      <c r="F2212" s="5">
        <v>988.47</v>
      </c>
      <c r="G2212" s="5">
        <v>197.69399999999999</v>
      </c>
      <c r="I2212" t="str">
        <f t="shared" si="172"/>
        <v>Low Sales</v>
      </c>
      <c r="J2212" t="str">
        <f t="shared" si="173"/>
        <v>Average Performance</v>
      </c>
      <c r="K2212">
        <f t="shared" si="174"/>
        <v>2004</v>
      </c>
      <c r="L2212" t="str">
        <f t="shared" si="175"/>
        <v>August</v>
      </c>
    </row>
    <row r="2213" spans="1:12" x14ac:dyDescent="0.25">
      <c r="A2213" t="s">
        <v>21</v>
      </c>
      <c r="C2213" t="s">
        <v>261</v>
      </c>
      <c r="D2213" t="str">
        <f t="shared" si="176"/>
        <v>Motorcycles</v>
      </c>
      <c r="E2213" t="s">
        <v>353</v>
      </c>
      <c r="F2213" s="5">
        <v>1518.11</v>
      </c>
      <c r="G2213" s="5">
        <v>303.62200000000001</v>
      </c>
      <c r="I2213" t="str">
        <f t="shared" si="172"/>
        <v>Low Sales</v>
      </c>
      <c r="J2213" t="str">
        <f t="shared" si="173"/>
        <v>Average Performance</v>
      </c>
      <c r="K2213">
        <f t="shared" si="174"/>
        <v>2004</v>
      </c>
      <c r="L2213" t="str">
        <f t="shared" si="175"/>
        <v>August</v>
      </c>
    </row>
    <row r="2214" spans="1:12" x14ac:dyDescent="0.25">
      <c r="A2214" t="s">
        <v>22</v>
      </c>
      <c r="B2214" t="s">
        <v>258</v>
      </c>
      <c r="C2214" t="s">
        <v>261</v>
      </c>
      <c r="D2214" t="str">
        <f t="shared" si="176"/>
        <v>Motorcycles</v>
      </c>
      <c r="E2214" t="s">
        <v>353</v>
      </c>
      <c r="F2214" s="5">
        <v>1013.76</v>
      </c>
      <c r="G2214" s="5">
        <v>202.75200000000001</v>
      </c>
      <c r="I2214" t="str">
        <f t="shared" si="172"/>
        <v>Low Sales</v>
      </c>
      <c r="J2214" t="str">
        <f t="shared" si="173"/>
        <v>Average Performance</v>
      </c>
      <c r="K2214">
        <f t="shared" si="174"/>
        <v>2004</v>
      </c>
      <c r="L2214" t="str">
        <f t="shared" si="175"/>
        <v>September</v>
      </c>
    </row>
    <row r="2215" spans="1:12" x14ac:dyDescent="0.25">
      <c r="A2215" t="s">
        <v>119</v>
      </c>
      <c r="B2215" t="s">
        <v>258</v>
      </c>
      <c r="C2215" t="s">
        <v>261</v>
      </c>
      <c r="D2215" t="str">
        <f t="shared" si="176"/>
        <v>Motorcycles</v>
      </c>
      <c r="E2215" t="s">
        <v>353</v>
      </c>
      <c r="F2215" s="5">
        <v>1549.8</v>
      </c>
      <c r="G2215" s="5">
        <v>309.95999999999998</v>
      </c>
      <c r="I2215" t="str">
        <f t="shared" si="172"/>
        <v>Low Sales</v>
      </c>
      <c r="J2215" t="str">
        <f t="shared" si="173"/>
        <v>Average Performance</v>
      </c>
      <c r="K2215">
        <f t="shared" si="174"/>
        <v>2004</v>
      </c>
      <c r="L2215" t="str">
        <f t="shared" si="175"/>
        <v>October</v>
      </c>
    </row>
    <row r="2216" spans="1:12" x14ac:dyDescent="0.25">
      <c r="A2216" t="s">
        <v>120</v>
      </c>
      <c r="C2216" t="s">
        <v>261</v>
      </c>
      <c r="D2216" t="str">
        <f t="shared" si="176"/>
        <v>Motorcycles</v>
      </c>
      <c r="E2216" t="s">
        <v>353</v>
      </c>
      <c r="F2216" s="5">
        <v>1108.3800000000001</v>
      </c>
      <c r="G2216" s="5">
        <v>221.67599999999999</v>
      </c>
      <c r="I2216" t="str">
        <f t="shared" si="172"/>
        <v>Low Sales</v>
      </c>
      <c r="J2216" t="str">
        <f t="shared" si="173"/>
        <v>Average Performance</v>
      </c>
      <c r="K2216">
        <f t="shared" si="174"/>
        <v>2004</v>
      </c>
      <c r="L2216" t="str">
        <f t="shared" si="175"/>
        <v>November</v>
      </c>
    </row>
    <row r="2217" spans="1:12" x14ac:dyDescent="0.25">
      <c r="A2217" t="s">
        <v>165</v>
      </c>
      <c r="C2217" t="s">
        <v>261</v>
      </c>
      <c r="D2217" t="str">
        <f t="shared" si="176"/>
        <v>Motorcycles</v>
      </c>
      <c r="E2217" t="s">
        <v>353</v>
      </c>
      <c r="F2217" s="5">
        <v>4102.5600000000004</v>
      </c>
      <c r="G2217" s="5">
        <v>820.51200000000017</v>
      </c>
      <c r="I2217" t="str">
        <f t="shared" si="172"/>
        <v>Low Sales</v>
      </c>
      <c r="J2217" t="str">
        <f t="shared" si="173"/>
        <v>Average Performance</v>
      </c>
      <c r="K2217">
        <f t="shared" si="174"/>
        <v>2004</v>
      </c>
      <c r="L2217" t="str">
        <f t="shared" si="175"/>
        <v>November</v>
      </c>
    </row>
    <row r="2218" spans="1:12" x14ac:dyDescent="0.25">
      <c r="A2218" t="s">
        <v>26</v>
      </c>
      <c r="B2218" t="s">
        <v>258</v>
      </c>
      <c r="C2218" t="s">
        <v>261</v>
      </c>
      <c r="D2218" t="str">
        <f t="shared" si="176"/>
        <v>Motorcycles</v>
      </c>
      <c r="E2218" t="s">
        <v>353</v>
      </c>
      <c r="F2218" s="5">
        <v>3713.16</v>
      </c>
      <c r="G2218" s="5">
        <v>742.63200000000006</v>
      </c>
      <c r="I2218" t="str">
        <f t="shared" si="172"/>
        <v>Low Sales</v>
      </c>
      <c r="J2218" t="str">
        <f t="shared" si="173"/>
        <v>Average Performance</v>
      </c>
      <c r="K2218">
        <f t="shared" si="174"/>
        <v>2004</v>
      </c>
      <c r="L2218" t="str">
        <f t="shared" si="175"/>
        <v>November</v>
      </c>
    </row>
    <row r="2219" spans="1:12" x14ac:dyDescent="0.25">
      <c r="A2219" t="s">
        <v>234</v>
      </c>
      <c r="B2219" t="s">
        <v>258</v>
      </c>
      <c r="C2219" t="s">
        <v>261</v>
      </c>
      <c r="D2219" t="str">
        <f t="shared" si="176"/>
        <v>Motorcycles</v>
      </c>
      <c r="E2219" t="s">
        <v>353</v>
      </c>
      <c r="F2219" s="5">
        <v>1513.54</v>
      </c>
      <c r="G2219" s="5">
        <v>302.70800000000003</v>
      </c>
      <c r="I2219" t="str">
        <f t="shared" si="172"/>
        <v>Low Sales</v>
      </c>
      <c r="J2219" t="str">
        <f t="shared" si="173"/>
        <v>Average Performance</v>
      </c>
      <c r="K2219">
        <f t="shared" si="174"/>
        <v>2004</v>
      </c>
      <c r="L2219" t="str">
        <f t="shared" si="175"/>
        <v>December</v>
      </c>
    </row>
    <row r="2220" spans="1:12" x14ac:dyDescent="0.25">
      <c r="A2220" t="s">
        <v>121</v>
      </c>
      <c r="B2220" t="s">
        <v>258</v>
      </c>
      <c r="C2220" t="s">
        <v>261</v>
      </c>
      <c r="D2220" t="str">
        <f t="shared" si="176"/>
        <v>Motorcycles</v>
      </c>
      <c r="E2220" t="s">
        <v>353</v>
      </c>
      <c r="F2220" s="5">
        <v>2317.44</v>
      </c>
      <c r="G2220" s="5">
        <v>463.48800000000011</v>
      </c>
      <c r="I2220" t="str">
        <f t="shared" si="172"/>
        <v>Low Sales</v>
      </c>
      <c r="J2220" t="str">
        <f t="shared" si="173"/>
        <v>Average Performance</v>
      </c>
      <c r="K2220">
        <f t="shared" si="174"/>
        <v>2005</v>
      </c>
      <c r="L2220" t="str">
        <f t="shared" si="175"/>
        <v>January</v>
      </c>
    </row>
    <row r="2221" spans="1:12" x14ac:dyDescent="0.25">
      <c r="A2221" t="s">
        <v>190</v>
      </c>
      <c r="B2221" t="s">
        <v>258</v>
      </c>
      <c r="C2221" t="s">
        <v>261</v>
      </c>
      <c r="D2221" t="str">
        <f t="shared" si="176"/>
        <v>Motorcycles</v>
      </c>
      <c r="E2221" t="s">
        <v>353</v>
      </c>
      <c r="F2221" s="5">
        <v>3298.4</v>
      </c>
      <c r="G2221" s="5">
        <v>659.68000000000006</v>
      </c>
      <c r="I2221" t="str">
        <f t="shared" si="172"/>
        <v>Low Sales</v>
      </c>
      <c r="J2221" t="str">
        <f t="shared" si="173"/>
        <v>Average Performance</v>
      </c>
      <c r="K2221">
        <f t="shared" si="174"/>
        <v>2005</v>
      </c>
      <c r="L2221" t="str">
        <f t="shared" si="175"/>
        <v>February</v>
      </c>
    </row>
    <row r="2222" spans="1:12" x14ac:dyDescent="0.25">
      <c r="A2222" t="s">
        <v>168</v>
      </c>
      <c r="C2222" t="s">
        <v>261</v>
      </c>
      <c r="D2222" t="str">
        <f t="shared" si="176"/>
        <v>Motorcycles</v>
      </c>
      <c r="E2222" t="s">
        <v>353</v>
      </c>
      <c r="F2222" s="5">
        <v>1826.96</v>
      </c>
      <c r="G2222" s="5">
        <v>365.39200000000011</v>
      </c>
      <c r="I2222" t="str">
        <f t="shared" si="172"/>
        <v>Low Sales</v>
      </c>
      <c r="J2222" t="str">
        <f t="shared" si="173"/>
        <v>Average Performance</v>
      </c>
      <c r="K2222">
        <f t="shared" si="174"/>
        <v>2005</v>
      </c>
      <c r="L2222" t="str">
        <f t="shared" si="175"/>
        <v>March</v>
      </c>
    </row>
    <row r="2223" spans="1:12" x14ac:dyDescent="0.25">
      <c r="A2223" t="s">
        <v>30</v>
      </c>
      <c r="B2223" t="s">
        <v>258</v>
      </c>
      <c r="C2223" t="s">
        <v>261</v>
      </c>
      <c r="D2223" t="str">
        <f t="shared" si="176"/>
        <v>Motorcycles</v>
      </c>
      <c r="E2223" t="s">
        <v>353</v>
      </c>
      <c r="F2223" s="5">
        <v>1206.9000000000001</v>
      </c>
      <c r="G2223" s="5">
        <v>241.38</v>
      </c>
      <c r="I2223" t="str">
        <f t="shared" si="172"/>
        <v>Low Sales</v>
      </c>
      <c r="J2223" t="str">
        <f t="shared" si="173"/>
        <v>Average Performance</v>
      </c>
      <c r="K2223">
        <f t="shared" si="174"/>
        <v>2005</v>
      </c>
      <c r="L2223" t="str">
        <f t="shared" si="175"/>
        <v>April</v>
      </c>
    </row>
    <row r="2224" spans="1:12" x14ac:dyDescent="0.25">
      <c r="A2224" t="s">
        <v>140</v>
      </c>
      <c r="B2224" t="s">
        <v>258</v>
      </c>
      <c r="C2224" t="s">
        <v>263</v>
      </c>
      <c r="D2224" t="str">
        <f t="shared" si="176"/>
        <v>Trucks And Buses</v>
      </c>
      <c r="E2224" t="s">
        <v>354</v>
      </c>
      <c r="F2224" s="5">
        <v>1666.7</v>
      </c>
      <c r="G2224" s="5">
        <v>333.34</v>
      </c>
      <c r="I2224" t="str">
        <f t="shared" si="172"/>
        <v>Low Sales</v>
      </c>
      <c r="J2224" t="str">
        <f t="shared" si="173"/>
        <v>Average Performance</v>
      </c>
      <c r="K2224">
        <f t="shared" si="174"/>
        <v>2003</v>
      </c>
      <c r="L2224" t="str">
        <f t="shared" si="175"/>
        <v>January</v>
      </c>
    </row>
    <row r="2225" spans="1:12" x14ac:dyDescent="0.25">
      <c r="A2225" t="s">
        <v>95</v>
      </c>
      <c r="B2225" t="s">
        <v>258</v>
      </c>
      <c r="C2225" t="s">
        <v>263</v>
      </c>
      <c r="D2225" t="str">
        <f t="shared" si="176"/>
        <v>Trucks And Buses</v>
      </c>
      <c r="E2225" t="s">
        <v>354</v>
      </c>
      <c r="F2225" s="5">
        <v>1560.44</v>
      </c>
      <c r="G2225" s="5">
        <v>312.08800000000002</v>
      </c>
      <c r="I2225" t="str">
        <f t="shared" si="172"/>
        <v>Low Sales</v>
      </c>
      <c r="J2225" t="str">
        <f t="shared" si="173"/>
        <v>Average Performance</v>
      </c>
      <c r="K2225">
        <f t="shared" si="174"/>
        <v>2003</v>
      </c>
      <c r="L2225" t="str">
        <f t="shared" si="175"/>
        <v>April</v>
      </c>
    </row>
    <row r="2226" spans="1:12" x14ac:dyDescent="0.25">
      <c r="A2226" t="s">
        <v>124</v>
      </c>
      <c r="C2226" t="s">
        <v>263</v>
      </c>
      <c r="D2226" t="str">
        <f t="shared" si="176"/>
        <v>Trucks And Buses</v>
      </c>
      <c r="E2226" t="s">
        <v>354</v>
      </c>
      <c r="F2226" s="5">
        <v>2337.75</v>
      </c>
      <c r="G2226" s="5">
        <v>467.55</v>
      </c>
      <c r="I2226" t="str">
        <f t="shared" si="172"/>
        <v>Low Sales</v>
      </c>
      <c r="J2226" t="str">
        <f t="shared" si="173"/>
        <v>Average Performance</v>
      </c>
      <c r="K2226">
        <f t="shared" si="174"/>
        <v>2003</v>
      </c>
      <c r="L2226" t="str">
        <f t="shared" si="175"/>
        <v>June</v>
      </c>
    </row>
    <row r="2227" spans="1:12" x14ac:dyDescent="0.25">
      <c r="A2227" t="s">
        <v>150</v>
      </c>
      <c r="B2227" t="s">
        <v>258</v>
      </c>
      <c r="C2227" t="s">
        <v>263</v>
      </c>
      <c r="D2227" t="str">
        <f t="shared" si="176"/>
        <v>Trucks And Buses</v>
      </c>
      <c r="E2227" t="s">
        <v>354</v>
      </c>
      <c r="F2227" s="5">
        <v>1103.76</v>
      </c>
      <c r="G2227" s="5">
        <v>220.75200000000001</v>
      </c>
      <c r="I2227" t="str">
        <f t="shared" si="172"/>
        <v>Low Sales</v>
      </c>
      <c r="J2227" t="str">
        <f t="shared" si="173"/>
        <v>Average Performance</v>
      </c>
      <c r="K2227">
        <f t="shared" si="174"/>
        <v>2003</v>
      </c>
      <c r="L2227" t="str">
        <f t="shared" si="175"/>
        <v>August</v>
      </c>
    </row>
    <row r="2228" spans="1:12" x14ac:dyDescent="0.25">
      <c r="A2228" t="s">
        <v>151</v>
      </c>
      <c r="B2228" t="s">
        <v>258</v>
      </c>
      <c r="C2228" t="s">
        <v>263</v>
      </c>
      <c r="D2228" t="str">
        <f t="shared" si="176"/>
        <v>Trucks And Buses</v>
      </c>
      <c r="E2228" t="s">
        <v>354</v>
      </c>
      <c r="F2228" s="5">
        <v>2617.85</v>
      </c>
      <c r="G2228" s="5">
        <v>523.57000000000005</v>
      </c>
      <c r="I2228" t="str">
        <f t="shared" si="172"/>
        <v>Low Sales</v>
      </c>
      <c r="J2228" t="str">
        <f t="shared" si="173"/>
        <v>Average Performance</v>
      </c>
      <c r="K2228">
        <f t="shared" si="174"/>
        <v>2003</v>
      </c>
      <c r="L2228" t="str">
        <f t="shared" si="175"/>
        <v>September</v>
      </c>
    </row>
    <row r="2229" spans="1:12" x14ac:dyDescent="0.25">
      <c r="A2229" t="s">
        <v>127</v>
      </c>
      <c r="B2229" t="s">
        <v>260</v>
      </c>
      <c r="C2229" t="s">
        <v>263</v>
      </c>
      <c r="D2229" t="str">
        <f t="shared" si="176"/>
        <v>Trucks And Buses</v>
      </c>
      <c r="E2229" t="s">
        <v>354</v>
      </c>
      <c r="F2229" s="5">
        <v>2207.52</v>
      </c>
      <c r="G2229" s="5">
        <v>441.50400000000002</v>
      </c>
      <c r="I2229" t="str">
        <f t="shared" si="172"/>
        <v>Low Sales</v>
      </c>
      <c r="J2229" t="str">
        <f t="shared" si="173"/>
        <v>Average Performance</v>
      </c>
      <c r="K2229">
        <f t="shared" si="174"/>
        <v>2003</v>
      </c>
      <c r="L2229" t="str">
        <f t="shared" si="175"/>
        <v>October</v>
      </c>
    </row>
    <row r="2230" spans="1:12" x14ac:dyDescent="0.25">
      <c r="A2230" t="s">
        <v>38</v>
      </c>
      <c r="B2230" t="s">
        <v>258</v>
      </c>
      <c r="C2230" t="s">
        <v>263</v>
      </c>
      <c r="D2230" t="str">
        <f t="shared" si="176"/>
        <v>Trucks And Buses</v>
      </c>
      <c r="E2230" t="s">
        <v>354</v>
      </c>
      <c r="F2230" s="5">
        <v>3165.5</v>
      </c>
      <c r="G2230" s="5">
        <v>633.1</v>
      </c>
      <c r="I2230" t="str">
        <f t="shared" si="172"/>
        <v>Low Sales</v>
      </c>
      <c r="J2230" t="str">
        <f t="shared" si="173"/>
        <v>Average Performance</v>
      </c>
      <c r="K2230">
        <f t="shared" si="174"/>
        <v>2003</v>
      </c>
      <c r="L2230" t="str">
        <f t="shared" si="175"/>
        <v>November</v>
      </c>
    </row>
    <row r="2231" spans="1:12" x14ac:dyDescent="0.25">
      <c r="A2231" t="s">
        <v>75</v>
      </c>
      <c r="B2231" t="s">
        <v>258</v>
      </c>
      <c r="C2231" t="s">
        <v>263</v>
      </c>
      <c r="D2231" t="str">
        <f t="shared" si="176"/>
        <v>Trucks And Buses</v>
      </c>
      <c r="E2231" t="s">
        <v>354</v>
      </c>
      <c r="F2231" s="5">
        <v>2071.41</v>
      </c>
      <c r="G2231" s="5">
        <v>414.28199999999998</v>
      </c>
      <c r="I2231" t="str">
        <f t="shared" si="172"/>
        <v>Low Sales</v>
      </c>
      <c r="J2231" t="str">
        <f t="shared" si="173"/>
        <v>Average Performance</v>
      </c>
      <c r="K2231">
        <f t="shared" si="174"/>
        <v>2003</v>
      </c>
      <c r="L2231" t="str">
        <f t="shared" si="175"/>
        <v>November</v>
      </c>
    </row>
    <row r="2232" spans="1:12" x14ac:dyDescent="0.25">
      <c r="A2232" t="s">
        <v>40</v>
      </c>
      <c r="C2232" t="s">
        <v>263</v>
      </c>
      <c r="D2232" t="str">
        <f t="shared" si="176"/>
        <v>Trucks And Buses</v>
      </c>
      <c r="E2232" t="s">
        <v>354</v>
      </c>
      <c r="F2232" s="5">
        <v>1385.28</v>
      </c>
      <c r="G2232" s="5">
        <v>277.05599999999998</v>
      </c>
      <c r="I2232" t="str">
        <f t="shared" si="172"/>
        <v>Low Sales</v>
      </c>
      <c r="J2232" t="str">
        <f t="shared" si="173"/>
        <v>Average Performance</v>
      </c>
      <c r="K2232">
        <f t="shared" si="174"/>
        <v>2003</v>
      </c>
      <c r="L2232" t="str">
        <f t="shared" si="175"/>
        <v>November</v>
      </c>
    </row>
    <row r="2233" spans="1:12" x14ac:dyDescent="0.25">
      <c r="A2233" t="s">
        <v>97</v>
      </c>
      <c r="C2233" t="s">
        <v>263</v>
      </c>
      <c r="D2233" t="str">
        <f t="shared" si="176"/>
        <v>Trucks And Buses</v>
      </c>
      <c r="E2233" t="s">
        <v>354</v>
      </c>
      <c r="F2233" s="5">
        <v>1621.62</v>
      </c>
      <c r="G2233" s="5">
        <v>324.32400000000001</v>
      </c>
      <c r="I2233" t="str">
        <f t="shared" si="172"/>
        <v>Low Sales</v>
      </c>
      <c r="J2233" t="str">
        <f t="shared" si="173"/>
        <v>Average Performance</v>
      </c>
      <c r="K2233">
        <f t="shared" si="174"/>
        <v>2003</v>
      </c>
      <c r="L2233" t="str">
        <f t="shared" si="175"/>
        <v>December</v>
      </c>
    </row>
    <row r="2234" spans="1:12" x14ac:dyDescent="0.25">
      <c r="A2234" t="s">
        <v>152</v>
      </c>
      <c r="C2234" t="s">
        <v>263</v>
      </c>
      <c r="D2234" t="str">
        <f t="shared" si="176"/>
        <v>Trucks And Buses</v>
      </c>
      <c r="E2234" t="s">
        <v>354</v>
      </c>
      <c r="F2234" s="5">
        <v>1931.65</v>
      </c>
      <c r="G2234" s="5">
        <v>386.33</v>
      </c>
      <c r="I2234" t="str">
        <f t="shared" si="172"/>
        <v>Low Sales</v>
      </c>
      <c r="J2234" t="str">
        <f t="shared" si="173"/>
        <v>Average Performance</v>
      </c>
      <c r="K2234">
        <f t="shared" si="174"/>
        <v>2004</v>
      </c>
      <c r="L2234" t="str">
        <f t="shared" si="175"/>
        <v>February</v>
      </c>
    </row>
    <row r="2235" spans="1:12" x14ac:dyDescent="0.25">
      <c r="A2235" t="s">
        <v>99</v>
      </c>
      <c r="C2235" t="s">
        <v>263</v>
      </c>
      <c r="D2235" t="str">
        <f t="shared" si="176"/>
        <v>Trucks And Buses</v>
      </c>
      <c r="E2235" t="s">
        <v>354</v>
      </c>
      <c r="F2235" s="5">
        <v>1244.53</v>
      </c>
      <c r="G2235" s="5">
        <v>248.90600000000001</v>
      </c>
      <c r="I2235" t="str">
        <f t="shared" si="172"/>
        <v>Low Sales</v>
      </c>
      <c r="J2235" t="str">
        <f t="shared" si="173"/>
        <v>Average Performance</v>
      </c>
      <c r="K2235">
        <f t="shared" si="174"/>
        <v>2004</v>
      </c>
      <c r="L2235" t="str">
        <f t="shared" si="175"/>
        <v>March</v>
      </c>
    </row>
    <row r="2236" spans="1:12" x14ac:dyDescent="0.25">
      <c r="A2236" t="s">
        <v>131</v>
      </c>
      <c r="B2236" t="s">
        <v>258</v>
      </c>
      <c r="C2236" t="s">
        <v>263</v>
      </c>
      <c r="D2236" t="str">
        <f t="shared" si="176"/>
        <v>Trucks And Buses</v>
      </c>
      <c r="E2236" t="s">
        <v>354</v>
      </c>
      <c r="F2236" s="5">
        <v>1704.5</v>
      </c>
      <c r="G2236" s="5">
        <v>340.9</v>
      </c>
      <c r="I2236" t="str">
        <f t="shared" si="172"/>
        <v>Low Sales</v>
      </c>
      <c r="J2236" t="str">
        <f t="shared" si="173"/>
        <v>Average Performance</v>
      </c>
      <c r="K2236">
        <f t="shared" si="174"/>
        <v>2004</v>
      </c>
      <c r="L2236" t="str">
        <f t="shared" si="175"/>
        <v>May</v>
      </c>
    </row>
    <row r="2237" spans="1:12" x14ac:dyDescent="0.25">
      <c r="A2237" t="s">
        <v>45</v>
      </c>
      <c r="B2237" t="s">
        <v>259</v>
      </c>
      <c r="C2237" t="s">
        <v>263</v>
      </c>
      <c r="D2237" t="str">
        <f t="shared" si="176"/>
        <v>Trucks And Buses</v>
      </c>
      <c r="E2237" t="s">
        <v>354</v>
      </c>
      <c r="F2237" s="5">
        <v>1753.2</v>
      </c>
      <c r="G2237" s="5">
        <v>350.64</v>
      </c>
      <c r="I2237" t="str">
        <f t="shared" si="172"/>
        <v>Low Sales</v>
      </c>
      <c r="J2237" t="str">
        <f t="shared" si="173"/>
        <v>Average Performance</v>
      </c>
      <c r="K2237">
        <f t="shared" si="174"/>
        <v>2004</v>
      </c>
      <c r="L2237" t="str">
        <f t="shared" si="175"/>
        <v>June</v>
      </c>
    </row>
    <row r="2238" spans="1:12" x14ac:dyDescent="0.25">
      <c r="A2238" t="s">
        <v>132</v>
      </c>
      <c r="C2238" t="s">
        <v>263</v>
      </c>
      <c r="D2238" t="str">
        <f t="shared" si="176"/>
        <v>Trucks And Buses</v>
      </c>
      <c r="E2238" t="s">
        <v>354</v>
      </c>
      <c r="F2238" s="5">
        <v>1666.7</v>
      </c>
      <c r="G2238" s="5">
        <v>333.34</v>
      </c>
      <c r="I2238" t="str">
        <f t="shared" si="172"/>
        <v>Low Sales</v>
      </c>
      <c r="J2238" t="str">
        <f t="shared" si="173"/>
        <v>Average Performance</v>
      </c>
      <c r="K2238">
        <f t="shared" si="174"/>
        <v>2004</v>
      </c>
      <c r="L2238" t="str">
        <f t="shared" si="175"/>
        <v>July</v>
      </c>
    </row>
    <row r="2239" spans="1:12" x14ac:dyDescent="0.25">
      <c r="A2239" t="s">
        <v>100</v>
      </c>
      <c r="C2239" t="s">
        <v>263</v>
      </c>
      <c r="D2239" t="str">
        <f t="shared" si="176"/>
        <v>Trucks And Buses</v>
      </c>
      <c r="E2239" t="s">
        <v>354</v>
      </c>
      <c r="F2239" s="5">
        <v>1710.89</v>
      </c>
      <c r="G2239" s="5">
        <v>342.17800000000011</v>
      </c>
      <c r="I2239" t="str">
        <f t="shared" si="172"/>
        <v>Low Sales</v>
      </c>
      <c r="J2239" t="str">
        <f t="shared" si="173"/>
        <v>Average Performance</v>
      </c>
      <c r="K2239">
        <f t="shared" si="174"/>
        <v>2004</v>
      </c>
      <c r="L2239" t="str">
        <f t="shared" si="175"/>
        <v>August</v>
      </c>
    </row>
    <row r="2240" spans="1:12" x14ac:dyDescent="0.25">
      <c r="A2240" t="s">
        <v>48</v>
      </c>
      <c r="C2240" t="s">
        <v>263</v>
      </c>
      <c r="D2240" t="str">
        <f t="shared" si="176"/>
        <v>Trucks And Buses</v>
      </c>
      <c r="E2240" t="s">
        <v>354</v>
      </c>
      <c r="F2240" s="5">
        <v>2326.5</v>
      </c>
      <c r="G2240" s="5">
        <v>465.3</v>
      </c>
      <c r="I2240" t="str">
        <f t="shared" si="172"/>
        <v>Low Sales</v>
      </c>
      <c r="J2240" t="str">
        <f t="shared" si="173"/>
        <v>Average Performance</v>
      </c>
      <c r="K2240">
        <f t="shared" si="174"/>
        <v>2004</v>
      </c>
      <c r="L2240" t="str">
        <f t="shared" si="175"/>
        <v>September</v>
      </c>
    </row>
    <row r="2241" spans="1:12" x14ac:dyDescent="0.25">
      <c r="A2241" t="s">
        <v>101</v>
      </c>
      <c r="C2241" t="s">
        <v>263</v>
      </c>
      <c r="D2241" t="str">
        <f t="shared" si="176"/>
        <v>Trucks And Buses</v>
      </c>
      <c r="E2241" t="s">
        <v>354</v>
      </c>
      <c r="F2241" s="5">
        <v>2316</v>
      </c>
      <c r="G2241" s="5">
        <v>463.2</v>
      </c>
      <c r="I2241" t="str">
        <f t="shared" si="172"/>
        <v>Low Sales</v>
      </c>
      <c r="J2241" t="str">
        <f t="shared" si="173"/>
        <v>Average Performance</v>
      </c>
      <c r="K2241">
        <f t="shared" si="174"/>
        <v>2004</v>
      </c>
      <c r="L2241" t="str">
        <f t="shared" si="175"/>
        <v>October</v>
      </c>
    </row>
    <row r="2242" spans="1:12" x14ac:dyDescent="0.25">
      <c r="A2242" t="s">
        <v>102</v>
      </c>
      <c r="C2242" t="s">
        <v>263</v>
      </c>
      <c r="D2242" t="str">
        <f t="shared" si="176"/>
        <v>Trucks And Buses</v>
      </c>
      <c r="E2242" t="s">
        <v>354</v>
      </c>
      <c r="F2242" s="5">
        <v>1727.1</v>
      </c>
      <c r="G2242" s="5">
        <v>345.42</v>
      </c>
      <c r="I2242" t="str">
        <f t="shared" si="172"/>
        <v>Low Sales</v>
      </c>
      <c r="J2242" t="str">
        <f t="shared" si="173"/>
        <v>Average Performance</v>
      </c>
      <c r="K2242">
        <f t="shared" si="174"/>
        <v>2004</v>
      </c>
      <c r="L2242" t="str">
        <f t="shared" si="175"/>
        <v>October</v>
      </c>
    </row>
    <row r="2243" spans="1:12" x14ac:dyDescent="0.25">
      <c r="A2243" t="s">
        <v>86</v>
      </c>
      <c r="B2243" t="s">
        <v>258</v>
      </c>
      <c r="C2243" t="s">
        <v>263</v>
      </c>
      <c r="D2243" t="str">
        <f t="shared" si="176"/>
        <v>Trucks And Buses</v>
      </c>
      <c r="E2243" t="s">
        <v>354</v>
      </c>
      <c r="F2243" s="5">
        <v>8844.1200000000008</v>
      </c>
      <c r="G2243" s="5">
        <v>1768.8240000000001</v>
      </c>
      <c r="I2243" t="str">
        <f t="shared" ref="I2243:I2306" si="177">IF(F2243&gt;50000,"High Sales","Low Sales")</f>
        <v>Low Sales</v>
      </c>
      <c r="J2243" t="str">
        <f t="shared" ref="J2243:J2306" si="178">IF(AND(F2243&gt;30000,G2243&gt;5000),"Good Performance","Average Performance")</f>
        <v>Average Performance</v>
      </c>
      <c r="K2243">
        <f t="shared" ref="K2243:K2306" si="179">YEAR(A2243)</f>
        <v>2004</v>
      </c>
      <c r="L2243" t="str">
        <f t="shared" ref="L2243:L2306" si="180">TEXT(A2243,"mmmm")</f>
        <v>November</v>
      </c>
    </row>
    <row r="2244" spans="1:12" x14ac:dyDescent="0.25">
      <c r="A2244" t="s">
        <v>103</v>
      </c>
      <c r="C2244" t="s">
        <v>263</v>
      </c>
      <c r="D2244" t="str">
        <f t="shared" si="176"/>
        <v>Trucks And Buses</v>
      </c>
      <c r="E2244" t="s">
        <v>354</v>
      </c>
      <c r="F2244" s="5">
        <v>2424</v>
      </c>
      <c r="G2244" s="5">
        <v>484.8</v>
      </c>
      <c r="I2244" t="str">
        <f t="shared" si="177"/>
        <v>Low Sales</v>
      </c>
      <c r="J2244" t="str">
        <f t="shared" si="178"/>
        <v>Average Performance</v>
      </c>
      <c r="K2244">
        <f t="shared" si="179"/>
        <v>2004</v>
      </c>
      <c r="L2244" t="str">
        <f t="shared" si="180"/>
        <v>November</v>
      </c>
    </row>
    <row r="2245" spans="1:12" x14ac:dyDescent="0.25">
      <c r="A2245" t="s">
        <v>146</v>
      </c>
      <c r="C2245" t="s">
        <v>263</v>
      </c>
      <c r="D2245" t="str">
        <f t="shared" si="176"/>
        <v>Trucks And Buses</v>
      </c>
      <c r="E2245" t="s">
        <v>354</v>
      </c>
      <c r="F2245" s="5">
        <v>1535.49</v>
      </c>
      <c r="G2245" s="5">
        <v>307.09800000000001</v>
      </c>
      <c r="I2245" t="str">
        <f t="shared" si="177"/>
        <v>Low Sales</v>
      </c>
      <c r="J2245" t="str">
        <f t="shared" si="178"/>
        <v>Average Performance</v>
      </c>
      <c r="K2245">
        <f t="shared" si="179"/>
        <v>2004</v>
      </c>
      <c r="L2245" t="str">
        <f t="shared" si="180"/>
        <v>December</v>
      </c>
    </row>
    <row r="2246" spans="1:12" x14ac:dyDescent="0.25">
      <c r="A2246" t="s">
        <v>89</v>
      </c>
      <c r="B2246" t="s">
        <v>258</v>
      </c>
      <c r="C2246" t="s">
        <v>263</v>
      </c>
      <c r="D2246" t="str">
        <f t="shared" si="176"/>
        <v>Trucks And Buses</v>
      </c>
      <c r="E2246" t="s">
        <v>354</v>
      </c>
      <c r="F2246" s="5">
        <v>6358.68</v>
      </c>
      <c r="G2246" s="5">
        <v>1271.7360000000001</v>
      </c>
      <c r="I2246" t="str">
        <f t="shared" si="177"/>
        <v>Low Sales</v>
      </c>
      <c r="J2246" t="str">
        <f t="shared" si="178"/>
        <v>Average Performance</v>
      </c>
      <c r="K2246">
        <f t="shared" si="179"/>
        <v>2004</v>
      </c>
      <c r="L2246" t="str">
        <f t="shared" si="180"/>
        <v>December</v>
      </c>
    </row>
    <row r="2247" spans="1:12" x14ac:dyDescent="0.25">
      <c r="A2247" t="s">
        <v>135</v>
      </c>
      <c r="C2247" t="s">
        <v>263</v>
      </c>
      <c r="D2247" t="str">
        <f t="shared" si="176"/>
        <v>Trucks And Buses</v>
      </c>
      <c r="E2247" t="s">
        <v>354</v>
      </c>
      <c r="F2247" s="5">
        <v>1329.4</v>
      </c>
      <c r="G2247" s="5">
        <v>265.88000000000011</v>
      </c>
      <c r="I2247" t="str">
        <f t="shared" si="177"/>
        <v>Low Sales</v>
      </c>
      <c r="J2247" t="str">
        <f t="shared" si="178"/>
        <v>Average Performance</v>
      </c>
      <c r="K2247">
        <f t="shared" si="179"/>
        <v>2005</v>
      </c>
      <c r="L2247" t="str">
        <f t="shared" si="180"/>
        <v>January</v>
      </c>
    </row>
    <row r="2248" spans="1:12" x14ac:dyDescent="0.25">
      <c r="A2248" t="s">
        <v>211</v>
      </c>
      <c r="B2248" t="s">
        <v>258</v>
      </c>
      <c r="C2248" t="s">
        <v>263</v>
      </c>
      <c r="D2248" t="str">
        <f t="shared" si="176"/>
        <v>Trucks And Buses</v>
      </c>
      <c r="E2248" t="s">
        <v>354</v>
      </c>
      <c r="F2248" s="5">
        <v>1701.76</v>
      </c>
      <c r="G2248" s="5">
        <v>340.35199999999998</v>
      </c>
      <c r="I2248" t="str">
        <f t="shared" si="177"/>
        <v>Low Sales</v>
      </c>
      <c r="J2248" t="str">
        <f t="shared" si="178"/>
        <v>Average Performance</v>
      </c>
      <c r="K2248">
        <f t="shared" si="179"/>
        <v>2005</v>
      </c>
      <c r="L2248" t="str">
        <f t="shared" si="180"/>
        <v>February</v>
      </c>
    </row>
    <row r="2249" spans="1:12" x14ac:dyDescent="0.25">
      <c r="A2249" t="s">
        <v>228</v>
      </c>
      <c r="B2249" t="s">
        <v>258</v>
      </c>
      <c r="C2249" t="s">
        <v>263</v>
      </c>
      <c r="D2249" t="str">
        <f t="shared" si="176"/>
        <v>Trucks And Buses</v>
      </c>
      <c r="E2249" t="s">
        <v>354</v>
      </c>
      <c r="F2249" s="5">
        <v>2259.7199999999998</v>
      </c>
      <c r="G2249" s="5">
        <v>451.94400000000002</v>
      </c>
      <c r="I2249" t="str">
        <f t="shared" si="177"/>
        <v>Low Sales</v>
      </c>
      <c r="J2249" t="str">
        <f t="shared" si="178"/>
        <v>Average Performance</v>
      </c>
      <c r="K2249">
        <f t="shared" si="179"/>
        <v>2005</v>
      </c>
      <c r="L2249" t="str">
        <f t="shared" si="180"/>
        <v>March</v>
      </c>
    </row>
    <row r="2250" spans="1:12" x14ac:dyDescent="0.25">
      <c r="A2250" t="s">
        <v>153</v>
      </c>
      <c r="B2250" t="s">
        <v>258</v>
      </c>
      <c r="C2250" t="s">
        <v>263</v>
      </c>
      <c r="D2250" t="str">
        <f t="shared" si="176"/>
        <v>Trucks And Buses</v>
      </c>
      <c r="E2250" t="s">
        <v>354</v>
      </c>
      <c r="F2250" s="5">
        <v>925.3</v>
      </c>
      <c r="G2250" s="5">
        <v>185.06</v>
      </c>
      <c r="I2250" t="str">
        <f t="shared" si="177"/>
        <v>Low Sales</v>
      </c>
      <c r="J2250" t="str">
        <f t="shared" si="178"/>
        <v>Average Performance</v>
      </c>
      <c r="K2250">
        <f t="shared" si="179"/>
        <v>2005</v>
      </c>
      <c r="L2250" t="str">
        <f t="shared" si="180"/>
        <v>May</v>
      </c>
    </row>
    <row r="2251" spans="1:12" x14ac:dyDescent="0.25">
      <c r="A2251" t="s">
        <v>59</v>
      </c>
      <c r="B2251" t="s">
        <v>258</v>
      </c>
      <c r="C2251" t="s">
        <v>263</v>
      </c>
      <c r="D2251" t="str">
        <f t="shared" si="176"/>
        <v>Trucks And Buses</v>
      </c>
      <c r="E2251" t="s">
        <v>354</v>
      </c>
      <c r="F2251" s="5">
        <v>482.13</v>
      </c>
      <c r="G2251" s="5">
        <v>96.426000000000002</v>
      </c>
      <c r="I2251" t="str">
        <f t="shared" si="177"/>
        <v>Low Sales</v>
      </c>
      <c r="J2251" t="str">
        <f t="shared" si="178"/>
        <v>Average Performance</v>
      </c>
      <c r="K2251">
        <f t="shared" si="179"/>
        <v>2005</v>
      </c>
      <c r="L2251" t="str">
        <f t="shared" si="180"/>
        <v>May</v>
      </c>
    </row>
    <row r="2252" spans="1:12" x14ac:dyDescent="0.25">
      <c r="A2252" t="s">
        <v>140</v>
      </c>
      <c r="B2252" t="s">
        <v>258</v>
      </c>
      <c r="C2252" t="s">
        <v>267</v>
      </c>
      <c r="D2252" t="str">
        <f t="shared" si="176"/>
        <v>Trains</v>
      </c>
      <c r="E2252" t="s">
        <v>355</v>
      </c>
      <c r="F2252" s="5">
        <v>3227.63</v>
      </c>
      <c r="G2252" s="5">
        <v>645.52600000000007</v>
      </c>
      <c r="I2252" t="str">
        <f t="shared" si="177"/>
        <v>Low Sales</v>
      </c>
      <c r="J2252" t="str">
        <f t="shared" si="178"/>
        <v>Average Performance</v>
      </c>
      <c r="K2252">
        <f t="shared" si="179"/>
        <v>2003</v>
      </c>
      <c r="L2252" t="str">
        <f t="shared" si="180"/>
        <v>January</v>
      </c>
    </row>
    <row r="2253" spans="1:12" x14ac:dyDescent="0.25">
      <c r="A2253" t="s">
        <v>253</v>
      </c>
      <c r="B2253" t="s">
        <v>258</v>
      </c>
      <c r="C2253" t="s">
        <v>267</v>
      </c>
      <c r="D2253" t="str">
        <f t="shared" si="176"/>
        <v>Trains</v>
      </c>
      <c r="E2253" t="s">
        <v>355</v>
      </c>
      <c r="F2253" s="5">
        <v>1711.26</v>
      </c>
      <c r="G2253" s="5">
        <v>342.25200000000001</v>
      </c>
      <c r="I2253" t="str">
        <f t="shared" si="177"/>
        <v>Low Sales</v>
      </c>
      <c r="J2253" t="str">
        <f t="shared" si="178"/>
        <v>Average Performance</v>
      </c>
      <c r="K2253">
        <f t="shared" si="179"/>
        <v>2003</v>
      </c>
      <c r="L2253" t="str">
        <f t="shared" si="180"/>
        <v>April</v>
      </c>
    </row>
    <row r="2254" spans="1:12" x14ac:dyDescent="0.25">
      <c r="A2254" t="s">
        <v>124</v>
      </c>
      <c r="C2254" t="s">
        <v>267</v>
      </c>
      <c r="D2254" t="str">
        <f t="shared" si="176"/>
        <v>Trains</v>
      </c>
      <c r="E2254" t="s">
        <v>355</v>
      </c>
      <c r="F2254" s="5">
        <v>2054.36</v>
      </c>
      <c r="G2254" s="5">
        <v>410.87200000000013</v>
      </c>
      <c r="I2254" t="str">
        <f t="shared" si="177"/>
        <v>Low Sales</v>
      </c>
      <c r="J2254" t="str">
        <f t="shared" si="178"/>
        <v>Average Performance</v>
      </c>
      <c r="K2254">
        <f t="shared" si="179"/>
        <v>2003</v>
      </c>
      <c r="L2254" t="str">
        <f t="shared" si="180"/>
        <v>June</v>
      </c>
    </row>
    <row r="2255" spans="1:12" x14ac:dyDescent="0.25">
      <c r="A2255" t="s">
        <v>125</v>
      </c>
      <c r="C2255" t="s">
        <v>267</v>
      </c>
      <c r="D2255" t="str">
        <f t="shared" si="176"/>
        <v>Trains</v>
      </c>
      <c r="E2255" t="s">
        <v>355</v>
      </c>
      <c r="F2255" s="5">
        <v>3131.94</v>
      </c>
      <c r="G2255" s="5">
        <v>626.38800000000003</v>
      </c>
      <c r="I2255" t="str">
        <f t="shared" si="177"/>
        <v>Low Sales</v>
      </c>
      <c r="J2255" t="str">
        <f t="shared" si="178"/>
        <v>Average Performance</v>
      </c>
      <c r="K2255">
        <f t="shared" si="179"/>
        <v>2003</v>
      </c>
      <c r="L2255" t="str">
        <f t="shared" si="180"/>
        <v>August</v>
      </c>
    </row>
    <row r="2256" spans="1:12" x14ac:dyDescent="0.25">
      <c r="A2256" t="s">
        <v>241</v>
      </c>
      <c r="B2256" t="s">
        <v>259</v>
      </c>
      <c r="C2256" t="s">
        <v>267</v>
      </c>
      <c r="D2256" t="str">
        <f t="shared" si="176"/>
        <v>Trains</v>
      </c>
      <c r="E2256" t="s">
        <v>355</v>
      </c>
      <c r="F2256" s="5">
        <v>1681.35</v>
      </c>
      <c r="G2256" s="5">
        <v>336.27</v>
      </c>
      <c r="I2256" t="str">
        <f t="shared" si="177"/>
        <v>Low Sales</v>
      </c>
      <c r="J2256" t="str">
        <f t="shared" si="178"/>
        <v>Average Performance</v>
      </c>
      <c r="K2256">
        <f t="shared" si="179"/>
        <v>2003</v>
      </c>
      <c r="L2256" t="str">
        <f t="shared" si="180"/>
        <v>September</v>
      </c>
    </row>
    <row r="2257" spans="1:12" x14ac:dyDescent="0.25">
      <c r="A2257" t="s">
        <v>127</v>
      </c>
      <c r="B2257" t="s">
        <v>260</v>
      </c>
      <c r="C2257" t="s">
        <v>267</v>
      </c>
      <c r="D2257" t="str">
        <f t="shared" si="176"/>
        <v>Trains</v>
      </c>
      <c r="E2257" t="s">
        <v>355</v>
      </c>
      <c r="F2257" s="5">
        <v>2351.36</v>
      </c>
      <c r="G2257" s="5">
        <v>470.27199999999999</v>
      </c>
      <c r="I2257" t="str">
        <f t="shared" si="177"/>
        <v>Low Sales</v>
      </c>
      <c r="J2257" t="str">
        <f t="shared" si="178"/>
        <v>Average Performance</v>
      </c>
      <c r="K2257">
        <f t="shared" si="179"/>
        <v>2003</v>
      </c>
      <c r="L2257" t="str">
        <f t="shared" si="180"/>
        <v>October</v>
      </c>
    </row>
    <row r="2258" spans="1:12" x14ac:dyDescent="0.25">
      <c r="A2258" t="s">
        <v>38</v>
      </c>
      <c r="B2258" t="s">
        <v>258</v>
      </c>
      <c r="C2258" t="s">
        <v>267</v>
      </c>
      <c r="D2258" t="str">
        <f t="shared" si="176"/>
        <v>Trains</v>
      </c>
      <c r="E2258" t="s">
        <v>355</v>
      </c>
      <c r="F2258" s="5">
        <v>1408</v>
      </c>
      <c r="G2258" s="5">
        <v>281.60000000000002</v>
      </c>
      <c r="I2258" t="str">
        <f t="shared" si="177"/>
        <v>Low Sales</v>
      </c>
      <c r="J2258" t="str">
        <f t="shared" si="178"/>
        <v>Average Performance</v>
      </c>
      <c r="K2258">
        <f t="shared" si="179"/>
        <v>2003</v>
      </c>
      <c r="L2258" t="str">
        <f t="shared" si="180"/>
        <v>November</v>
      </c>
    </row>
    <row r="2259" spans="1:12" x14ac:dyDescent="0.25">
      <c r="A2259" t="s">
        <v>75</v>
      </c>
      <c r="B2259" t="s">
        <v>258</v>
      </c>
      <c r="C2259" t="s">
        <v>267</v>
      </c>
      <c r="D2259" t="str">
        <f t="shared" si="176"/>
        <v>Trains</v>
      </c>
      <c r="E2259" t="s">
        <v>355</v>
      </c>
      <c r="F2259" s="5">
        <v>2445.6</v>
      </c>
      <c r="G2259" s="5">
        <v>489.12</v>
      </c>
      <c r="I2259" t="str">
        <f t="shared" si="177"/>
        <v>Low Sales</v>
      </c>
      <c r="J2259" t="str">
        <f t="shared" si="178"/>
        <v>Average Performance</v>
      </c>
      <c r="K2259">
        <f t="shared" si="179"/>
        <v>2003</v>
      </c>
      <c r="L2259" t="str">
        <f t="shared" si="180"/>
        <v>November</v>
      </c>
    </row>
    <row r="2260" spans="1:12" x14ac:dyDescent="0.25">
      <c r="A2260" t="s">
        <v>40</v>
      </c>
      <c r="C2260" t="s">
        <v>267</v>
      </c>
      <c r="D2260" t="str">
        <f t="shared" ref="D2260:D2302" si="181">PROPER(TRIM(C2260))</f>
        <v>Trains</v>
      </c>
      <c r="E2260" t="s">
        <v>355</v>
      </c>
      <c r="F2260" s="5">
        <v>1804.44</v>
      </c>
      <c r="G2260" s="5">
        <v>360.88799999999998</v>
      </c>
      <c r="I2260" t="str">
        <f t="shared" si="177"/>
        <v>Low Sales</v>
      </c>
      <c r="J2260" t="str">
        <f t="shared" si="178"/>
        <v>Average Performance</v>
      </c>
      <c r="K2260">
        <f t="shared" si="179"/>
        <v>2003</v>
      </c>
      <c r="L2260" t="str">
        <f t="shared" si="180"/>
        <v>November</v>
      </c>
    </row>
    <row r="2261" spans="1:12" x14ac:dyDescent="0.25">
      <c r="A2261" t="s">
        <v>97</v>
      </c>
      <c r="C2261" t="s">
        <v>267</v>
      </c>
      <c r="D2261" t="str">
        <f t="shared" si="181"/>
        <v>Trains</v>
      </c>
      <c r="E2261" t="s">
        <v>355</v>
      </c>
      <c r="F2261" s="5">
        <v>2544.75</v>
      </c>
      <c r="G2261" s="5">
        <v>508.95</v>
      </c>
      <c r="I2261" t="str">
        <f t="shared" si="177"/>
        <v>Low Sales</v>
      </c>
      <c r="J2261" t="str">
        <f t="shared" si="178"/>
        <v>Average Performance</v>
      </c>
      <c r="K2261">
        <f t="shared" si="179"/>
        <v>2003</v>
      </c>
      <c r="L2261" t="str">
        <f t="shared" si="180"/>
        <v>December</v>
      </c>
    </row>
    <row r="2262" spans="1:12" x14ac:dyDescent="0.25">
      <c r="A2262" t="s">
        <v>129</v>
      </c>
      <c r="B2262" t="s">
        <v>258</v>
      </c>
      <c r="C2262" t="s">
        <v>267</v>
      </c>
      <c r="D2262" t="str">
        <f t="shared" si="181"/>
        <v>Trains</v>
      </c>
      <c r="E2262" t="s">
        <v>355</v>
      </c>
      <c r="F2262" s="5">
        <v>1056.4000000000001</v>
      </c>
      <c r="G2262" s="5">
        <v>211.28</v>
      </c>
      <c r="I2262" t="str">
        <f t="shared" si="177"/>
        <v>Low Sales</v>
      </c>
      <c r="J2262" t="str">
        <f t="shared" si="178"/>
        <v>Average Performance</v>
      </c>
      <c r="K2262">
        <f t="shared" si="179"/>
        <v>2004</v>
      </c>
      <c r="L2262" t="str">
        <f t="shared" si="180"/>
        <v>February</v>
      </c>
    </row>
    <row r="2263" spans="1:12" x14ac:dyDescent="0.25">
      <c r="A2263" t="s">
        <v>141</v>
      </c>
      <c r="B2263" t="s">
        <v>258</v>
      </c>
      <c r="C2263" t="s">
        <v>267</v>
      </c>
      <c r="D2263" t="str">
        <f t="shared" si="181"/>
        <v>Trains</v>
      </c>
      <c r="E2263" t="s">
        <v>355</v>
      </c>
      <c r="F2263" s="5">
        <v>2801.4</v>
      </c>
      <c r="G2263" s="5">
        <v>560.28000000000009</v>
      </c>
      <c r="I2263" t="str">
        <f t="shared" si="177"/>
        <v>Low Sales</v>
      </c>
      <c r="J2263" t="str">
        <f t="shared" si="178"/>
        <v>Average Performance</v>
      </c>
      <c r="K2263">
        <f t="shared" si="179"/>
        <v>2004</v>
      </c>
      <c r="L2263" t="str">
        <f t="shared" si="180"/>
        <v>March</v>
      </c>
    </row>
    <row r="2264" spans="1:12" x14ac:dyDescent="0.25">
      <c r="A2264" t="s">
        <v>131</v>
      </c>
      <c r="B2264" t="s">
        <v>258</v>
      </c>
      <c r="C2264" t="s">
        <v>267</v>
      </c>
      <c r="D2264" t="str">
        <f t="shared" si="181"/>
        <v>Trains</v>
      </c>
      <c r="E2264" t="s">
        <v>355</v>
      </c>
      <c r="F2264" s="5">
        <v>1988.4</v>
      </c>
      <c r="G2264" s="5">
        <v>397.68000000000012</v>
      </c>
      <c r="I2264" t="str">
        <f t="shared" si="177"/>
        <v>Low Sales</v>
      </c>
      <c r="J2264" t="str">
        <f t="shared" si="178"/>
        <v>Average Performance</v>
      </c>
      <c r="K2264">
        <f t="shared" si="179"/>
        <v>2004</v>
      </c>
      <c r="L2264" t="str">
        <f t="shared" si="180"/>
        <v>May</v>
      </c>
    </row>
    <row r="2265" spans="1:12" x14ac:dyDescent="0.25">
      <c r="A2265" t="s">
        <v>132</v>
      </c>
      <c r="C2265" t="s">
        <v>267</v>
      </c>
      <c r="D2265" t="str">
        <f t="shared" si="181"/>
        <v>Trains</v>
      </c>
      <c r="E2265" t="s">
        <v>355</v>
      </c>
      <c r="F2265" s="5">
        <v>2908.35</v>
      </c>
      <c r="G2265" s="5">
        <v>581.66999999999996</v>
      </c>
      <c r="I2265" t="str">
        <f t="shared" si="177"/>
        <v>Low Sales</v>
      </c>
      <c r="J2265" t="str">
        <f t="shared" si="178"/>
        <v>Average Performance</v>
      </c>
      <c r="K2265">
        <f t="shared" si="179"/>
        <v>2004</v>
      </c>
      <c r="L2265" t="str">
        <f t="shared" si="180"/>
        <v>July</v>
      </c>
    </row>
    <row r="2266" spans="1:12" x14ac:dyDescent="0.25">
      <c r="A2266" t="s">
        <v>82</v>
      </c>
      <c r="C2266" t="s">
        <v>267</v>
      </c>
      <c r="D2266" t="str">
        <f t="shared" si="181"/>
        <v>Trains</v>
      </c>
      <c r="E2266" t="s">
        <v>355</v>
      </c>
      <c r="F2266" s="5">
        <v>2147.4</v>
      </c>
      <c r="G2266" s="5">
        <v>429.48</v>
      </c>
      <c r="I2266" t="str">
        <f t="shared" si="177"/>
        <v>Low Sales</v>
      </c>
      <c r="J2266" t="str">
        <f t="shared" si="178"/>
        <v>Average Performance</v>
      </c>
      <c r="K2266">
        <f t="shared" si="179"/>
        <v>2004</v>
      </c>
      <c r="L2266" t="str">
        <f t="shared" si="180"/>
        <v>August</v>
      </c>
    </row>
    <row r="2267" spans="1:12" x14ac:dyDescent="0.25">
      <c r="A2267" t="s">
        <v>48</v>
      </c>
      <c r="C2267" t="s">
        <v>267</v>
      </c>
      <c r="D2267" t="str">
        <f t="shared" si="181"/>
        <v>Trains</v>
      </c>
      <c r="E2267" t="s">
        <v>355</v>
      </c>
      <c r="F2267" s="5">
        <v>2099.63</v>
      </c>
      <c r="G2267" s="5">
        <v>419.92599999999999</v>
      </c>
      <c r="I2267" t="str">
        <f t="shared" si="177"/>
        <v>Low Sales</v>
      </c>
      <c r="J2267" t="str">
        <f t="shared" si="178"/>
        <v>Average Performance</v>
      </c>
      <c r="K2267">
        <f t="shared" si="179"/>
        <v>2004</v>
      </c>
      <c r="L2267" t="str">
        <f t="shared" si="180"/>
        <v>September</v>
      </c>
    </row>
    <row r="2268" spans="1:12" x14ac:dyDescent="0.25">
      <c r="A2268" t="s">
        <v>84</v>
      </c>
      <c r="B2268" t="s">
        <v>258</v>
      </c>
      <c r="C2268" t="s">
        <v>267</v>
      </c>
      <c r="D2268" t="str">
        <f t="shared" si="181"/>
        <v>Trains</v>
      </c>
      <c r="E2268" t="s">
        <v>355</v>
      </c>
      <c r="F2268" s="5">
        <v>2315.1799999999998</v>
      </c>
      <c r="G2268" s="5">
        <v>463.036</v>
      </c>
      <c r="I2268" t="str">
        <f t="shared" si="177"/>
        <v>Low Sales</v>
      </c>
      <c r="J2268" t="str">
        <f t="shared" si="178"/>
        <v>Average Performance</v>
      </c>
      <c r="K2268">
        <f t="shared" si="179"/>
        <v>2004</v>
      </c>
      <c r="L2268" t="str">
        <f t="shared" si="180"/>
        <v>October</v>
      </c>
    </row>
    <row r="2269" spans="1:12" x14ac:dyDescent="0.25">
      <c r="A2269" t="s">
        <v>102</v>
      </c>
      <c r="B2269" t="s">
        <v>258</v>
      </c>
      <c r="C2269" t="s">
        <v>267</v>
      </c>
      <c r="D2269" t="str">
        <f t="shared" si="181"/>
        <v>Trains</v>
      </c>
      <c r="E2269" t="s">
        <v>355</v>
      </c>
      <c r="F2269" s="5">
        <v>2327.15</v>
      </c>
      <c r="G2269" s="5">
        <v>465.43000000000012</v>
      </c>
      <c r="I2269" t="str">
        <f t="shared" si="177"/>
        <v>Low Sales</v>
      </c>
      <c r="J2269" t="str">
        <f t="shared" si="178"/>
        <v>Average Performance</v>
      </c>
      <c r="K2269">
        <f t="shared" si="179"/>
        <v>2004</v>
      </c>
      <c r="L2269" t="str">
        <f t="shared" si="180"/>
        <v>October</v>
      </c>
    </row>
    <row r="2270" spans="1:12" x14ac:dyDescent="0.25">
      <c r="A2270" t="s">
        <v>86</v>
      </c>
      <c r="B2270" t="s">
        <v>258</v>
      </c>
      <c r="C2270" t="s">
        <v>267</v>
      </c>
      <c r="D2270" t="str">
        <f t="shared" si="181"/>
        <v>Trains</v>
      </c>
      <c r="E2270" t="s">
        <v>355</v>
      </c>
      <c r="F2270" s="5">
        <v>5377.4</v>
      </c>
      <c r="G2270" s="5">
        <v>1075.48</v>
      </c>
      <c r="I2270" t="str">
        <f t="shared" si="177"/>
        <v>Low Sales</v>
      </c>
      <c r="J2270" t="str">
        <f t="shared" si="178"/>
        <v>Average Performance</v>
      </c>
      <c r="K2270">
        <f t="shared" si="179"/>
        <v>2004</v>
      </c>
      <c r="L2270" t="str">
        <f t="shared" si="180"/>
        <v>November</v>
      </c>
    </row>
    <row r="2271" spans="1:12" x14ac:dyDescent="0.25">
      <c r="A2271" t="s">
        <v>134</v>
      </c>
      <c r="B2271" t="s">
        <v>258</v>
      </c>
      <c r="C2271" t="s">
        <v>267</v>
      </c>
      <c r="D2271" t="str">
        <f t="shared" si="181"/>
        <v>Trains</v>
      </c>
      <c r="E2271" t="s">
        <v>355</v>
      </c>
      <c r="F2271" s="5">
        <v>2626.01</v>
      </c>
      <c r="G2271" s="5">
        <v>525.20200000000011</v>
      </c>
      <c r="I2271" t="str">
        <f t="shared" si="177"/>
        <v>Low Sales</v>
      </c>
      <c r="J2271" t="str">
        <f t="shared" si="178"/>
        <v>Average Performance</v>
      </c>
      <c r="K2271">
        <f t="shared" si="179"/>
        <v>2004</v>
      </c>
      <c r="L2271" t="str">
        <f t="shared" si="180"/>
        <v>November</v>
      </c>
    </row>
    <row r="2272" spans="1:12" x14ac:dyDescent="0.25">
      <c r="A2272" t="s">
        <v>88</v>
      </c>
      <c r="B2272" t="s">
        <v>258</v>
      </c>
      <c r="C2272" t="s">
        <v>267</v>
      </c>
      <c r="D2272" t="str">
        <f t="shared" si="181"/>
        <v>Trains</v>
      </c>
      <c r="E2272" t="s">
        <v>355</v>
      </c>
      <c r="F2272" s="5">
        <v>4406.3999999999996</v>
      </c>
      <c r="G2272" s="5">
        <v>881.28</v>
      </c>
      <c r="I2272" t="str">
        <f t="shared" si="177"/>
        <v>Low Sales</v>
      </c>
      <c r="J2272" t="str">
        <f t="shared" si="178"/>
        <v>Average Performance</v>
      </c>
      <c r="K2272">
        <f t="shared" si="179"/>
        <v>2004</v>
      </c>
      <c r="L2272" t="str">
        <f t="shared" si="180"/>
        <v>December</v>
      </c>
    </row>
    <row r="2273" spans="1:12" x14ac:dyDescent="0.25">
      <c r="A2273" t="s">
        <v>89</v>
      </c>
      <c r="B2273" t="s">
        <v>258</v>
      </c>
      <c r="C2273" t="s">
        <v>267</v>
      </c>
      <c r="D2273" t="str">
        <f t="shared" si="181"/>
        <v>Trains</v>
      </c>
      <c r="E2273" t="s">
        <v>355</v>
      </c>
      <c r="F2273" s="5">
        <v>4301.22</v>
      </c>
      <c r="G2273" s="5">
        <v>860.24400000000014</v>
      </c>
      <c r="I2273" t="str">
        <f t="shared" si="177"/>
        <v>Low Sales</v>
      </c>
      <c r="J2273" t="str">
        <f t="shared" si="178"/>
        <v>Average Performance</v>
      </c>
      <c r="K2273">
        <f t="shared" si="179"/>
        <v>2004</v>
      </c>
      <c r="L2273" t="str">
        <f t="shared" si="180"/>
        <v>December</v>
      </c>
    </row>
    <row r="2274" spans="1:12" x14ac:dyDescent="0.25">
      <c r="A2274" t="s">
        <v>135</v>
      </c>
      <c r="C2274" t="s">
        <v>267</v>
      </c>
      <c r="D2274" t="str">
        <f t="shared" si="181"/>
        <v>Trains</v>
      </c>
      <c r="E2274" t="s">
        <v>355</v>
      </c>
      <c r="F2274" s="5">
        <v>2986.5</v>
      </c>
      <c r="G2274" s="5">
        <v>597.30000000000007</v>
      </c>
      <c r="I2274" t="str">
        <f t="shared" si="177"/>
        <v>Low Sales</v>
      </c>
      <c r="J2274" t="str">
        <f t="shared" si="178"/>
        <v>Average Performance</v>
      </c>
      <c r="K2274">
        <f t="shared" si="179"/>
        <v>2005</v>
      </c>
      <c r="L2274" t="str">
        <f t="shared" si="180"/>
        <v>January</v>
      </c>
    </row>
    <row r="2275" spans="1:12" x14ac:dyDescent="0.25">
      <c r="A2275" t="s">
        <v>211</v>
      </c>
      <c r="B2275" t="s">
        <v>258</v>
      </c>
      <c r="C2275" t="s">
        <v>267</v>
      </c>
      <c r="D2275" t="str">
        <f t="shared" si="181"/>
        <v>Trains</v>
      </c>
      <c r="E2275" t="s">
        <v>355</v>
      </c>
      <c r="F2275" s="5">
        <v>1587.08</v>
      </c>
      <c r="G2275" s="5">
        <v>317.416</v>
      </c>
      <c r="I2275" t="str">
        <f t="shared" si="177"/>
        <v>Low Sales</v>
      </c>
      <c r="J2275" t="str">
        <f t="shared" si="178"/>
        <v>Average Performance</v>
      </c>
      <c r="K2275">
        <f t="shared" si="179"/>
        <v>2005</v>
      </c>
      <c r="L2275" t="str">
        <f t="shared" si="180"/>
        <v>February</v>
      </c>
    </row>
    <row r="2276" spans="1:12" x14ac:dyDescent="0.25">
      <c r="A2276" t="s">
        <v>228</v>
      </c>
      <c r="B2276" t="s">
        <v>258</v>
      </c>
      <c r="C2276" t="s">
        <v>267</v>
      </c>
      <c r="D2276" t="str">
        <f t="shared" si="181"/>
        <v>Trains</v>
      </c>
      <c r="E2276" t="s">
        <v>355</v>
      </c>
      <c r="F2276" s="5">
        <v>1808.4</v>
      </c>
      <c r="G2276" s="5">
        <v>361.68000000000012</v>
      </c>
      <c r="I2276" t="str">
        <f t="shared" si="177"/>
        <v>Low Sales</v>
      </c>
      <c r="J2276" t="str">
        <f t="shared" si="178"/>
        <v>Average Performance</v>
      </c>
      <c r="K2276">
        <f t="shared" si="179"/>
        <v>2005</v>
      </c>
      <c r="L2276" t="str">
        <f t="shared" si="180"/>
        <v>March</v>
      </c>
    </row>
    <row r="2277" spans="1:12" x14ac:dyDescent="0.25">
      <c r="A2277" t="s">
        <v>136</v>
      </c>
      <c r="C2277" t="s">
        <v>267</v>
      </c>
      <c r="D2277" t="str">
        <f t="shared" si="181"/>
        <v>Trains</v>
      </c>
      <c r="E2277" t="s">
        <v>355</v>
      </c>
      <c r="F2277" s="5">
        <v>1193.04</v>
      </c>
      <c r="G2277" s="5">
        <v>238.608</v>
      </c>
      <c r="I2277" t="str">
        <f t="shared" si="177"/>
        <v>Low Sales</v>
      </c>
      <c r="J2277" t="str">
        <f t="shared" si="178"/>
        <v>Average Performance</v>
      </c>
      <c r="K2277">
        <f t="shared" si="179"/>
        <v>2005</v>
      </c>
      <c r="L2277" t="str">
        <f t="shared" si="180"/>
        <v>May</v>
      </c>
    </row>
    <row r="2278" spans="1:12" x14ac:dyDescent="0.25">
      <c r="A2278" t="s">
        <v>32</v>
      </c>
      <c r="B2278" t="s">
        <v>258</v>
      </c>
      <c r="C2278" t="s">
        <v>263</v>
      </c>
      <c r="D2278" t="str">
        <f t="shared" si="181"/>
        <v>Trucks And Buses</v>
      </c>
      <c r="E2278" t="s">
        <v>356</v>
      </c>
      <c r="F2278" s="5">
        <v>3403.35</v>
      </c>
      <c r="G2278" s="5">
        <v>680.67000000000007</v>
      </c>
      <c r="I2278" t="str">
        <f t="shared" si="177"/>
        <v>Low Sales</v>
      </c>
      <c r="J2278" t="str">
        <f t="shared" si="178"/>
        <v>Average Performance</v>
      </c>
      <c r="K2278">
        <f t="shared" si="179"/>
        <v>2003</v>
      </c>
      <c r="L2278" t="str">
        <f t="shared" si="180"/>
        <v>January</v>
      </c>
    </row>
    <row r="2279" spans="1:12" x14ac:dyDescent="0.25">
      <c r="A2279" t="s">
        <v>137</v>
      </c>
      <c r="C2279" t="s">
        <v>263</v>
      </c>
      <c r="D2279" t="str">
        <f t="shared" si="181"/>
        <v>Trucks And Buses</v>
      </c>
      <c r="E2279" t="s">
        <v>356</v>
      </c>
      <c r="F2279" s="5">
        <v>1575.96</v>
      </c>
      <c r="G2279" s="5">
        <v>315.19200000000001</v>
      </c>
      <c r="I2279" t="str">
        <f t="shared" si="177"/>
        <v>Low Sales</v>
      </c>
      <c r="J2279" t="str">
        <f t="shared" si="178"/>
        <v>Average Performance</v>
      </c>
      <c r="K2279">
        <f t="shared" si="179"/>
        <v>2003</v>
      </c>
      <c r="L2279" t="str">
        <f t="shared" si="180"/>
        <v>March</v>
      </c>
    </row>
    <row r="2280" spans="1:12" x14ac:dyDescent="0.25">
      <c r="A2280" t="s">
        <v>34</v>
      </c>
      <c r="B2280" t="s">
        <v>258</v>
      </c>
      <c r="C2280" t="s">
        <v>263</v>
      </c>
      <c r="D2280" t="str">
        <f t="shared" si="181"/>
        <v>Trucks And Buses</v>
      </c>
      <c r="E2280" t="s">
        <v>356</v>
      </c>
      <c r="F2280" s="5">
        <v>1630.2</v>
      </c>
      <c r="G2280" s="5">
        <v>326.04000000000002</v>
      </c>
      <c r="I2280" t="str">
        <f t="shared" si="177"/>
        <v>Low Sales</v>
      </c>
      <c r="J2280" t="str">
        <f t="shared" si="178"/>
        <v>Average Performance</v>
      </c>
      <c r="K2280">
        <f t="shared" si="179"/>
        <v>2003</v>
      </c>
      <c r="L2280" t="str">
        <f t="shared" si="180"/>
        <v>May</v>
      </c>
    </row>
    <row r="2281" spans="1:12" x14ac:dyDescent="0.25">
      <c r="A2281" t="s">
        <v>35</v>
      </c>
      <c r="C2281" t="s">
        <v>263</v>
      </c>
      <c r="D2281" t="str">
        <f t="shared" si="181"/>
        <v>Trucks And Buses</v>
      </c>
      <c r="E2281" t="s">
        <v>356</v>
      </c>
      <c r="F2281" s="5">
        <v>1701.28</v>
      </c>
      <c r="G2281" s="5">
        <v>340.25599999999997</v>
      </c>
      <c r="I2281" t="str">
        <f t="shared" si="177"/>
        <v>Low Sales</v>
      </c>
      <c r="J2281" t="str">
        <f t="shared" si="178"/>
        <v>Average Performance</v>
      </c>
      <c r="K2281">
        <f t="shared" si="179"/>
        <v>2003</v>
      </c>
      <c r="L2281" t="str">
        <f t="shared" si="180"/>
        <v>July</v>
      </c>
    </row>
    <row r="2282" spans="1:12" x14ac:dyDescent="0.25">
      <c r="A2282" t="s">
        <v>36</v>
      </c>
      <c r="B2282" t="s">
        <v>260</v>
      </c>
      <c r="C2282" t="s">
        <v>263</v>
      </c>
      <c r="D2282" t="str">
        <f t="shared" si="181"/>
        <v>Trucks And Buses</v>
      </c>
      <c r="E2282" t="s">
        <v>356</v>
      </c>
      <c r="F2282" s="5">
        <v>2850.82</v>
      </c>
      <c r="G2282" s="5">
        <v>570.1640000000001</v>
      </c>
      <c r="I2282" t="str">
        <f t="shared" si="177"/>
        <v>Low Sales</v>
      </c>
      <c r="J2282" t="str">
        <f t="shared" si="178"/>
        <v>Average Performance</v>
      </c>
      <c r="K2282">
        <f t="shared" si="179"/>
        <v>2003</v>
      </c>
      <c r="L2282" t="str">
        <f t="shared" si="180"/>
        <v>September</v>
      </c>
    </row>
    <row r="2283" spans="1:12" x14ac:dyDescent="0.25">
      <c r="A2283" t="s">
        <v>96</v>
      </c>
      <c r="B2283" t="s">
        <v>258</v>
      </c>
      <c r="C2283" t="s">
        <v>263</v>
      </c>
      <c r="D2283" t="str">
        <f t="shared" si="181"/>
        <v>Trucks And Buses</v>
      </c>
      <c r="E2283" t="s">
        <v>356</v>
      </c>
      <c r="F2283" s="5">
        <v>2692.06</v>
      </c>
      <c r="G2283" s="5">
        <v>538.41200000000003</v>
      </c>
      <c r="I2283" t="str">
        <f t="shared" si="177"/>
        <v>Low Sales</v>
      </c>
      <c r="J2283" t="str">
        <f t="shared" si="178"/>
        <v>Average Performance</v>
      </c>
      <c r="K2283">
        <f t="shared" si="179"/>
        <v>2003</v>
      </c>
      <c r="L2283" t="str">
        <f t="shared" si="180"/>
        <v>October</v>
      </c>
    </row>
    <row r="2284" spans="1:12" x14ac:dyDescent="0.25">
      <c r="A2284" t="s">
        <v>38</v>
      </c>
      <c r="B2284" t="s">
        <v>258</v>
      </c>
      <c r="C2284" t="s">
        <v>263</v>
      </c>
      <c r="D2284" t="str">
        <f t="shared" si="181"/>
        <v>Trucks And Buses</v>
      </c>
      <c r="E2284" t="s">
        <v>356</v>
      </c>
      <c r="F2284" s="5">
        <v>2174.42</v>
      </c>
      <c r="G2284" s="5">
        <v>434.88400000000001</v>
      </c>
      <c r="I2284" t="str">
        <f t="shared" si="177"/>
        <v>Low Sales</v>
      </c>
      <c r="J2284" t="str">
        <f t="shared" si="178"/>
        <v>Average Performance</v>
      </c>
      <c r="K2284">
        <f t="shared" si="179"/>
        <v>2003</v>
      </c>
      <c r="L2284" t="str">
        <f t="shared" si="180"/>
        <v>November</v>
      </c>
    </row>
    <row r="2285" spans="1:12" x14ac:dyDescent="0.25">
      <c r="A2285" t="s">
        <v>39</v>
      </c>
      <c r="C2285" t="s">
        <v>263</v>
      </c>
      <c r="D2285" t="str">
        <f t="shared" si="181"/>
        <v>Trucks And Buses</v>
      </c>
      <c r="E2285" t="s">
        <v>356</v>
      </c>
      <c r="F2285" s="5">
        <v>3167.36</v>
      </c>
      <c r="G2285" s="5">
        <v>633.47200000000009</v>
      </c>
      <c r="I2285" t="str">
        <f t="shared" si="177"/>
        <v>Low Sales</v>
      </c>
      <c r="J2285" t="str">
        <f t="shared" si="178"/>
        <v>Average Performance</v>
      </c>
      <c r="K2285">
        <f t="shared" si="179"/>
        <v>2003</v>
      </c>
      <c r="L2285" t="str">
        <f t="shared" si="180"/>
        <v>November</v>
      </c>
    </row>
    <row r="2286" spans="1:12" x14ac:dyDescent="0.25">
      <c r="A2286" t="s">
        <v>40</v>
      </c>
      <c r="B2286" t="s">
        <v>258</v>
      </c>
      <c r="C2286" t="s">
        <v>263</v>
      </c>
      <c r="D2286" t="str">
        <f t="shared" si="181"/>
        <v>Trucks And Buses</v>
      </c>
      <c r="E2286" t="s">
        <v>356</v>
      </c>
      <c r="F2286" s="5">
        <v>2142.66</v>
      </c>
      <c r="G2286" s="5">
        <v>428.53199999999998</v>
      </c>
      <c r="I2286" t="str">
        <f t="shared" si="177"/>
        <v>Low Sales</v>
      </c>
      <c r="J2286" t="str">
        <f t="shared" si="178"/>
        <v>Average Performance</v>
      </c>
      <c r="K2286">
        <f t="shared" si="179"/>
        <v>2003</v>
      </c>
      <c r="L2286" t="str">
        <f t="shared" si="180"/>
        <v>November</v>
      </c>
    </row>
    <row r="2287" spans="1:12" x14ac:dyDescent="0.25">
      <c r="A2287" t="s">
        <v>41</v>
      </c>
      <c r="C2287" t="s">
        <v>263</v>
      </c>
      <c r="D2287" t="str">
        <f t="shared" si="181"/>
        <v>Trucks And Buses</v>
      </c>
      <c r="E2287" t="s">
        <v>356</v>
      </c>
      <c r="F2287" s="5">
        <v>2117.52</v>
      </c>
      <c r="G2287" s="5">
        <v>423.50400000000002</v>
      </c>
      <c r="I2287" t="str">
        <f t="shared" si="177"/>
        <v>Low Sales</v>
      </c>
      <c r="J2287" t="str">
        <f t="shared" si="178"/>
        <v>Average Performance</v>
      </c>
      <c r="K2287">
        <f t="shared" si="179"/>
        <v>2003</v>
      </c>
      <c r="L2287" t="str">
        <f t="shared" si="180"/>
        <v>December</v>
      </c>
    </row>
    <row r="2288" spans="1:12" x14ac:dyDescent="0.25">
      <c r="A2288" t="s">
        <v>98</v>
      </c>
      <c r="B2288" t="s">
        <v>259</v>
      </c>
      <c r="C2288" t="s">
        <v>263</v>
      </c>
      <c r="D2288" t="str">
        <f t="shared" si="181"/>
        <v>Trucks And Buses</v>
      </c>
      <c r="E2288" t="s">
        <v>356</v>
      </c>
      <c r="F2288" s="5">
        <v>2419.9499999999998</v>
      </c>
      <c r="G2288" s="5">
        <v>483.99</v>
      </c>
      <c r="I2288" t="str">
        <f t="shared" si="177"/>
        <v>Low Sales</v>
      </c>
      <c r="J2288" t="str">
        <f t="shared" si="178"/>
        <v>Average Performance</v>
      </c>
      <c r="K2288">
        <f t="shared" si="179"/>
        <v>2004</v>
      </c>
      <c r="L2288" t="str">
        <f t="shared" si="180"/>
        <v>February</v>
      </c>
    </row>
    <row r="2289" spans="1:12" x14ac:dyDescent="0.25">
      <c r="A2289" t="s">
        <v>99</v>
      </c>
      <c r="C2289" t="s">
        <v>263</v>
      </c>
      <c r="D2289" t="str">
        <f t="shared" si="181"/>
        <v>Trucks And Buses</v>
      </c>
      <c r="E2289" t="s">
        <v>356</v>
      </c>
      <c r="F2289" s="5">
        <v>2191.1999999999998</v>
      </c>
      <c r="G2289" s="5">
        <v>438.24</v>
      </c>
      <c r="I2289" t="str">
        <f t="shared" si="177"/>
        <v>Low Sales</v>
      </c>
      <c r="J2289" t="str">
        <f t="shared" si="178"/>
        <v>Average Performance</v>
      </c>
      <c r="K2289">
        <f t="shared" si="179"/>
        <v>2004</v>
      </c>
      <c r="L2289" t="str">
        <f t="shared" si="180"/>
        <v>March</v>
      </c>
    </row>
    <row r="2290" spans="1:12" x14ac:dyDescent="0.25">
      <c r="A2290" t="s">
        <v>44</v>
      </c>
      <c r="C2290" t="s">
        <v>263</v>
      </c>
      <c r="D2290" t="str">
        <f t="shared" si="181"/>
        <v>Trucks And Buses</v>
      </c>
      <c r="E2290" t="s">
        <v>356</v>
      </c>
      <c r="F2290" s="5">
        <v>3043.04</v>
      </c>
      <c r="G2290" s="5">
        <v>608.60800000000006</v>
      </c>
      <c r="I2290" t="str">
        <f t="shared" si="177"/>
        <v>Low Sales</v>
      </c>
      <c r="J2290" t="str">
        <f t="shared" si="178"/>
        <v>Average Performance</v>
      </c>
      <c r="K2290">
        <f t="shared" si="179"/>
        <v>2004</v>
      </c>
      <c r="L2290" t="str">
        <f t="shared" si="180"/>
        <v>May</v>
      </c>
    </row>
    <row r="2291" spans="1:12" x14ac:dyDescent="0.25">
      <c r="A2291" t="s">
        <v>45</v>
      </c>
      <c r="B2291" t="s">
        <v>260</v>
      </c>
      <c r="C2291" t="s">
        <v>263</v>
      </c>
      <c r="D2291" t="str">
        <f t="shared" si="181"/>
        <v>Trucks And Buses</v>
      </c>
      <c r="E2291" t="s">
        <v>356</v>
      </c>
      <c r="F2291" s="5">
        <v>1228.2</v>
      </c>
      <c r="G2291" s="5">
        <v>245.64</v>
      </c>
      <c r="I2291" t="str">
        <f t="shared" si="177"/>
        <v>Low Sales</v>
      </c>
      <c r="J2291" t="str">
        <f t="shared" si="178"/>
        <v>Average Performance</v>
      </c>
      <c r="K2291">
        <f t="shared" si="179"/>
        <v>2004</v>
      </c>
      <c r="L2291" t="str">
        <f t="shared" si="180"/>
        <v>June</v>
      </c>
    </row>
    <row r="2292" spans="1:12" x14ac:dyDescent="0.25">
      <c r="A2292" t="s">
        <v>46</v>
      </c>
      <c r="B2292" t="s">
        <v>259</v>
      </c>
      <c r="C2292" t="s">
        <v>263</v>
      </c>
      <c r="D2292" t="str">
        <f t="shared" si="181"/>
        <v>Trucks And Buses</v>
      </c>
      <c r="E2292" t="s">
        <v>356</v>
      </c>
      <c r="F2292" s="5">
        <v>1330.35</v>
      </c>
      <c r="G2292" s="5">
        <v>266.07</v>
      </c>
      <c r="I2292" t="str">
        <f t="shared" si="177"/>
        <v>Low Sales</v>
      </c>
      <c r="J2292" t="str">
        <f t="shared" si="178"/>
        <v>Average Performance</v>
      </c>
      <c r="K2292">
        <f t="shared" si="179"/>
        <v>2004</v>
      </c>
      <c r="L2292" t="str">
        <f t="shared" si="180"/>
        <v>July</v>
      </c>
    </row>
    <row r="2293" spans="1:12" x14ac:dyDescent="0.25">
      <c r="A2293" t="s">
        <v>100</v>
      </c>
      <c r="C2293" t="s">
        <v>263</v>
      </c>
      <c r="D2293" t="str">
        <f t="shared" si="181"/>
        <v>Trucks And Buses</v>
      </c>
      <c r="E2293" t="s">
        <v>356</v>
      </c>
      <c r="F2293" s="5">
        <v>2792.52</v>
      </c>
      <c r="G2293" s="5">
        <v>558.50400000000002</v>
      </c>
      <c r="I2293" t="str">
        <f t="shared" si="177"/>
        <v>Low Sales</v>
      </c>
      <c r="J2293" t="str">
        <f t="shared" si="178"/>
        <v>Average Performance</v>
      </c>
      <c r="K2293">
        <f t="shared" si="179"/>
        <v>2004</v>
      </c>
      <c r="L2293" t="str">
        <f t="shared" si="180"/>
        <v>August</v>
      </c>
    </row>
    <row r="2294" spans="1:12" x14ac:dyDescent="0.25">
      <c r="A2294" t="s">
        <v>48</v>
      </c>
      <c r="B2294" t="s">
        <v>258</v>
      </c>
      <c r="C2294" t="s">
        <v>263</v>
      </c>
      <c r="D2294" t="str">
        <f t="shared" si="181"/>
        <v>Trucks And Buses</v>
      </c>
      <c r="E2294" t="s">
        <v>356</v>
      </c>
      <c r="F2294" s="5">
        <v>2296</v>
      </c>
      <c r="G2294" s="5">
        <v>459.2</v>
      </c>
      <c r="I2294" t="str">
        <f t="shared" si="177"/>
        <v>Low Sales</v>
      </c>
      <c r="J2294" t="str">
        <f t="shared" si="178"/>
        <v>Average Performance</v>
      </c>
      <c r="K2294">
        <f t="shared" si="179"/>
        <v>2004</v>
      </c>
      <c r="L2294" t="str">
        <f t="shared" si="180"/>
        <v>September</v>
      </c>
    </row>
    <row r="2295" spans="1:12" x14ac:dyDescent="0.25">
      <c r="A2295" t="s">
        <v>49</v>
      </c>
      <c r="B2295" t="s">
        <v>258</v>
      </c>
      <c r="C2295" t="s">
        <v>263</v>
      </c>
      <c r="D2295" t="str">
        <f t="shared" si="181"/>
        <v>Trucks And Buses</v>
      </c>
      <c r="E2295" t="s">
        <v>356</v>
      </c>
      <c r="F2295" s="5">
        <v>2629.44</v>
      </c>
      <c r="G2295" s="5">
        <v>525.88800000000003</v>
      </c>
      <c r="I2295" t="str">
        <f t="shared" si="177"/>
        <v>Low Sales</v>
      </c>
      <c r="J2295" t="str">
        <f t="shared" si="178"/>
        <v>Average Performance</v>
      </c>
      <c r="K2295">
        <f t="shared" si="179"/>
        <v>2004</v>
      </c>
      <c r="L2295" t="str">
        <f t="shared" si="180"/>
        <v>October</v>
      </c>
    </row>
    <row r="2296" spans="1:12" x14ac:dyDescent="0.25">
      <c r="A2296" t="s">
        <v>102</v>
      </c>
      <c r="C2296" t="s">
        <v>263</v>
      </c>
      <c r="D2296" t="str">
        <f t="shared" si="181"/>
        <v>Trucks And Buses</v>
      </c>
      <c r="E2296" t="s">
        <v>356</v>
      </c>
      <c r="F2296" s="5">
        <v>1912.16</v>
      </c>
      <c r="G2296" s="5">
        <v>382.43200000000002</v>
      </c>
      <c r="I2296" t="str">
        <f t="shared" si="177"/>
        <v>Low Sales</v>
      </c>
      <c r="J2296" t="str">
        <f t="shared" si="178"/>
        <v>Average Performance</v>
      </c>
      <c r="K2296">
        <f t="shared" si="179"/>
        <v>2004</v>
      </c>
      <c r="L2296" t="str">
        <f t="shared" si="180"/>
        <v>October</v>
      </c>
    </row>
    <row r="2297" spans="1:12" x14ac:dyDescent="0.25">
      <c r="A2297" t="s">
        <v>86</v>
      </c>
      <c r="C2297" t="s">
        <v>263</v>
      </c>
      <c r="D2297" t="str">
        <f t="shared" si="181"/>
        <v>Trucks And Buses</v>
      </c>
      <c r="E2297" t="s">
        <v>356</v>
      </c>
      <c r="F2297" s="5">
        <v>8209.44</v>
      </c>
      <c r="G2297" s="5">
        <v>1641.8879999999999</v>
      </c>
      <c r="I2297" t="str">
        <f t="shared" si="177"/>
        <v>Low Sales</v>
      </c>
      <c r="J2297" t="str">
        <f t="shared" si="178"/>
        <v>Average Performance</v>
      </c>
      <c r="K2297">
        <f t="shared" si="179"/>
        <v>2004</v>
      </c>
      <c r="L2297" t="str">
        <f t="shared" si="180"/>
        <v>November</v>
      </c>
    </row>
    <row r="2298" spans="1:12" x14ac:dyDescent="0.25">
      <c r="A2298" t="s">
        <v>52</v>
      </c>
      <c r="C2298" t="s">
        <v>263</v>
      </c>
      <c r="D2298" t="str">
        <f t="shared" si="181"/>
        <v>Trucks And Buses</v>
      </c>
      <c r="E2298" t="s">
        <v>356</v>
      </c>
      <c r="F2298" s="5">
        <v>2431.77</v>
      </c>
      <c r="G2298" s="5">
        <v>486.35399999999998</v>
      </c>
      <c r="I2298" t="str">
        <f t="shared" si="177"/>
        <v>Low Sales</v>
      </c>
      <c r="J2298" t="str">
        <f t="shared" si="178"/>
        <v>Average Performance</v>
      </c>
      <c r="K2298">
        <f t="shared" si="179"/>
        <v>2004</v>
      </c>
      <c r="L2298" t="str">
        <f t="shared" si="180"/>
        <v>November</v>
      </c>
    </row>
    <row r="2299" spans="1:12" x14ac:dyDescent="0.25">
      <c r="A2299" t="s">
        <v>85</v>
      </c>
      <c r="B2299" t="s">
        <v>258</v>
      </c>
      <c r="C2299" t="s">
        <v>263</v>
      </c>
      <c r="D2299" t="str">
        <f t="shared" si="181"/>
        <v>Trucks And Buses</v>
      </c>
      <c r="E2299" t="s">
        <v>356</v>
      </c>
      <c r="F2299" s="5">
        <v>3139.99</v>
      </c>
      <c r="G2299" s="5">
        <v>627.99800000000005</v>
      </c>
      <c r="I2299" t="str">
        <f t="shared" si="177"/>
        <v>Low Sales</v>
      </c>
      <c r="J2299" t="str">
        <f t="shared" si="178"/>
        <v>Average Performance</v>
      </c>
      <c r="K2299">
        <f t="shared" si="179"/>
        <v>2004</v>
      </c>
      <c r="L2299" t="str">
        <f t="shared" si="180"/>
        <v>November</v>
      </c>
    </row>
    <row r="2300" spans="1:12" x14ac:dyDescent="0.25">
      <c r="A2300" t="s">
        <v>54</v>
      </c>
      <c r="B2300" t="s">
        <v>258</v>
      </c>
      <c r="C2300" t="s">
        <v>263</v>
      </c>
      <c r="D2300" t="str">
        <f t="shared" si="181"/>
        <v>Trucks And Buses</v>
      </c>
      <c r="E2300" t="s">
        <v>356</v>
      </c>
      <c r="F2300" s="5">
        <v>5669.64</v>
      </c>
      <c r="G2300" s="5">
        <v>1133.9280000000001</v>
      </c>
      <c r="I2300" t="str">
        <f t="shared" si="177"/>
        <v>Low Sales</v>
      </c>
      <c r="J2300" t="str">
        <f t="shared" si="178"/>
        <v>Average Performance</v>
      </c>
      <c r="K2300">
        <f t="shared" si="179"/>
        <v>2004</v>
      </c>
      <c r="L2300" t="str">
        <f t="shared" si="180"/>
        <v>December</v>
      </c>
    </row>
    <row r="2301" spans="1:12" x14ac:dyDescent="0.25">
      <c r="A2301" t="s">
        <v>55</v>
      </c>
      <c r="B2301" t="s">
        <v>259</v>
      </c>
      <c r="C2301" t="s">
        <v>263</v>
      </c>
      <c r="D2301" t="str">
        <f t="shared" si="181"/>
        <v>Trucks And Buses</v>
      </c>
      <c r="E2301" t="s">
        <v>356</v>
      </c>
      <c r="F2301" s="5">
        <v>3160.25</v>
      </c>
      <c r="G2301" s="5">
        <v>632.05000000000007</v>
      </c>
      <c r="I2301" t="str">
        <f t="shared" si="177"/>
        <v>Low Sales</v>
      </c>
      <c r="J2301" t="str">
        <f t="shared" si="178"/>
        <v>Average Performance</v>
      </c>
      <c r="K2301">
        <f t="shared" si="179"/>
        <v>2005</v>
      </c>
      <c r="L2301" t="str">
        <f t="shared" si="180"/>
        <v>January</v>
      </c>
    </row>
    <row r="2302" spans="1:12" x14ac:dyDescent="0.25">
      <c r="A2302" t="s">
        <v>56</v>
      </c>
      <c r="C2302" t="s">
        <v>263</v>
      </c>
      <c r="D2302" t="str">
        <f t="shared" si="181"/>
        <v>Trucks And Buses</v>
      </c>
      <c r="E2302" t="s">
        <v>356</v>
      </c>
      <c r="F2302" s="5">
        <v>6799.68</v>
      </c>
      <c r="G2302" s="5">
        <v>1359.9359999999999</v>
      </c>
      <c r="I2302" t="str">
        <f t="shared" si="177"/>
        <v>Low Sales</v>
      </c>
      <c r="J2302" t="str">
        <f t="shared" si="178"/>
        <v>Average Performance</v>
      </c>
      <c r="K2302">
        <f t="shared" si="179"/>
        <v>2005</v>
      </c>
      <c r="L2302" t="str">
        <f t="shared" si="180"/>
        <v>February</v>
      </c>
    </row>
    <row r="2303" spans="1:12" x14ac:dyDescent="0.25">
      <c r="A2303" t="s">
        <v>58</v>
      </c>
      <c r="C2303" t="s">
        <v>263</v>
      </c>
      <c r="D2303" t="str">
        <f>PROPER(TRIM(C2303))</f>
        <v>Trucks And Buses</v>
      </c>
      <c r="E2303" t="s">
        <v>356</v>
      </c>
      <c r="F2303" s="5">
        <v>1867.32</v>
      </c>
      <c r="G2303" s="5">
        <v>373.464</v>
      </c>
      <c r="I2303" t="str">
        <f t="shared" si="177"/>
        <v>Low Sales</v>
      </c>
      <c r="J2303" t="str">
        <f t="shared" si="178"/>
        <v>Average Performance</v>
      </c>
      <c r="K2303">
        <f t="shared" si="179"/>
        <v>2005</v>
      </c>
      <c r="L2303" t="str">
        <f t="shared" si="180"/>
        <v>May</v>
      </c>
    </row>
    <row r="2304" spans="1:12" x14ac:dyDescent="0.25">
      <c r="A2304" t="s">
        <v>59</v>
      </c>
      <c r="B2304" t="s">
        <v>258</v>
      </c>
      <c r="C2304" t="s">
        <v>263</v>
      </c>
      <c r="D2304" t="str">
        <f t="shared" ref="D2304:D2320" si="182">PROPER(TRIM(C2304))</f>
        <v>Trucks And Buses</v>
      </c>
      <c r="E2304" t="s">
        <v>356</v>
      </c>
      <c r="F2304" s="5">
        <v>2702.04</v>
      </c>
      <c r="G2304" s="5">
        <v>540.40800000000002</v>
      </c>
      <c r="I2304" t="str">
        <f t="shared" si="177"/>
        <v>Low Sales</v>
      </c>
      <c r="J2304" t="str">
        <f t="shared" si="178"/>
        <v>Average Performance</v>
      </c>
      <c r="K2304">
        <f t="shared" si="179"/>
        <v>2005</v>
      </c>
      <c r="L2304" t="str">
        <f t="shared" si="180"/>
        <v>May</v>
      </c>
    </row>
    <row r="2305" spans="1:12" x14ac:dyDescent="0.25">
      <c r="A2305" t="s">
        <v>192</v>
      </c>
      <c r="B2305" t="s">
        <v>258</v>
      </c>
      <c r="C2305" t="s">
        <v>264</v>
      </c>
      <c r="D2305" t="str">
        <f t="shared" si="182"/>
        <v>Vintage Cars</v>
      </c>
      <c r="E2305" t="s">
        <v>357</v>
      </c>
      <c r="F2305" s="5">
        <v>2406.36</v>
      </c>
      <c r="G2305" s="5">
        <v>481.27199999999999</v>
      </c>
      <c r="I2305" t="str">
        <f t="shared" si="177"/>
        <v>Low Sales</v>
      </c>
      <c r="J2305" t="str">
        <f t="shared" si="178"/>
        <v>Average Performance</v>
      </c>
      <c r="K2305">
        <f t="shared" si="179"/>
        <v>2003</v>
      </c>
      <c r="L2305" t="str">
        <f t="shared" si="180"/>
        <v>February</v>
      </c>
    </row>
    <row r="2306" spans="1:12" x14ac:dyDescent="0.25">
      <c r="A2306" t="s">
        <v>60</v>
      </c>
      <c r="B2306" t="s">
        <v>259</v>
      </c>
      <c r="C2306" t="s">
        <v>264</v>
      </c>
      <c r="D2306" t="str">
        <f t="shared" si="182"/>
        <v>Vintage Cars</v>
      </c>
      <c r="E2306" t="s">
        <v>357</v>
      </c>
      <c r="F2306" s="5">
        <v>2094.67</v>
      </c>
      <c r="G2306" s="5">
        <v>418.93400000000003</v>
      </c>
      <c r="I2306" t="str">
        <f t="shared" si="177"/>
        <v>Low Sales</v>
      </c>
      <c r="J2306" t="str">
        <f t="shared" si="178"/>
        <v>Average Performance</v>
      </c>
      <c r="K2306">
        <f t="shared" si="179"/>
        <v>2003</v>
      </c>
      <c r="L2306" t="str">
        <f t="shared" si="180"/>
        <v>April</v>
      </c>
    </row>
    <row r="2307" spans="1:12" x14ac:dyDescent="0.25">
      <c r="A2307" t="s">
        <v>215</v>
      </c>
      <c r="B2307" t="s">
        <v>258</v>
      </c>
      <c r="C2307" t="s">
        <v>264</v>
      </c>
      <c r="D2307" t="str">
        <f t="shared" si="182"/>
        <v>Vintage Cars</v>
      </c>
      <c r="E2307" t="s">
        <v>357</v>
      </c>
      <c r="F2307" s="5">
        <v>2797.9</v>
      </c>
      <c r="G2307" s="5">
        <v>559.58000000000004</v>
      </c>
      <c r="I2307" t="str">
        <f t="shared" ref="I2307:I2370" si="183">IF(F2307&gt;50000,"High Sales","Low Sales")</f>
        <v>Low Sales</v>
      </c>
      <c r="J2307" t="str">
        <f t="shared" ref="J2307:J2370" si="184">IF(AND(F2307&gt;30000,G2307&gt;5000),"Good Performance","Average Performance")</f>
        <v>Average Performance</v>
      </c>
      <c r="K2307">
        <f t="shared" ref="K2307:K2370" si="185">YEAR(A2307)</f>
        <v>2003</v>
      </c>
      <c r="L2307" t="str">
        <f t="shared" ref="L2307:L2370" si="186">TEXT(A2307,"mmmm")</f>
        <v>June</v>
      </c>
    </row>
    <row r="2308" spans="1:12" x14ac:dyDescent="0.25">
      <c r="A2308" t="s">
        <v>254</v>
      </c>
      <c r="B2308" t="s">
        <v>258</v>
      </c>
      <c r="C2308" t="s">
        <v>264</v>
      </c>
      <c r="D2308" t="str">
        <f t="shared" si="182"/>
        <v>Vintage Cars</v>
      </c>
      <c r="E2308" t="s">
        <v>357</v>
      </c>
      <c r="F2308" s="5">
        <v>1637.2</v>
      </c>
      <c r="G2308" s="5">
        <v>327.44000000000011</v>
      </c>
      <c r="I2308" t="str">
        <f t="shared" si="183"/>
        <v>Low Sales</v>
      </c>
      <c r="J2308" t="str">
        <f t="shared" si="184"/>
        <v>Average Performance</v>
      </c>
      <c r="K2308">
        <f t="shared" si="185"/>
        <v>2003</v>
      </c>
      <c r="L2308" t="str">
        <f t="shared" si="186"/>
        <v>August</v>
      </c>
    </row>
    <row r="2309" spans="1:12" x14ac:dyDescent="0.25">
      <c r="A2309" t="s">
        <v>11</v>
      </c>
      <c r="C2309" t="s">
        <v>264</v>
      </c>
      <c r="D2309" t="str">
        <f t="shared" si="182"/>
        <v>Vintage Cars</v>
      </c>
      <c r="E2309" t="s">
        <v>357</v>
      </c>
      <c r="F2309" s="5">
        <v>2281.91</v>
      </c>
      <c r="G2309" s="5">
        <v>456.38200000000001</v>
      </c>
      <c r="I2309" t="str">
        <f t="shared" si="183"/>
        <v>Low Sales</v>
      </c>
      <c r="J2309" t="str">
        <f t="shared" si="184"/>
        <v>Average Performance</v>
      </c>
      <c r="K2309">
        <f t="shared" si="185"/>
        <v>2003</v>
      </c>
      <c r="L2309" t="str">
        <f t="shared" si="186"/>
        <v>October</v>
      </c>
    </row>
    <row r="2310" spans="1:12" x14ac:dyDescent="0.25">
      <c r="A2310" t="s">
        <v>61</v>
      </c>
      <c r="B2310" t="s">
        <v>260</v>
      </c>
      <c r="C2310" t="s">
        <v>264</v>
      </c>
      <c r="D2310" t="str">
        <f t="shared" si="182"/>
        <v>Vintage Cars</v>
      </c>
      <c r="E2310" t="s">
        <v>357</v>
      </c>
      <c r="F2310" s="5">
        <v>2307.2399999999998</v>
      </c>
      <c r="G2310" s="5">
        <v>461.44799999999998</v>
      </c>
      <c r="I2310" t="str">
        <f t="shared" si="183"/>
        <v>Low Sales</v>
      </c>
      <c r="J2310" t="str">
        <f t="shared" si="184"/>
        <v>Average Performance</v>
      </c>
      <c r="K2310">
        <f t="shared" si="185"/>
        <v>2004</v>
      </c>
      <c r="L2310" t="str">
        <f t="shared" si="186"/>
        <v>January</v>
      </c>
    </row>
    <row r="2311" spans="1:12" x14ac:dyDescent="0.25">
      <c r="A2311" t="s">
        <v>16</v>
      </c>
      <c r="B2311" t="s">
        <v>259</v>
      </c>
      <c r="C2311" t="s">
        <v>264</v>
      </c>
      <c r="D2311" t="str">
        <f t="shared" si="182"/>
        <v>Vintage Cars</v>
      </c>
      <c r="E2311" t="s">
        <v>357</v>
      </c>
      <c r="F2311" s="5">
        <v>1320.8</v>
      </c>
      <c r="G2311" s="5">
        <v>264.16000000000003</v>
      </c>
      <c r="I2311" t="str">
        <f t="shared" si="183"/>
        <v>Low Sales</v>
      </c>
      <c r="J2311" t="str">
        <f t="shared" si="184"/>
        <v>Average Performance</v>
      </c>
      <c r="K2311">
        <f t="shared" si="185"/>
        <v>2004</v>
      </c>
      <c r="L2311" t="str">
        <f t="shared" si="186"/>
        <v>February</v>
      </c>
    </row>
    <row r="2312" spans="1:12" x14ac:dyDescent="0.25">
      <c r="A2312" t="s">
        <v>216</v>
      </c>
      <c r="C2312" t="s">
        <v>264</v>
      </c>
      <c r="D2312" t="str">
        <f t="shared" si="182"/>
        <v>Vintage Cars</v>
      </c>
      <c r="E2312" t="s">
        <v>357</v>
      </c>
      <c r="F2312" s="5">
        <v>2642.82</v>
      </c>
      <c r="G2312" s="5">
        <v>528.56400000000008</v>
      </c>
      <c r="I2312" t="str">
        <f t="shared" si="183"/>
        <v>Low Sales</v>
      </c>
      <c r="J2312" t="str">
        <f t="shared" si="184"/>
        <v>Average Performance</v>
      </c>
      <c r="K2312">
        <f t="shared" si="185"/>
        <v>2004</v>
      </c>
      <c r="L2312" t="str">
        <f t="shared" si="186"/>
        <v>April</v>
      </c>
    </row>
    <row r="2313" spans="1:12" x14ac:dyDescent="0.25">
      <c r="A2313" t="s">
        <v>195</v>
      </c>
      <c r="C2313" t="s">
        <v>264</v>
      </c>
      <c r="D2313" t="str">
        <f t="shared" si="182"/>
        <v>Vintage Cars</v>
      </c>
      <c r="E2313" t="s">
        <v>357</v>
      </c>
      <c r="F2313" s="5">
        <v>3061</v>
      </c>
      <c r="G2313" s="5">
        <v>612.20000000000005</v>
      </c>
      <c r="I2313" t="str">
        <f t="shared" si="183"/>
        <v>Low Sales</v>
      </c>
      <c r="J2313" t="str">
        <f t="shared" si="184"/>
        <v>Average Performance</v>
      </c>
      <c r="K2313">
        <f t="shared" si="185"/>
        <v>2004</v>
      </c>
      <c r="L2313" t="str">
        <f t="shared" si="186"/>
        <v>May</v>
      </c>
    </row>
    <row r="2314" spans="1:12" x14ac:dyDescent="0.25">
      <c r="A2314" t="s">
        <v>196</v>
      </c>
      <c r="B2314" t="s">
        <v>258</v>
      </c>
      <c r="C2314" t="s">
        <v>264</v>
      </c>
      <c r="D2314" t="str">
        <f t="shared" si="182"/>
        <v>Vintage Cars</v>
      </c>
      <c r="E2314" t="s">
        <v>357</v>
      </c>
      <c r="F2314" s="5">
        <v>3164.4</v>
      </c>
      <c r="G2314" s="5">
        <v>632.88000000000011</v>
      </c>
      <c r="I2314" t="str">
        <f t="shared" si="183"/>
        <v>Low Sales</v>
      </c>
      <c r="J2314" t="str">
        <f t="shared" si="184"/>
        <v>Average Performance</v>
      </c>
      <c r="K2314">
        <f t="shared" si="185"/>
        <v>2004</v>
      </c>
      <c r="L2314" t="str">
        <f t="shared" si="186"/>
        <v>June</v>
      </c>
    </row>
    <row r="2315" spans="1:12" x14ac:dyDescent="0.25">
      <c r="A2315" t="s">
        <v>20</v>
      </c>
      <c r="B2315" t="s">
        <v>258</v>
      </c>
      <c r="C2315" t="s">
        <v>264</v>
      </c>
      <c r="D2315" t="str">
        <f t="shared" si="182"/>
        <v>Vintage Cars</v>
      </c>
      <c r="E2315" t="s">
        <v>357</v>
      </c>
      <c r="F2315" s="5">
        <v>1791.16</v>
      </c>
      <c r="G2315" s="5">
        <v>358.23200000000003</v>
      </c>
      <c r="I2315" t="str">
        <f t="shared" si="183"/>
        <v>Low Sales</v>
      </c>
      <c r="J2315" t="str">
        <f t="shared" si="184"/>
        <v>Average Performance</v>
      </c>
      <c r="K2315">
        <f t="shared" si="185"/>
        <v>2004</v>
      </c>
      <c r="L2315" t="str">
        <f t="shared" si="186"/>
        <v>July</v>
      </c>
    </row>
    <row r="2316" spans="1:12" x14ac:dyDescent="0.25">
      <c r="A2316" t="s">
        <v>197</v>
      </c>
      <c r="B2316" t="s">
        <v>258</v>
      </c>
      <c r="C2316" t="s">
        <v>264</v>
      </c>
      <c r="D2316" t="str">
        <f t="shared" si="182"/>
        <v>Vintage Cars</v>
      </c>
      <c r="E2316" t="s">
        <v>357</v>
      </c>
      <c r="F2316" s="5">
        <v>4093</v>
      </c>
      <c r="G2316" s="5">
        <v>818.6</v>
      </c>
      <c r="I2316" t="str">
        <f t="shared" si="183"/>
        <v>Low Sales</v>
      </c>
      <c r="J2316" t="str">
        <f t="shared" si="184"/>
        <v>Average Performance</v>
      </c>
      <c r="K2316">
        <f t="shared" si="185"/>
        <v>2004</v>
      </c>
      <c r="L2316" t="str">
        <f t="shared" si="186"/>
        <v>August</v>
      </c>
    </row>
    <row r="2317" spans="1:12" x14ac:dyDescent="0.25">
      <c r="A2317" t="s">
        <v>217</v>
      </c>
      <c r="B2317" t="s">
        <v>258</v>
      </c>
      <c r="C2317" t="s">
        <v>264</v>
      </c>
      <c r="D2317" t="str">
        <f t="shared" si="182"/>
        <v>Vintage Cars</v>
      </c>
      <c r="E2317" t="s">
        <v>357</v>
      </c>
      <c r="F2317" s="5">
        <v>2234.4</v>
      </c>
      <c r="G2317" s="5">
        <v>446.88000000000011</v>
      </c>
      <c r="I2317" t="str">
        <f t="shared" si="183"/>
        <v>Low Sales</v>
      </c>
      <c r="J2317" t="str">
        <f t="shared" si="184"/>
        <v>Average Performance</v>
      </c>
      <c r="K2317">
        <f t="shared" si="185"/>
        <v>2004</v>
      </c>
      <c r="L2317" t="str">
        <f t="shared" si="186"/>
        <v>September</v>
      </c>
    </row>
    <row r="2318" spans="1:12" x14ac:dyDescent="0.25">
      <c r="A2318" t="s">
        <v>23</v>
      </c>
      <c r="C2318" t="s">
        <v>264</v>
      </c>
      <c r="D2318" t="str">
        <f t="shared" si="182"/>
        <v>Vintage Cars</v>
      </c>
      <c r="E2318" t="s">
        <v>357</v>
      </c>
      <c r="F2318" s="5">
        <v>3037.84</v>
      </c>
      <c r="G2318" s="5">
        <v>607.5680000000001</v>
      </c>
      <c r="I2318" t="str">
        <f t="shared" si="183"/>
        <v>Low Sales</v>
      </c>
      <c r="J2318" t="str">
        <f t="shared" si="184"/>
        <v>Average Performance</v>
      </c>
      <c r="K2318">
        <f t="shared" si="185"/>
        <v>2004</v>
      </c>
      <c r="L2318" t="str">
        <f t="shared" si="186"/>
        <v>October</v>
      </c>
    </row>
    <row r="2319" spans="1:12" x14ac:dyDescent="0.25">
      <c r="A2319" t="s">
        <v>85</v>
      </c>
      <c r="B2319" t="s">
        <v>258</v>
      </c>
      <c r="C2319" t="s">
        <v>264</v>
      </c>
      <c r="D2319" t="str">
        <f t="shared" si="182"/>
        <v>Vintage Cars</v>
      </c>
      <c r="E2319" t="s">
        <v>357</v>
      </c>
      <c r="F2319" s="5">
        <v>1419.84</v>
      </c>
      <c r="G2319" s="5">
        <v>283.96800000000002</v>
      </c>
      <c r="I2319" t="str">
        <f t="shared" si="183"/>
        <v>Low Sales</v>
      </c>
      <c r="J2319" t="str">
        <f t="shared" si="184"/>
        <v>Average Performance</v>
      </c>
      <c r="K2319">
        <f t="shared" si="185"/>
        <v>2004</v>
      </c>
      <c r="L2319" t="str">
        <f t="shared" si="186"/>
        <v>November</v>
      </c>
    </row>
    <row r="2320" spans="1:12" x14ac:dyDescent="0.25">
      <c r="A2320" t="s">
        <v>239</v>
      </c>
      <c r="B2320" t="s">
        <v>258</v>
      </c>
      <c r="C2320" t="s">
        <v>264</v>
      </c>
      <c r="D2320" t="str">
        <f t="shared" si="182"/>
        <v>Vintage Cars</v>
      </c>
      <c r="E2320" t="s">
        <v>357</v>
      </c>
      <c r="F2320" s="5">
        <v>1948.08</v>
      </c>
      <c r="G2320" s="5">
        <v>389.61599999999999</v>
      </c>
      <c r="I2320" t="str">
        <f t="shared" si="183"/>
        <v>Low Sales</v>
      </c>
      <c r="J2320" t="str">
        <f t="shared" si="184"/>
        <v>Average Performance</v>
      </c>
      <c r="K2320">
        <f t="shared" si="185"/>
        <v>2004</v>
      </c>
      <c r="L2320" t="str">
        <f t="shared" si="186"/>
        <v>November</v>
      </c>
    </row>
    <row r="2321" spans="1:12" x14ac:dyDescent="0.25">
      <c r="A2321" t="s">
        <v>26</v>
      </c>
      <c r="B2321" t="s">
        <v>258</v>
      </c>
      <c r="C2321" t="s">
        <v>264</v>
      </c>
      <c r="D2321" t="str">
        <f>PROPER(TRIM(C2321))</f>
        <v>Vintage Cars</v>
      </c>
      <c r="E2321" t="s">
        <v>357</v>
      </c>
      <c r="F2321" s="5">
        <v>2307.2399999999998</v>
      </c>
      <c r="G2321" s="5">
        <v>461.44799999999998</v>
      </c>
      <c r="I2321" t="str">
        <f t="shared" si="183"/>
        <v>Low Sales</v>
      </c>
      <c r="J2321" t="str">
        <f t="shared" si="184"/>
        <v>Average Performance</v>
      </c>
      <c r="K2321">
        <f t="shared" si="185"/>
        <v>2004</v>
      </c>
      <c r="L2321" t="str">
        <f t="shared" si="186"/>
        <v>November</v>
      </c>
    </row>
    <row r="2322" spans="1:12" x14ac:dyDescent="0.25">
      <c r="A2322" t="s">
        <v>218</v>
      </c>
      <c r="C2322" t="s">
        <v>264</v>
      </c>
      <c r="D2322" t="str">
        <f t="shared" ref="D2322:D2385" si="187">PROPER(TRIM(C2322))</f>
        <v>Vintage Cars</v>
      </c>
      <c r="E2322" t="s">
        <v>357</v>
      </c>
      <c r="F2322" s="5">
        <v>1780.4</v>
      </c>
      <c r="G2322" s="5">
        <v>356.08</v>
      </c>
      <c r="I2322" t="str">
        <f t="shared" si="183"/>
        <v>Low Sales</v>
      </c>
      <c r="J2322" t="str">
        <f t="shared" si="184"/>
        <v>Average Performance</v>
      </c>
      <c r="K2322">
        <f t="shared" si="185"/>
        <v>2004</v>
      </c>
      <c r="L2322" t="str">
        <f t="shared" si="186"/>
        <v>December</v>
      </c>
    </row>
    <row r="2323" spans="1:12" x14ac:dyDescent="0.25">
      <c r="A2323" t="s">
        <v>27</v>
      </c>
      <c r="B2323" t="s">
        <v>259</v>
      </c>
      <c r="C2323" t="s">
        <v>264</v>
      </c>
      <c r="D2323" t="str">
        <f t="shared" si="187"/>
        <v>Vintage Cars</v>
      </c>
      <c r="E2323" t="s">
        <v>357</v>
      </c>
      <c r="F2323" s="5">
        <v>3544.17</v>
      </c>
      <c r="G2323" s="5">
        <v>708.83400000000006</v>
      </c>
      <c r="I2323" t="str">
        <f t="shared" si="183"/>
        <v>Low Sales</v>
      </c>
      <c r="J2323" t="str">
        <f t="shared" si="184"/>
        <v>Average Performance</v>
      </c>
      <c r="K2323">
        <f t="shared" si="185"/>
        <v>2004</v>
      </c>
      <c r="L2323" t="str">
        <f t="shared" si="186"/>
        <v>December</v>
      </c>
    </row>
    <row r="2324" spans="1:12" x14ac:dyDescent="0.25">
      <c r="A2324" t="s">
        <v>28</v>
      </c>
      <c r="B2324" t="s">
        <v>258</v>
      </c>
      <c r="C2324" t="s">
        <v>264</v>
      </c>
      <c r="D2324" t="str">
        <f t="shared" si="187"/>
        <v>Vintage Cars</v>
      </c>
      <c r="E2324" t="s">
        <v>357</v>
      </c>
      <c r="F2324" s="5">
        <v>3619.44</v>
      </c>
      <c r="G2324" s="5">
        <v>723.88800000000003</v>
      </c>
      <c r="I2324" t="str">
        <f t="shared" si="183"/>
        <v>Low Sales</v>
      </c>
      <c r="J2324" t="str">
        <f t="shared" si="184"/>
        <v>Average Performance</v>
      </c>
      <c r="K2324">
        <f t="shared" si="185"/>
        <v>2005</v>
      </c>
      <c r="L2324" t="str">
        <f t="shared" si="186"/>
        <v>February</v>
      </c>
    </row>
    <row r="2325" spans="1:12" x14ac:dyDescent="0.25">
      <c r="A2325" t="s">
        <v>29</v>
      </c>
      <c r="C2325" t="s">
        <v>264</v>
      </c>
      <c r="D2325" t="str">
        <f t="shared" si="187"/>
        <v>Vintage Cars</v>
      </c>
      <c r="E2325" t="s">
        <v>357</v>
      </c>
      <c r="F2325" s="5">
        <v>3918.95</v>
      </c>
      <c r="G2325" s="5">
        <v>783.79</v>
      </c>
      <c r="I2325" t="str">
        <f t="shared" si="183"/>
        <v>Low Sales</v>
      </c>
      <c r="J2325" t="str">
        <f t="shared" si="184"/>
        <v>Average Performance</v>
      </c>
      <c r="K2325">
        <f t="shared" si="185"/>
        <v>2005</v>
      </c>
      <c r="L2325" t="str">
        <f t="shared" si="186"/>
        <v>March</v>
      </c>
    </row>
    <row r="2326" spans="1:12" x14ac:dyDescent="0.25">
      <c r="A2326" t="s">
        <v>203</v>
      </c>
      <c r="B2326" t="s">
        <v>258</v>
      </c>
      <c r="C2326" t="s">
        <v>264</v>
      </c>
      <c r="D2326" t="str">
        <f t="shared" si="187"/>
        <v>Vintage Cars</v>
      </c>
      <c r="E2326" t="s">
        <v>357</v>
      </c>
      <c r="F2326" s="5">
        <v>1483.02</v>
      </c>
      <c r="G2326" s="5">
        <v>296.60399999999998</v>
      </c>
      <c r="I2326" t="str">
        <f t="shared" si="183"/>
        <v>Low Sales</v>
      </c>
      <c r="J2326" t="str">
        <f t="shared" si="184"/>
        <v>Average Performance</v>
      </c>
      <c r="K2326">
        <f t="shared" si="185"/>
        <v>2005</v>
      </c>
      <c r="L2326" t="str">
        <f t="shared" si="186"/>
        <v>March</v>
      </c>
    </row>
    <row r="2327" spans="1:12" x14ac:dyDescent="0.25">
      <c r="A2327" t="s">
        <v>219</v>
      </c>
      <c r="C2327" t="s">
        <v>264</v>
      </c>
      <c r="D2327" t="str">
        <f t="shared" si="187"/>
        <v>Vintage Cars</v>
      </c>
      <c r="E2327" t="s">
        <v>357</v>
      </c>
      <c r="F2327" s="5">
        <v>4819.26</v>
      </c>
      <c r="G2327" s="5">
        <v>963.85200000000009</v>
      </c>
      <c r="I2327" t="str">
        <f t="shared" si="183"/>
        <v>Low Sales</v>
      </c>
      <c r="J2327" t="str">
        <f t="shared" si="184"/>
        <v>Average Performance</v>
      </c>
      <c r="K2327">
        <f t="shared" si="185"/>
        <v>2005</v>
      </c>
      <c r="L2327" t="str">
        <f t="shared" si="186"/>
        <v>April</v>
      </c>
    </row>
    <row r="2328" spans="1:12" x14ac:dyDescent="0.25">
      <c r="A2328" t="s">
        <v>204</v>
      </c>
      <c r="B2328" t="s">
        <v>258</v>
      </c>
      <c r="C2328" t="s">
        <v>264</v>
      </c>
      <c r="D2328" t="str">
        <f t="shared" si="187"/>
        <v>Vintage Cars</v>
      </c>
      <c r="E2328" t="s">
        <v>357</v>
      </c>
      <c r="F2328" s="5">
        <v>1591.72</v>
      </c>
      <c r="G2328" s="5">
        <v>318.34400000000011</v>
      </c>
      <c r="I2328" t="str">
        <f t="shared" si="183"/>
        <v>Low Sales</v>
      </c>
      <c r="J2328" t="str">
        <f t="shared" si="184"/>
        <v>Average Performance</v>
      </c>
      <c r="K2328">
        <f t="shared" si="185"/>
        <v>2005</v>
      </c>
      <c r="L2328" t="str">
        <f t="shared" si="186"/>
        <v>May</v>
      </c>
    </row>
    <row r="2329" spans="1:12" x14ac:dyDescent="0.25">
      <c r="A2329" t="s">
        <v>104</v>
      </c>
      <c r="B2329" t="s">
        <v>260</v>
      </c>
      <c r="C2329" t="s">
        <v>261</v>
      </c>
      <c r="D2329" t="str">
        <f t="shared" si="187"/>
        <v>Motorcycles</v>
      </c>
      <c r="E2329" t="s">
        <v>358</v>
      </c>
      <c r="F2329" s="5">
        <v>3669.78</v>
      </c>
      <c r="G2329" s="5">
        <v>733.95600000000013</v>
      </c>
      <c r="I2329" t="str">
        <f t="shared" si="183"/>
        <v>Low Sales</v>
      </c>
      <c r="J2329" t="str">
        <f t="shared" si="184"/>
        <v>Average Performance</v>
      </c>
      <c r="K2329">
        <f t="shared" si="185"/>
        <v>2003</v>
      </c>
      <c r="L2329" t="str">
        <f t="shared" si="186"/>
        <v>March</v>
      </c>
    </row>
    <row r="2330" spans="1:12" x14ac:dyDescent="0.25">
      <c r="A2330" t="s">
        <v>7</v>
      </c>
      <c r="B2330" t="s">
        <v>258</v>
      </c>
      <c r="C2330" t="s">
        <v>261</v>
      </c>
      <c r="D2330" t="str">
        <f t="shared" si="187"/>
        <v>Motorcycles</v>
      </c>
      <c r="E2330" t="s">
        <v>358</v>
      </c>
      <c r="F2330" s="5">
        <v>2168.5</v>
      </c>
      <c r="G2330" s="5">
        <v>433.7</v>
      </c>
      <c r="I2330" t="str">
        <f t="shared" si="183"/>
        <v>Low Sales</v>
      </c>
      <c r="J2330" t="str">
        <f t="shared" si="184"/>
        <v>Average Performance</v>
      </c>
      <c r="K2330">
        <f t="shared" si="185"/>
        <v>2003</v>
      </c>
      <c r="L2330" t="str">
        <f t="shared" si="186"/>
        <v>May</v>
      </c>
    </row>
    <row r="2331" spans="1:12" x14ac:dyDescent="0.25">
      <c r="A2331" t="s">
        <v>106</v>
      </c>
      <c r="C2331" t="s">
        <v>261</v>
      </c>
      <c r="D2331" t="str">
        <f t="shared" si="187"/>
        <v>Motorcycles</v>
      </c>
      <c r="E2331" t="s">
        <v>358</v>
      </c>
      <c r="F2331" s="5">
        <v>2694</v>
      </c>
      <c r="G2331" s="5">
        <v>538.80000000000007</v>
      </c>
      <c r="I2331" t="str">
        <f t="shared" si="183"/>
        <v>Low Sales</v>
      </c>
      <c r="J2331" t="str">
        <f t="shared" si="184"/>
        <v>Average Performance</v>
      </c>
      <c r="K2331">
        <f t="shared" si="185"/>
        <v>2003</v>
      </c>
      <c r="L2331" t="str">
        <f t="shared" si="186"/>
        <v>July</v>
      </c>
    </row>
    <row r="2332" spans="1:12" x14ac:dyDescent="0.25">
      <c r="A2332" t="s">
        <v>9</v>
      </c>
      <c r="C2332" t="s">
        <v>261</v>
      </c>
      <c r="D2332" t="str">
        <f t="shared" si="187"/>
        <v>Motorcycles</v>
      </c>
      <c r="E2332" t="s">
        <v>358</v>
      </c>
      <c r="F2332" s="5">
        <v>3251.34</v>
      </c>
      <c r="G2332" s="5">
        <v>650.26800000000003</v>
      </c>
      <c r="I2332" t="str">
        <f t="shared" si="183"/>
        <v>Low Sales</v>
      </c>
      <c r="J2332" t="str">
        <f t="shared" si="184"/>
        <v>Average Performance</v>
      </c>
      <c r="K2332">
        <f t="shared" si="185"/>
        <v>2003</v>
      </c>
      <c r="L2332" t="str">
        <f t="shared" si="186"/>
        <v>August</v>
      </c>
    </row>
    <row r="2333" spans="1:12" x14ac:dyDescent="0.25">
      <c r="A2333" t="s">
        <v>10</v>
      </c>
      <c r="C2333" t="s">
        <v>261</v>
      </c>
      <c r="D2333" t="str">
        <f t="shared" si="187"/>
        <v>Motorcycles</v>
      </c>
      <c r="E2333" t="s">
        <v>358</v>
      </c>
      <c r="F2333" s="5">
        <v>2347.15</v>
      </c>
      <c r="G2333" s="5">
        <v>469.43000000000012</v>
      </c>
      <c r="I2333" t="str">
        <f t="shared" si="183"/>
        <v>Low Sales</v>
      </c>
      <c r="J2333" t="str">
        <f t="shared" si="184"/>
        <v>Average Performance</v>
      </c>
      <c r="K2333">
        <f t="shared" si="185"/>
        <v>2003</v>
      </c>
      <c r="L2333" t="str">
        <f t="shared" si="186"/>
        <v>October</v>
      </c>
    </row>
    <row r="2334" spans="1:12" x14ac:dyDescent="0.25">
      <c r="A2334" t="s">
        <v>108</v>
      </c>
      <c r="B2334" t="s">
        <v>259</v>
      </c>
      <c r="C2334" t="s">
        <v>261</v>
      </c>
      <c r="D2334" t="str">
        <f t="shared" si="187"/>
        <v>Motorcycles</v>
      </c>
      <c r="E2334" t="s">
        <v>358</v>
      </c>
      <c r="F2334" s="5">
        <v>3920.88</v>
      </c>
      <c r="G2334" s="5">
        <v>784.17600000000004</v>
      </c>
      <c r="I2334" t="str">
        <f t="shared" si="183"/>
        <v>Low Sales</v>
      </c>
      <c r="J2334" t="str">
        <f t="shared" si="184"/>
        <v>Average Performance</v>
      </c>
      <c r="K2334">
        <f t="shared" si="185"/>
        <v>2003</v>
      </c>
      <c r="L2334" t="str">
        <f t="shared" si="186"/>
        <v>November</v>
      </c>
    </row>
    <row r="2335" spans="1:12" x14ac:dyDescent="0.25">
      <c r="A2335" t="s">
        <v>12</v>
      </c>
      <c r="B2335" t="s">
        <v>258</v>
      </c>
      <c r="C2335" t="s">
        <v>261</v>
      </c>
      <c r="D2335" t="str">
        <f t="shared" si="187"/>
        <v>Motorcycles</v>
      </c>
      <c r="E2335" t="s">
        <v>358</v>
      </c>
      <c r="F2335" s="5">
        <v>2514.6</v>
      </c>
      <c r="G2335" s="5">
        <v>502.92</v>
      </c>
      <c r="I2335" t="str">
        <f t="shared" si="183"/>
        <v>Low Sales</v>
      </c>
      <c r="J2335" t="str">
        <f t="shared" si="184"/>
        <v>Average Performance</v>
      </c>
      <c r="K2335">
        <f t="shared" si="185"/>
        <v>2003</v>
      </c>
      <c r="L2335" t="str">
        <f t="shared" si="186"/>
        <v>November</v>
      </c>
    </row>
    <row r="2336" spans="1:12" x14ac:dyDescent="0.25">
      <c r="A2336" t="s">
        <v>246</v>
      </c>
      <c r="B2336" t="s">
        <v>258</v>
      </c>
      <c r="C2336" t="s">
        <v>261</v>
      </c>
      <c r="D2336" t="str">
        <f t="shared" si="187"/>
        <v>Motorcycles</v>
      </c>
      <c r="E2336" t="s">
        <v>358</v>
      </c>
      <c r="F2336" s="5">
        <v>3600.24</v>
      </c>
      <c r="G2336" s="5">
        <v>720.048</v>
      </c>
      <c r="I2336" t="str">
        <f t="shared" si="183"/>
        <v>Low Sales</v>
      </c>
      <c r="J2336" t="str">
        <f t="shared" si="184"/>
        <v>Average Performance</v>
      </c>
      <c r="K2336">
        <f t="shared" si="185"/>
        <v>2003</v>
      </c>
      <c r="L2336" t="str">
        <f t="shared" si="186"/>
        <v>November</v>
      </c>
    </row>
    <row r="2337" spans="1:12" x14ac:dyDescent="0.25">
      <c r="A2337" t="s">
        <v>15</v>
      </c>
      <c r="B2337" t="s">
        <v>258</v>
      </c>
      <c r="C2337" t="s">
        <v>261</v>
      </c>
      <c r="D2337" t="str">
        <f t="shared" si="187"/>
        <v>Motorcycles</v>
      </c>
      <c r="E2337" t="s">
        <v>358</v>
      </c>
      <c r="F2337" s="5">
        <v>4040.03</v>
      </c>
      <c r="G2337" s="5">
        <v>808.00600000000009</v>
      </c>
      <c r="I2337" t="str">
        <f t="shared" si="183"/>
        <v>Low Sales</v>
      </c>
      <c r="J2337" t="str">
        <f t="shared" si="184"/>
        <v>Average Performance</v>
      </c>
      <c r="K2337">
        <f t="shared" si="185"/>
        <v>2004</v>
      </c>
      <c r="L2337" t="str">
        <f t="shared" si="186"/>
        <v>January</v>
      </c>
    </row>
    <row r="2338" spans="1:12" x14ac:dyDescent="0.25">
      <c r="A2338" t="s">
        <v>139</v>
      </c>
      <c r="B2338" t="s">
        <v>258</v>
      </c>
      <c r="C2338" t="s">
        <v>261</v>
      </c>
      <c r="D2338" t="str">
        <f t="shared" si="187"/>
        <v>Motorcycles</v>
      </c>
      <c r="E2338" t="s">
        <v>358</v>
      </c>
      <c r="F2338" s="5">
        <v>3336.9</v>
      </c>
      <c r="G2338" s="5">
        <v>667.38000000000011</v>
      </c>
      <c r="I2338" t="str">
        <f t="shared" si="183"/>
        <v>Low Sales</v>
      </c>
      <c r="J2338" t="str">
        <f t="shared" si="184"/>
        <v>Average Performance</v>
      </c>
      <c r="K2338">
        <f t="shared" si="185"/>
        <v>2004</v>
      </c>
      <c r="L2338" t="str">
        <f t="shared" si="186"/>
        <v>February</v>
      </c>
    </row>
    <row r="2339" spans="1:12" x14ac:dyDescent="0.25">
      <c r="A2339" t="s">
        <v>17</v>
      </c>
      <c r="C2339" t="s">
        <v>261</v>
      </c>
      <c r="D2339" t="str">
        <f t="shared" si="187"/>
        <v>Motorcycles</v>
      </c>
      <c r="E2339" t="s">
        <v>358</v>
      </c>
      <c r="F2339" s="5">
        <v>3113.64</v>
      </c>
      <c r="G2339" s="5">
        <v>622.72800000000007</v>
      </c>
      <c r="I2339" t="str">
        <f t="shared" si="183"/>
        <v>Low Sales</v>
      </c>
      <c r="J2339" t="str">
        <f t="shared" si="184"/>
        <v>Average Performance</v>
      </c>
      <c r="K2339">
        <f t="shared" si="185"/>
        <v>2004</v>
      </c>
      <c r="L2339" t="str">
        <f t="shared" si="186"/>
        <v>April</v>
      </c>
    </row>
    <row r="2340" spans="1:12" x14ac:dyDescent="0.25">
      <c r="A2340" t="s">
        <v>230</v>
      </c>
      <c r="B2340" t="s">
        <v>258</v>
      </c>
      <c r="C2340" t="s">
        <v>261</v>
      </c>
      <c r="D2340" t="str">
        <f t="shared" si="187"/>
        <v>Motorcycles</v>
      </c>
      <c r="E2340" t="s">
        <v>358</v>
      </c>
      <c r="F2340" s="5">
        <v>2832</v>
      </c>
      <c r="G2340" s="5">
        <v>566.4</v>
      </c>
      <c r="I2340" t="str">
        <f t="shared" si="183"/>
        <v>Low Sales</v>
      </c>
      <c r="J2340" t="str">
        <f t="shared" si="184"/>
        <v>Average Performance</v>
      </c>
      <c r="K2340">
        <f t="shared" si="185"/>
        <v>2004</v>
      </c>
      <c r="L2340" t="str">
        <f t="shared" si="186"/>
        <v>May</v>
      </c>
    </row>
    <row r="2341" spans="1:12" x14ac:dyDescent="0.25">
      <c r="A2341" t="s">
        <v>236</v>
      </c>
      <c r="C2341" t="s">
        <v>261</v>
      </c>
      <c r="D2341" t="str">
        <f t="shared" si="187"/>
        <v>Motorcycles</v>
      </c>
      <c r="E2341" t="s">
        <v>358</v>
      </c>
      <c r="F2341" s="5">
        <v>3330.98</v>
      </c>
      <c r="G2341" s="5">
        <v>666.19600000000003</v>
      </c>
      <c r="I2341" t="str">
        <f t="shared" si="183"/>
        <v>Low Sales</v>
      </c>
      <c r="J2341" t="str">
        <f t="shared" si="184"/>
        <v>Average Performance</v>
      </c>
      <c r="K2341">
        <f t="shared" si="185"/>
        <v>2004</v>
      </c>
      <c r="L2341" t="str">
        <f t="shared" si="186"/>
        <v>June</v>
      </c>
    </row>
    <row r="2342" spans="1:12" x14ac:dyDescent="0.25">
      <c r="A2342" t="s">
        <v>116</v>
      </c>
      <c r="C2342" t="s">
        <v>261</v>
      </c>
      <c r="D2342" t="str">
        <f t="shared" si="187"/>
        <v>Motorcycles</v>
      </c>
      <c r="E2342" t="s">
        <v>358</v>
      </c>
      <c r="F2342" s="5">
        <v>4304.6400000000003</v>
      </c>
      <c r="G2342" s="5">
        <v>860.92800000000011</v>
      </c>
      <c r="I2342" t="str">
        <f t="shared" si="183"/>
        <v>Low Sales</v>
      </c>
      <c r="J2342" t="str">
        <f t="shared" si="184"/>
        <v>Average Performance</v>
      </c>
      <c r="K2342">
        <f t="shared" si="185"/>
        <v>2004</v>
      </c>
      <c r="L2342" t="str">
        <f t="shared" si="186"/>
        <v>August</v>
      </c>
    </row>
    <row r="2343" spans="1:12" x14ac:dyDescent="0.25">
      <c r="A2343" t="s">
        <v>21</v>
      </c>
      <c r="C2343" t="s">
        <v>261</v>
      </c>
      <c r="D2343" t="str">
        <f t="shared" si="187"/>
        <v>Motorcycles</v>
      </c>
      <c r="E2343" t="s">
        <v>358</v>
      </c>
      <c r="F2343" s="5">
        <v>2600.2600000000002</v>
      </c>
      <c r="G2343" s="5">
        <v>520.05200000000002</v>
      </c>
      <c r="I2343" t="str">
        <f t="shared" si="183"/>
        <v>Low Sales</v>
      </c>
      <c r="J2343" t="str">
        <f t="shared" si="184"/>
        <v>Average Performance</v>
      </c>
      <c r="K2343">
        <f t="shared" si="185"/>
        <v>2004</v>
      </c>
      <c r="L2343" t="str">
        <f t="shared" si="186"/>
        <v>August</v>
      </c>
    </row>
    <row r="2344" spans="1:12" x14ac:dyDescent="0.25">
      <c r="A2344" t="s">
        <v>22</v>
      </c>
      <c r="B2344" t="s">
        <v>258</v>
      </c>
      <c r="C2344" t="s">
        <v>261</v>
      </c>
      <c r="D2344" t="str">
        <f t="shared" si="187"/>
        <v>Motorcycles</v>
      </c>
      <c r="E2344" t="s">
        <v>358</v>
      </c>
      <c r="F2344" s="5">
        <v>4382.16</v>
      </c>
      <c r="G2344" s="5">
        <v>876.43200000000002</v>
      </c>
      <c r="I2344" t="str">
        <f t="shared" si="183"/>
        <v>Low Sales</v>
      </c>
      <c r="J2344" t="str">
        <f t="shared" si="184"/>
        <v>Average Performance</v>
      </c>
      <c r="K2344">
        <f t="shared" si="185"/>
        <v>2004</v>
      </c>
      <c r="L2344" t="str">
        <f t="shared" si="186"/>
        <v>September</v>
      </c>
    </row>
    <row r="2345" spans="1:12" x14ac:dyDescent="0.25">
      <c r="A2345" t="s">
        <v>23</v>
      </c>
      <c r="B2345" t="s">
        <v>258</v>
      </c>
      <c r="C2345" t="s">
        <v>261</v>
      </c>
      <c r="D2345" t="str">
        <f t="shared" si="187"/>
        <v>Motorcycles</v>
      </c>
      <c r="E2345" t="s">
        <v>358</v>
      </c>
      <c r="F2345" s="5">
        <v>4235</v>
      </c>
      <c r="G2345" s="5">
        <v>847</v>
      </c>
      <c r="I2345" t="str">
        <f t="shared" si="183"/>
        <v>Low Sales</v>
      </c>
      <c r="J2345" t="str">
        <f t="shared" si="184"/>
        <v>Average Performance</v>
      </c>
      <c r="K2345">
        <f t="shared" si="185"/>
        <v>2004</v>
      </c>
      <c r="L2345" t="str">
        <f t="shared" si="186"/>
        <v>October</v>
      </c>
    </row>
    <row r="2346" spans="1:12" x14ac:dyDescent="0.25">
      <c r="A2346" t="s">
        <v>120</v>
      </c>
      <c r="C2346" t="s">
        <v>261</v>
      </c>
      <c r="D2346" t="str">
        <f t="shared" si="187"/>
        <v>Motorcycles</v>
      </c>
      <c r="E2346" t="s">
        <v>358</v>
      </c>
      <c r="F2346" s="5">
        <v>2626.8</v>
      </c>
      <c r="G2346" s="5">
        <v>525.36</v>
      </c>
      <c r="I2346" t="str">
        <f t="shared" si="183"/>
        <v>Low Sales</v>
      </c>
      <c r="J2346" t="str">
        <f t="shared" si="184"/>
        <v>Average Performance</v>
      </c>
      <c r="K2346">
        <f t="shared" si="185"/>
        <v>2004</v>
      </c>
      <c r="L2346" t="str">
        <f t="shared" si="186"/>
        <v>November</v>
      </c>
    </row>
    <row r="2347" spans="1:12" x14ac:dyDescent="0.25">
      <c r="A2347" t="s">
        <v>165</v>
      </c>
      <c r="C2347" t="s">
        <v>261</v>
      </c>
      <c r="D2347" t="str">
        <f t="shared" si="187"/>
        <v>Motorcycles</v>
      </c>
      <c r="E2347" t="s">
        <v>358</v>
      </c>
      <c r="F2347" s="5">
        <v>5026.5600000000004</v>
      </c>
      <c r="G2347" s="5">
        <v>1005.312</v>
      </c>
      <c r="I2347" t="str">
        <f t="shared" si="183"/>
        <v>Low Sales</v>
      </c>
      <c r="J2347" t="str">
        <f t="shared" si="184"/>
        <v>Average Performance</v>
      </c>
      <c r="K2347">
        <f t="shared" si="185"/>
        <v>2004</v>
      </c>
      <c r="L2347" t="str">
        <f t="shared" si="186"/>
        <v>November</v>
      </c>
    </row>
    <row r="2348" spans="1:12" x14ac:dyDescent="0.25">
      <c r="A2348" t="s">
        <v>26</v>
      </c>
      <c r="B2348" t="s">
        <v>258</v>
      </c>
      <c r="C2348" t="s">
        <v>261</v>
      </c>
      <c r="D2348" t="str">
        <f t="shared" si="187"/>
        <v>Motorcycles</v>
      </c>
      <c r="E2348" t="s">
        <v>358</v>
      </c>
      <c r="F2348" s="5">
        <v>2201.62</v>
      </c>
      <c r="G2348" s="5">
        <v>440.32400000000001</v>
      </c>
      <c r="I2348" t="str">
        <f t="shared" si="183"/>
        <v>Low Sales</v>
      </c>
      <c r="J2348" t="str">
        <f t="shared" si="184"/>
        <v>Average Performance</v>
      </c>
      <c r="K2348">
        <f t="shared" si="185"/>
        <v>2004</v>
      </c>
      <c r="L2348" t="str">
        <f t="shared" si="186"/>
        <v>November</v>
      </c>
    </row>
    <row r="2349" spans="1:12" x14ac:dyDescent="0.25">
      <c r="A2349" t="s">
        <v>234</v>
      </c>
      <c r="B2349" t="s">
        <v>258</v>
      </c>
      <c r="C2349" t="s">
        <v>261</v>
      </c>
      <c r="D2349" t="str">
        <f t="shared" si="187"/>
        <v>Motorcycles</v>
      </c>
      <c r="E2349" t="s">
        <v>358</v>
      </c>
      <c r="F2349" s="5">
        <v>4326.8</v>
      </c>
      <c r="G2349" s="5">
        <v>865.36000000000013</v>
      </c>
      <c r="I2349" t="str">
        <f t="shared" si="183"/>
        <v>Low Sales</v>
      </c>
      <c r="J2349" t="str">
        <f t="shared" si="184"/>
        <v>Average Performance</v>
      </c>
      <c r="K2349">
        <f t="shared" si="185"/>
        <v>2004</v>
      </c>
      <c r="L2349" t="str">
        <f t="shared" si="186"/>
        <v>December</v>
      </c>
    </row>
    <row r="2350" spans="1:12" x14ac:dyDescent="0.25">
      <c r="A2350" t="s">
        <v>167</v>
      </c>
      <c r="C2350" t="s">
        <v>261</v>
      </c>
      <c r="D2350" t="str">
        <f t="shared" si="187"/>
        <v>Motorcycles</v>
      </c>
      <c r="E2350" t="s">
        <v>358</v>
      </c>
      <c r="F2350" s="5">
        <v>3425.18</v>
      </c>
      <c r="G2350" s="5">
        <v>685.03600000000006</v>
      </c>
      <c r="I2350" t="str">
        <f t="shared" si="183"/>
        <v>Low Sales</v>
      </c>
      <c r="J2350" t="str">
        <f t="shared" si="184"/>
        <v>Average Performance</v>
      </c>
      <c r="K2350">
        <f t="shared" si="185"/>
        <v>2005</v>
      </c>
      <c r="L2350" t="str">
        <f t="shared" si="186"/>
        <v>January</v>
      </c>
    </row>
    <row r="2351" spans="1:12" x14ac:dyDescent="0.25">
      <c r="A2351" t="s">
        <v>28</v>
      </c>
      <c r="B2351" t="s">
        <v>258</v>
      </c>
      <c r="C2351" t="s">
        <v>261</v>
      </c>
      <c r="D2351" t="str">
        <f t="shared" si="187"/>
        <v>Motorcycles</v>
      </c>
      <c r="E2351" t="s">
        <v>358</v>
      </c>
      <c r="F2351" s="5">
        <v>4701.88</v>
      </c>
      <c r="G2351" s="5">
        <v>940.37600000000009</v>
      </c>
      <c r="I2351" t="str">
        <f t="shared" si="183"/>
        <v>Low Sales</v>
      </c>
      <c r="J2351" t="str">
        <f t="shared" si="184"/>
        <v>Average Performance</v>
      </c>
      <c r="K2351">
        <f t="shared" si="185"/>
        <v>2005</v>
      </c>
      <c r="L2351" t="str">
        <f t="shared" si="186"/>
        <v>February</v>
      </c>
    </row>
    <row r="2352" spans="1:12" x14ac:dyDescent="0.25">
      <c r="A2352" t="s">
        <v>168</v>
      </c>
      <c r="C2352" t="s">
        <v>261</v>
      </c>
      <c r="D2352" t="str">
        <f t="shared" si="187"/>
        <v>Motorcycles</v>
      </c>
      <c r="E2352" t="s">
        <v>358</v>
      </c>
      <c r="F2352" s="5">
        <v>2204.1</v>
      </c>
      <c r="G2352" s="5">
        <v>440.82</v>
      </c>
      <c r="I2352" t="str">
        <f t="shared" si="183"/>
        <v>Low Sales</v>
      </c>
      <c r="J2352" t="str">
        <f t="shared" si="184"/>
        <v>Average Performance</v>
      </c>
      <c r="K2352">
        <f t="shared" si="185"/>
        <v>2005</v>
      </c>
      <c r="L2352" t="str">
        <f t="shared" si="186"/>
        <v>March</v>
      </c>
    </row>
    <row r="2353" spans="1:12" x14ac:dyDescent="0.25">
      <c r="A2353" t="s">
        <v>30</v>
      </c>
      <c r="B2353" t="s">
        <v>258</v>
      </c>
      <c r="C2353" t="s">
        <v>261</v>
      </c>
      <c r="D2353" t="str">
        <f t="shared" si="187"/>
        <v>Motorcycles</v>
      </c>
      <c r="E2353" t="s">
        <v>358</v>
      </c>
      <c r="F2353" s="5">
        <v>5189.3999999999996</v>
      </c>
      <c r="G2353" s="5">
        <v>1037.8800000000001</v>
      </c>
      <c r="I2353" t="str">
        <f t="shared" si="183"/>
        <v>Low Sales</v>
      </c>
      <c r="J2353" t="str">
        <f t="shared" si="184"/>
        <v>Average Performance</v>
      </c>
      <c r="K2353">
        <f t="shared" si="185"/>
        <v>2005</v>
      </c>
      <c r="L2353" t="str">
        <f t="shared" si="186"/>
        <v>April</v>
      </c>
    </row>
    <row r="2354" spans="1:12" x14ac:dyDescent="0.25">
      <c r="A2354" t="s">
        <v>192</v>
      </c>
      <c r="B2354" t="s">
        <v>258</v>
      </c>
      <c r="C2354" t="s">
        <v>264</v>
      </c>
      <c r="D2354" t="str">
        <f t="shared" si="187"/>
        <v>Vintage Cars</v>
      </c>
      <c r="E2354" t="s">
        <v>359</v>
      </c>
      <c r="F2354" s="5">
        <v>1565.85</v>
      </c>
      <c r="G2354" s="5">
        <v>313.17</v>
      </c>
      <c r="I2354" t="str">
        <f t="shared" si="183"/>
        <v>Low Sales</v>
      </c>
      <c r="J2354" t="str">
        <f t="shared" si="184"/>
        <v>Average Performance</v>
      </c>
      <c r="K2354">
        <f t="shared" si="185"/>
        <v>2003</v>
      </c>
      <c r="L2354" t="str">
        <f t="shared" si="186"/>
        <v>February</v>
      </c>
    </row>
    <row r="2355" spans="1:12" x14ac:dyDescent="0.25">
      <c r="A2355" t="s">
        <v>60</v>
      </c>
      <c r="B2355" t="s">
        <v>259</v>
      </c>
      <c r="C2355" t="s">
        <v>264</v>
      </c>
      <c r="D2355" t="str">
        <f t="shared" si="187"/>
        <v>Vintage Cars</v>
      </c>
      <c r="E2355" t="s">
        <v>359</v>
      </c>
      <c r="F2355" s="5">
        <v>2480.38</v>
      </c>
      <c r="G2355" s="5">
        <v>496.07600000000002</v>
      </c>
      <c r="I2355" t="str">
        <f t="shared" si="183"/>
        <v>Low Sales</v>
      </c>
      <c r="J2355" t="str">
        <f t="shared" si="184"/>
        <v>Average Performance</v>
      </c>
      <c r="K2355">
        <f t="shared" si="185"/>
        <v>2003</v>
      </c>
      <c r="L2355" t="str">
        <f t="shared" si="186"/>
        <v>April</v>
      </c>
    </row>
    <row r="2356" spans="1:12" x14ac:dyDescent="0.25">
      <c r="A2356" t="s">
        <v>215</v>
      </c>
      <c r="B2356" t="s">
        <v>258</v>
      </c>
      <c r="C2356" t="s">
        <v>264</v>
      </c>
      <c r="D2356" t="str">
        <f t="shared" si="187"/>
        <v>Vintage Cars</v>
      </c>
      <c r="E2356" t="s">
        <v>359</v>
      </c>
      <c r="F2356" s="5">
        <v>1355.13</v>
      </c>
      <c r="G2356" s="5">
        <v>271.02600000000001</v>
      </c>
      <c r="I2356" t="str">
        <f t="shared" si="183"/>
        <v>Low Sales</v>
      </c>
      <c r="J2356" t="str">
        <f t="shared" si="184"/>
        <v>Average Performance</v>
      </c>
      <c r="K2356">
        <f t="shared" si="185"/>
        <v>2003</v>
      </c>
      <c r="L2356" t="str">
        <f t="shared" si="186"/>
        <v>June</v>
      </c>
    </row>
    <row r="2357" spans="1:12" x14ac:dyDescent="0.25">
      <c r="A2357" t="s">
        <v>71</v>
      </c>
      <c r="C2357" t="s">
        <v>264</v>
      </c>
      <c r="D2357" t="str">
        <f t="shared" si="187"/>
        <v>Vintage Cars</v>
      </c>
      <c r="E2357" t="s">
        <v>359</v>
      </c>
      <c r="F2357" s="5">
        <v>1246.44</v>
      </c>
      <c r="G2357" s="5">
        <v>249.28800000000001</v>
      </c>
      <c r="I2357" t="str">
        <f t="shared" si="183"/>
        <v>Low Sales</v>
      </c>
      <c r="J2357" t="str">
        <f t="shared" si="184"/>
        <v>Average Performance</v>
      </c>
      <c r="K2357">
        <f t="shared" si="185"/>
        <v>2003</v>
      </c>
      <c r="L2357" t="str">
        <f t="shared" si="186"/>
        <v>August</v>
      </c>
    </row>
    <row r="2358" spans="1:12" x14ac:dyDescent="0.25">
      <c r="A2358" t="s">
        <v>255</v>
      </c>
      <c r="B2358" t="s">
        <v>258</v>
      </c>
      <c r="C2358" t="s">
        <v>264</v>
      </c>
      <c r="D2358" t="str">
        <f t="shared" si="187"/>
        <v>Vintage Cars</v>
      </c>
      <c r="E2358" t="s">
        <v>359</v>
      </c>
      <c r="F2358" s="5">
        <v>820.4</v>
      </c>
      <c r="G2358" s="5">
        <v>164.08</v>
      </c>
      <c r="I2358" t="str">
        <f t="shared" si="183"/>
        <v>Low Sales</v>
      </c>
      <c r="J2358" t="str">
        <f t="shared" si="184"/>
        <v>Average Performance</v>
      </c>
      <c r="K2358">
        <f t="shared" si="185"/>
        <v>2003</v>
      </c>
      <c r="L2358" t="str">
        <f t="shared" si="186"/>
        <v>October</v>
      </c>
    </row>
    <row r="2359" spans="1:12" x14ac:dyDescent="0.25">
      <c r="A2359" t="s">
        <v>11</v>
      </c>
      <c r="C2359" t="s">
        <v>264</v>
      </c>
      <c r="D2359" t="str">
        <f t="shared" si="187"/>
        <v>Vintage Cars</v>
      </c>
      <c r="E2359" t="s">
        <v>359</v>
      </c>
      <c r="F2359" s="5">
        <v>2492.64</v>
      </c>
      <c r="G2359" s="5">
        <v>498.52800000000002</v>
      </c>
      <c r="I2359" t="str">
        <f t="shared" si="183"/>
        <v>Low Sales</v>
      </c>
      <c r="J2359" t="str">
        <f t="shared" si="184"/>
        <v>Average Performance</v>
      </c>
      <c r="K2359">
        <f t="shared" si="185"/>
        <v>2003</v>
      </c>
      <c r="L2359" t="str">
        <f t="shared" si="186"/>
        <v>October</v>
      </c>
    </row>
    <row r="2360" spans="1:12" x14ac:dyDescent="0.25">
      <c r="A2360" t="s">
        <v>14</v>
      </c>
      <c r="C2360" t="s">
        <v>264</v>
      </c>
      <c r="D2360" t="str">
        <f t="shared" si="187"/>
        <v>Vintage Cars</v>
      </c>
      <c r="E2360" t="s">
        <v>359</v>
      </c>
      <c r="F2360" s="5">
        <v>1113.5999999999999</v>
      </c>
      <c r="G2360" s="5">
        <v>222.72</v>
      </c>
      <c r="I2360" t="str">
        <f t="shared" si="183"/>
        <v>Low Sales</v>
      </c>
      <c r="J2360" t="str">
        <f t="shared" si="184"/>
        <v>Average Performance</v>
      </c>
      <c r="K2360">
        <f t="shared" si="185"/>
        <v>2003</v>
      </c>
      <c r="L2360" t="str">
        <f t="shared" si="186"/>
        <v>December</v>
      </c>
    </row>
    <row r="2361" spans="1:12" x14ac:dyDescent="0.25">
      <c r="A2361" t="s">
        <v>61</v>
      </c>
      <c r="B2361" t="s">
        <v>260</v>
      </c>
      <c r="C2361" t="s">
        <v>264</v>
      </c>
      <c r="D2361" t="str">
        <f t="shared" si="187"/>
        <v>Vintage Cars</v>
      </c>
      <c r="E2361" t="s">
        <v>359</v>
      </c>
      <c r="F2361" s="5">
        <v>1763.86</v>
      </c>
      <c r="G2361" s="5">
        <v>352.77199999999999</v>
      </c>
      <c r="I2361" t="str">
        <f t="shared" si="183"/>
        <v>Low Sales</v>
      </c>
      <c r="J2361" t="str">
        <f t="shared" si="184"/>
        <v>Average Performance</v>
      </c>
      <c r="K2361">
        <f t="shared" si="185"/>
        <v>2004</v>
      </c>
      <c r="L2361" t="str">
        <f t="shared" si="186"/>
        <v>January</v>
      </c>
    </row>
    <row r="2362" spans="1:12" x14ac:dyDescent="0.25">
      <c r="A2362" t="s">
        <v>16</v>
      </c>
      <c r="B2362" t="s">
        <v>259</v>
      </c>
      <c r="C2362" t="s">
        <v>264</v>
      </c>
      <c r="D2362" t="str">
        <f t="shared" si="187"/>
        <v>Vintage Cars</v>
      </c>
      <c r="E2362" t="s">
        <v>359</v>
      </c>
      <c r="F2362" s="5">
        <v>1896.66</v>
      </c>
      <c r="G2362" s="5">
        <v>379.33200000000011</v>
      </c>
      <c r="I2362" t="str">
        <f t="shared" si="183"/>
        <v>Low Sales</v>
      </c>
      <c r="J2362" t="str">
        <f t="shared" si="184"/>
        <v>Average Performance</v>
      </c>
      <c r="K2362">
        <f t="shared" si="185"/>
        <v>2004</v>
      </c>
      <c r="L2362" t="str">
        <f t="shared" si="186"/>
        <v>February</v>
      </c>
    </row>
    <row r="2363" spans="1:12" x14ac:dyDescent="0.25">
      <c r="A2363" t="s">
        <v>216</v>
      </c>
      <c r="C2363" t="s">
        <v>264</v>
      </c>
      <c r="D2363" t="str">
        <f t="shared" si="187"/>
        <v>Vintage Cars</v>
      </c>
      <c r="E2363" t="s">
        <v>359</v>
      </c>
      <c r="F2363" s="5">
        <v>1449.35</v>
      </c>
      <c r="G2363" s="5">
        <v>289.87</v>
      </c>
      <c r="I2363" t="str">
        <f t="shared" si="183"/>
        <v>Low Sales</v>
      </c>
      <c r="J2363" t="str">
        <f t="shared" si="184"/>
        <v>Average Performance</v>
      </c>
      <c r="K2363">
        <f t="shared" si="185"/>
        <v>2004</v>
      </c>
      <c r="L2363" t="str">
        <f t="shared" si="186"/>
        <v>April</v>
      </c>
    </row>
    <row r="2364" spans="1:12" x14ac:dyDescent="0.25">
      <c r="A2364" t="s">
        <v>195</v>
      </c>
      <c r="C2364" t="s">
        <v>264</v>
      </c>
      <c r="D2364" t="str">
        <f t="shared" si="187"/>
        <v>Vintage Cars</v>
      </c>
      <c r="E2364" t="s">
        <v>359</v>
      </c>
      <c r="F2364" s="5">
        <v>1869.48</v>
      </c>
      <c r="G2364" s="5">
        <v>373.89600000000002</v>
      </c>
      <c r="I2364" t="str">
        <f t="shared" si="183"/>
        <v>Low Sales</v>
      </c>
      <c r="J2364" t="str">
        <f t="shared" si="184"/>
        <v>Average Performance</v>
      </c>
      <c r="K2364">
        <f t="shared" si="185"/>
        <v>2004</v>
      </c>
      <c r="L2364" t="str">
        <f t="shared" si="186"/>
        <v>May</v>
      </c>
    </row>
    <row r="2365" spans="1:12" x14ac:dyDescent="0.25">
      <c r="A2365" t="s">
        <v>196</v>
      </c>
      <c r="B2365" t="s">
        <v>258</v>
      </c>
      <c r="C2365" t="s">
        <v>264</v>
      </c>
      <c r="D2365" t="str">
        <f t="shared" si="187"/>
        <v>Vintage Cars</v>
      </c>
      <c r="E2365" t="s">
        <v>359</v>
      </c>
      <c r="F2365" s="5">
        <v>1860.53</v>
      </c>
      <c r="G2365" s="5">
        <v>372.10599999999999</v>
      </c>
      <c r="I2365" t="str">
        <f t="shared" si="183"/>
        <v>Low Sales</v>
      </c>
      <c r="J2365" t="str">
        <f t="shared" si="184"/>
        <v>Average Performance</v>
      </c>
      <c r="K2365">
        <f t="shared" si="185"/>
        <v>2004</v>
      </c>
      <c r="L2365" t="str">
        <f t="shared" si="186"/>
        <v>June</v>
      </c>
    </row>
    <row r="2366" spans="1:12" x14ac:dyDescent="0.25">
      <c r="A2366" t="s">
        <v>20</v>
      </c>
      <c r="B2366" t="s">
        <v>258</v>
      </c>
      <c r="C2366" t="s">
        <v>264</v>
      </c>
      <c r="D2366" t="str">
        <f t="shared" si="187"/>
        <v>Vintage Cars</v>
      </c>
      <c r="E2366" t="s">
        <v>359</v>
      </c>
      <c r="F2366" s="5">
        <v>1724.82</v>
      </c>
      <c r="G2366" s="5">
        <v>344.964</v>
      </c>
      <c r="I2366" t="str">
        <f t="shared" si="183"/>
        <v>Low Sales</v>
      </c>
      <c r="J2366" t="str">
        <f t="shared" si="184"/>
        <v>Average Performance</v>
      </c>
      <c r="K2366">
        <f t="shared" si="185"/>
        <v>2004</v>
      </c>
      <c r="L2366" t="str">
        <f t="shared" si="186"/>
        <v>July</v>
      </c>
    </row>
    <row r="2367" spans="1:12" x14ac:dyDescent="0.25">
      <c r="A2367" t="s">
        <v>197</v>
      </c>
      <c r="B2367" t="s">
        <v>258</v>
      </c>
      <c r="C2367" t="s">
        <v>264</v>
      </c>
      <c r="D2367" t="str">
        <f t="shared" si="187"/>
        <v>Vintage Cars</v>
      </c>
      <c r="E2367" t="s">
        <v>359</v>
      </c>
      <c r="F2367" s="5">
        <v>1713.69</v>
      </c>
      <c r="G2367" s="5">
        <v>342.73800000000011</v>
      </c>
      <c r="I2367" t="str">
        <f t="shared" si="183"/>
        <v>Low Sales</v>
      </c>
      <c r="J2367" t="str">
        <f t="shared" si="184"/>
        <v>Average Performance</v>
      </c>
      <c r="K2367">
        <f t="shared" si="185"/>
        <v>2004</v>
      </c>
      <c r="L2367" t="str">
        <f t="shared" si="186"/>
        <v>August</v>
      </c>
    </row>
    <row r="2368" spans="1:12" x14ac:dyDescent="0.25">
      <c r="A2368" t="s">
        <v>198</v>
      </c>
      <c r="B2368" t="s">
        <v>258</v>
      </c>
      <c r="C2368" t="s">
        <v>264</v>
      </c>
      <c r="D2368" t="str">
        <f t="shared" si="187"/>
        <v>Vintage Cars</v>
      </c>
      <c r="E2368" t="s">
        <v>359</v>
      </c>
      <c r="F2368" s="5">
        <v>1259.44</v>
      </c>
      <c r="G2368" s="5">
        <v>251.88800000000001</v>
      </c>
      <c r="I2368" t="str">
        <f t="shared" si="183"/>
        <v>Low Sales</v>
      </c>
      <c r="J2368" t="str">
        <f t="shared" si="184"/>
        <v>Average Performance</v>
      </c>
      <c r="K2368">
        <f t="shared" si="185"/>
        <v>2004</v>
      </c>
      <c r="L2368" t="str">
        <f t="shared" si="186"/>
        <v>September</v>
      </c>
    </row>
    <row r="2369" spans="1:12" x14ac:dyDescent="0.25">
      <c r="A2369" t="s">
        <v>23</v>
      </c>
      <c r="C2369" t="s">
        <v>264</v>
      </c>
      <c r="D2369" t="str">
        <f t="shared" si="187"/>
        <v>Vintage Cars</v>
      </c>
      <c r="E2369" t="s">
        <v>359</v>
      </c>
      <c r="F2369" s="5">
        <v>2051.08</v>
      </c>
      <c r="G2369" s="5">
        <v>410.21600000000001</v>
      </c>
      <c r="I2369" t="str">
        <f t="shared" si="183"/>
        <v>Low Sales</v>
      </c>
      <c r="J2369" t="str">
        <f t="shared" si="184"/>
        <v>Average Performance</v>
      </c>
      <c r="K2369">
        <f t="shared" si="185"/>
        <v>2004</v>
      </c>
      <c r="L2369" t="str">
        <f t="shared" si="186"/>
        <v>October</v>
      </c>
    </row>
    <row r="2370" spans="1:12" x14ac:dyDescent="0.25">
      <c r="A2370" t="s">
        <v>85</v>
      </c>
      <c r="B2370" t="s">
        <v>258</v>
      </c>
      <c r="C2370" t="s">
        <v>264</v>
      </c>
      <c r="D2370" t="str">
        <f t="shared" si="187"/>
        <v>Vintage Cars</v>
      </c>
      <c r="E2370" t="s">
        <v>359</v>
      </c>
      <c r="F2370" s="5">
        <v>1617.38</v>
      </c>
      <c r="G2370" s="5">
        <v>323.47600000000011</v>
      </c>
      <c r="I2370" t="str">
        <f t="shared" si="183"/>
        <v>Low Sales</v>
      </c>
      <c r="J2370" t="str">
        <f t="shared" si="184"/>
        <v>Average Performance</v>
      </c>
      <c r="K2370">
        <f t="shared" si="185"/>
        <v>2004</v>
      </c>
      <c r="L2370" t="str">
        <f t="shared" si="186"/>
        <v>November</v>
      </c>
    </row>
    <row r="2371" spans="1:12" x14ac:dyDescent="0.25">
      <c r="A2371" t="s">
        <v>239</v>
      </c>
      <c r="B2371" t="s">
        <v>258</v>
      </c>
      <c r="C2371" t="s">
        <v>264</v>
      </c>
      <c r="D2371" t="str">
        <f t="shared" si="187"/>
        <v>Vintage Cars</v>
      </c>
      <c r="E2371" t="s">
        <v>359</v>
      </c>
      <c r="F2371" s="5">
        <v>1765.62</v>
      </c>
      <c r="G2371" s="5">
        <v>353.12400000000002</v>
      </c>
      <c r="I2371" t="str">
        <f t="shared" ref="I2371:I2434" si="188">IF(F2371&gt;50000,"High Sales","Low Sales")</f>
        <v>Low Sales</v>
      </c>
      <c r="J2371" t="str">
        <f t="shared" ref="J2371:J2434" si="189">IF(AND(F2371&gt;30000,G2371&gt;5000),"Good Performance","Average Performance")</f>
        <v>Average Performance</v>
      </c>
      <c r="K2371">
        <f t="shared" ref="K2371:K2434" si="190">YEAR(A2371)</f>
        <v>2004</v>
      </c>
      <c r="L2371" t="str">
        <f t="shared" ref="L2371:L2434" si="191">TEXT(A2371,"mmmm")</f>
        <v>November</v>
      </c>
    </row>
    <row r="2372" spans="1:12" x14ac:dyDescent="0.25">
      <c r="A2372" t="s">
        <v>26</v>
      </c>
      <c r="B2372" t="s">
        <v>258</v>
      </c>
      <c r="C2372" t="s">
        <v>264</v>
      </c>
      <c r="D2372" t="str">
        <f t="shared" si="187"/>
        <v>Vintage Cars</v>
      </c>
      <c r="E2372" t="s">
        <v>359</v>
      </c>
      <c r="F2372" s="5">
        <v>2024.8</v>
      </c>
      <c r="G2372" s="5">
        <v>404.96</v>
      </c>
      <c r="I2372" t="str">
        <f t="shared" si="188"/>
        <v>Low Sales</v>
      </c>
      <c r="J2372" t="str">
        <f t="shared" si="189"/>
        <v>Average Performance</v>
      </c>
      <c r="K2372">
        <f t="shared" si="190"/>
        <v>2004</v>
      </c>
      <c r="L2372" t="str">
        <f t="shared" si="191"/>
        <v>November</v>
      </c>
    </row>
    <row r="2373" spans="1:12" x14ac:dyDescent="0.25">
      <c r="A2373" t="s">
        <v>218</v>
      </c>
      <c r="C2373" t="s">
        <v>264</v>
      </c>
      <c r="D2373" t="str">
        <f t="shared" si="187"/>
        <v>Vintage Cars</v>
      </c>
      <c r="E2373" t="s">
        <v>359</v>
      </c>
      <c r="F2373" s="5">
        <v>3288.4</v>
      </c>
      <c r="G2373" s="5">
        <v>657.68000000000006</v>
      </c>
      <c r="I2373" t="str">
        <f t="shared" si="188"/>
        <v>Low Sales</v>
      </c>
      <c r="J2373" t="str">
        <f t="shared" si="189"/>
        <v>Average Performance</v>
      </c>
      <c r="K2373">
        <f t="shared" si="190"/>
        <v>2004</v>
      </c>
      <c r="L2373" t="str">
        <f t="shared" si="191"/>
        <v>December</v>
      </c>
    </row>
    <row r="2374" spans="1:12" x14ac:dyDescent="0.25">
      <c r="A2374" t="s">
        <v>27</v>
      </c>
      <c r="B2374" t="s">
        <v>259</v>
      </c>
      <c r="C2374" t="s">
        <v>264</v>
      </c>
      <c r="D2374" t="str">
        <f t="shared" si="187"/>
        <v>Vintage Cars</v>
      </c>
      <c r="E2374" t="s">
        <v>359</v>
      </c>
      <c r="F2374" s="5">
        <v>2725.47</v>
      </c>
      <c r="G2374" s="5">
        <v>545.09399999999994</v>
      </c>
      <c r="I2374" t="str">
        <f t="shared" si="188"/>
        <v>Low Sales</v>
      </c>
      <c r="J2374" t="str">
        <f t="shared" si="189"/>
        <v>Average Performance</v>
      </c>
      <c r="K2374">
        <f t="shared" si="190"/>
        <v>2004</v>
      </c>
      <c r="L2374" t="str">
        <f t="shared" si="191"/>
        <v>December</v>
      </c>
    </row>
    <row r="2375" spans="1:12" x14ac:dyDescent="0.25">
      <c r="A2375" t="s">
        <v>28</v>
      </c>
      <c r="B2375" t="s">
        <v>258</v>
      </c>
      <c r="C2375" t="s">
        <v>264</v>
      </c>
      <c r="D2375" t="str">
        <f t="shared" si="187"/>
        <v>Vintage Cars</v>
      </c>
      <c r="E2375" t="s">
        <v>359</v>
      </c>
      <c r="F2375" s="5">
        <v>3224.2</v>
      </c>
      <c r="G2375" s="5">
        <v>644.84</v>
      </c>
      <c r="I2375" t="str">
        <f t="shared" si="188"/>
        <v>Low Sales</v>
      </c>
      <c r="J2375" t="str">
        <f t="shared" si="189"/>
        <v>Average Performance</v>
      </c>
      <c r="K2375">
        <f t="shared" si="190"/>
        <v>2005</v>
      </c>
      <c r="L2375" t="str">
        <f t="shared" si="191"/>
        <v>February</v>
      </c>
    </row>
    <row r="2376" spans="1:12" x14ac:dyDescent="0.25">
      <c r="A2376" t="s">
        <v>29</v>
      </c>
      <c r="C2376" t="s">
        <v>264</v>
      </c>
      <c r="D2376" t="str">
        <f t="shared" si="187"/>
        <v>Vintage Cars</v>
      </c>
      <c r="E2376" t="s">
        <v>359</v>
      </c>
      <c r="F2376" s="5">
        <v>3211.38</v>
      </c>
      <c r="G2376" s="5">
        <v>642.27600000000007</v>
      </c>
      <c r="I2376" t="str">
        <f t="shared" si="188"/>
        <v>Low Sales</v>
      </c>
      <c r="J2376" t="str">
        <f t="shared" si="189"/>
        <v>Average Performance</v>
      </c>
      <c r="K2376">
        <f t="shared" si="190"/>
        <v>2005</v>
      </c>
      <c r="L2376" t="str">
        <f t="shared" si="191"/>
        <v>March</v>
      </c>
    </row>
    <row r="2377" spans="1:12" x14ac:dyDescent="0.25">
      <c r="A2377" t="s">
        <v>203</v>
      </c>
      <c r="B2377" t="s">
        <v>258</v>
      </c>
      <c r="C2377" t="s">
        <v>264</v>
      </c>
      <c r="D2377" t="str">
        <f t="shared" si="187"/>
        <v>Vintage Cars</v>
      </c>
      <c r="E2377" t="s">
        <v>359</v>
      </c>
      <c r="F2377" s="5">
        <v>1796.34</v>
      </c>
      <c r="G2377" s="5">
        <v>359.26799999999997</v>
      </c>
      <c r="I2377" t="str">
        <f t="shared" si="188"/>
        <v>Low Sales</v>
      </c>
      <c r="J2377" t="str">
        <f t="shared" si="189"/>
        <v>Average Performance</v>
      </c>
      <c r="K2377">
        <f t="shared" si="190"/>
        <v>2005</v>
      </c>
      <c r="L2377" t="str">
        <f t="shared" si="191"/>
        <v>March</v>
      </c>
    </row>
    <row r="2378" spans="1:12" x14ac:dyDescent="0.25">
      <c r="A2378" t="s">
        <v>219</v>
      </c>
      <c r="C2378" t="s">
        <v>264</v>
      </c>
      <c r="D2378" t="str">
        <f t="shared" si="187"/>
        <v>Vintage Cars</v>
      </c>
      <c r="E2378" t="s">
        <v>359</v>
      </c>
      <c r="F2378" s="5">
        <v>1979.6</v>
      </c>
      <c r="G2378" s="5">
        <v>395.92</v>
      </c>
      <c r="I2378" t="str">
        <f t="shared" si="188"/>
        <v>Low Sales</v>
      </c>
      <c r="J2378" t="str">
        <f t="shared" si="189"/>
        <v>Average Performance</v>
      </c>
      <c r="K2378">
        <f t="shared" si="190"/>
        <v>2005</v>
      </c>
      <c r="L2378" t="str">
        <f t="shared" si="191"/>
        <v>April</v>
      </c>
    </row>
    <row r="2379" spans="1:12" x14ac:dyDescent="0.25">
      <c r="A2379" t="s">
        <v>204</v>
      </c>
      <c r="B2379" t="s">
        <v>258</v>
      </c>
      <c r="C2379" t="s">
        <v>264</v>
      </c>
      <c r="D2379" t="str">
        <f t="shared" si="187"/>
        <v>Vintage Cars</v>
      </c>
      <c r="E2379" t="s">
        <v>359</v>
      </c>
      <c r="F2379" s="5">
        <v>1921.41</v>
      </c>
      <c r="G2379" s="5">
        <v>384.28199999999998</v>
      </c>
      <c r="I2379" t="str">
        <f t="shared" si="188"/>
        <v>Low Sales</v>
      </c>
      <c r="J2379" t="str">
        <f t="shared" si="189"/>
        <v>Average Performance</v>
      </c>
      <c r="K2379">
        <f t="shared" si="190"/>
        <v>2005</v>
      </c>
      <c r="L2379" t="str">
        <f t="shared" si="191"/>
        <v>May</v>
      </c>
    </row>
    <row r="2380" spans="1:12" x14ac:dyDescent="0.25">
      <c r="A2380" t="s">
        <v>140</v>
      </c>
      <c r="B2380" t="s">
        <v>258</v>
      </c>
      <c r="C2380" t="s">
        <v>263</v>
      </c>
      <c r="D2380" t="str">
        <f t="shared" si="187"/>
        <v>Trucks And Buses</v>
      </c>
      <c r="E2380" t="s">
        <v>360</v>
      </c>
      <c r="F2380" s="5">
        <v>3705.24</v>
      </c>
      <c r="G2380" s="5">
        <v>741.048</v>
      </c>
      <c r="I2380" t="str">
        <f t="shared" si="188"/>
        <v>Low Sales</v>
      </c>
      <c r="J2380" t="str">
        <f t="shared" si="189"/>
        <v>Average Performance</v>
      </c>
      <c r="K2380">
        <f t="shared" si="190"/>
        <v>2003</v>
      </c>
      <c r="L2380" t="str">
        <f t="shared" si="191"/>
        <v>January</v>
      </c>
    </row>
    <row r="2381" spans="1:12" x14ac:dyDescent="0.25">
      <c r="A2381" t="s">
        <v>149</v>
      </c>
      <c r="C2381" t="s">
        <v>263</v>
      </c>
      <c r="D2381" t="str">
        <f t="shared" si="187"/>
        <v>Trucks And Buses</v>
      </c>
      <c r="E2381" t="s">
        <v>360</v>
      </c>
      <c r="F2381" s="5">
        <v>2843.91</v>
      </c>
      <c r="G2381" s="5">
        <v>568.78200000000004</v>
      </c>
      <c r="I2381" t="str">
        <f t="shared" si="188"/>
        <v>Low Sales</v>
      </c>
      <c r="J2381" t="str">
        <f t="shared" si="189"/>
        <v>Average Performance</v>
      </c>
      <c r="K2381">
        <f t="shared" si="190"/>
        <v>2003</v>
      </c>
      <c r="L2381" t="str">
        <f t="shared" si="191"/>
        <v>April</v>
      </c>
    </row>
    <row r="2382" spans="1:12" x14ac:dyDescent="0.25">
      <c r="A2382" t="s">
        <v>124</v>
      </c>
      <c r="C2382" t="s">
        <v>263</v>
      </c>
      <c r="D2382" t="str">
        <f t="shared" si="187"/>
        <v>Trucks And Buses</v>
      </c>
      <c r="E2382" t="s">
        <v>360</v>
      </c>
      <c r="F2382" s="5">
        <v>6176.42</v>
      </c>
      <c r="G2382" s="5">
        <v>1235.2840000000001</v>
      </c>
      <c r="I2382" t="str">
        <f t="shared" si="188"/>
        <v>Low Sales</v>
      </c>
      <c r="J2382" t="str">
        <f t="shared" si="189"/>
        <v>Average Performance</v>
      </c>
      <c r="K2382">
        <f t="shared" si="190"/>
        <v>2003</v>
      </c>
      <c r="L2382" t="str">
        <f t="shared" si="191"/>
        <v>June</v>
      </c>
    </row>
    <row r="2383" spans="1:12" x14ac:dyDescent="0.25">
      <c r="A2383" t="s">
        <v>150</v>
      </c>
      <c r="B2383" t="s">
        <v>258</v>
      </c>
      <c r="C2383" t="s">
        <v>263</v>
      </c>
      <c r="D2383" t="str">
        <f t="shared" si="187"/>
        <v>Trucks And Buses</v>
      </c>
      <c r="E2383" t="s">
        <v>360</v>
      </c>
      <c r="F2383" s="5">
        <v>5500.44</v>
      </c>
      <c r="G2383" s="5">
        <v>1100.088</v>
      </c>
      <c r="I2383" t="str">
        <f t="shared" si="188"/>
        <v>Low Sales</v>
      </c>
      <c r="J2383" t="str">
        <f t="shared" si="189"/>
        <v>Average Performance</v>
      </c>
      <c r="K2383">
        <f t="shared" si="190"/>
        <v>2003</v>
      </c>
      <c r="L2383" t="str">
        <f t="shared" si="191"/>
        <v>August</v>
      </c>
    </row>
    <row r="2384" spans="1:12" x14ac:dyDescent="0.25">
      <c r="A2384" t="s">
        <v>151</v>
      </c>
      <c r="B2384" t="s">
        <v>258</v>
      </c>
      <c r="C2384" t="s">
        <v>263</v>
      </c>
      <c r="D2384" t="str">
        <f t="shared" si="187"/>
        <v>Trucks And Buses</v>
      </c>
      <c r="E2384" t="s">
        <v>360</v>
      </c>
      <c r="F2384" s="5">
        <v>3220.1</v>
      </c>
      <c r="G2384" s="5">
        <v>644.02</v>
      </c>
      <c r="I2384" t="str">
        <f t="shared" si="188"/>
        <v>Low Sales</v>
      </c>
      <c r="J2384" t="str">
        <f t="shared" si="189"/>
        <v>Average Performance</v>
      </c>
      <c r="K2384">
        <f t="shared" si="190"/>
        <v>2003</v>
      </c>
      <c r="L2384" t="str">
        <f t="shared" si="191"/>
        <v>September</v>
      </c>
    </row>
    <row r="2385" spans="1:12" x14ac:dyDescent="0.25">
      <c r="A2385" t="s">
        <v>127</v>
      </c>
      <c r="B2385" t="s">
        <v>260</v>
      </c>
      <c r="C2385" t="s">
        <v>263</v>
      </c>
      <c r="D2385" t="str">
        <f t="shared" si="187"/>
        <v>Trucks And Buses</v>
      </c>
      <c r="E2385" t="s">
        <v>360</v>
      </c>
      <c r="F2385" s="5">
        <v>4556.16</v>
      </c>
      <c r="G2385" s="5">
        <v>911.23199999999997</v>
      </c>
      <c r="I2385" t="str">
        <f t="shared" si="188"/>
        <v>Low Sales</v>
      </c>
      <c r="J2385" t="str">
        <f t="shared" si="189"/>
        <v>Average Performance</v>
      </c>
      <c r="K2385">
        <f t="shared" si="190"/>
        <v>2003</v>
      </c>
      <c r="L2385" t="str">
        <f t="shared" si="191"/>
        <v>October</v>
      </c>
    </row>
    <row r="2386" spans="1:12" x14ac:dyDescent="0.25">
      <c r="A2386" t="s">
        <v>38</v>
      </c>
      <c r="B2386" t="s">
        <v>258</v>
      </c>
      <c r="C2386" t="s">
        <v>263</v>
      </c>
      <c r="D2386" t="str">
        <f t="shared" ref="D2386:D2449" si="192">PROPER(TRIM(C2386))</f>
        <v>Trucks And Buses</v>
      </c>
      <c r="E2386" t="s">
        <v>360</v>
      </c>
      <c r="F2386" s="5">
        <v>3114.89</v>
      </c>
      <c r="G2386" s="5">
        <v>622.97800000000007</v>
      </c>
      <c r="I2386" t="str">
        <f t="shared" si="188"/>
        <v>Low Sales</v>
      </c>
      <c r="J2386" t="str">
        <f t="shared" si="189"/>
        <v>Average Performance</v>
      </c>
      <c r="K2386">
        <f t="shared" si="190"/>
        <v>2003</v>
      </c>
      <c r="L2386" t="str">
        <f t="shared" si="191"/>
        <v>November</v>
      </c>
    </row>
    <row r="2387" spans="1:12" x14ac:dyDescent="0.25">
      <c r="A2387" t="s">
        <v>75</v>
      </c>
      <c r="B2387" t="s">
        <v>258</v>
      </c>
      <c r="C2387" t="s">
        <v>263</v>
      </c>
      <c r="D2387" t="str">
        <f t="shared" si="192"/>
        <v>Trucks And Buses</v>
      </c>
      <c r="E2387" t="s">
        <v>360</v>
      </c>
      <c r="F2387" s="5">
        <v>4948.2</v>
      </c>
      <c r="G2387" s="5">
        <v>989.64</v>
      </c>
      <c r="I2387" t="str">
        <f t="shared" si="188"/>
        <v>Low Sales</v>
      </c>
      <c r="J2387" t="str">
        <f t="shared" si="189"/>
        <v>Average Performance</v>
      </c>
      <c r="K2387">
        <f t="shared" si="190"/>
        <v>2003</v>
      </c>
      <c r="L2387" t="str">
        <f t="shared" si="191"/>
        <v>November</v>
      </c>
    </row>
    <row r="2388" spans="1:12" x14ac:dyDescent="0.25">
      <c r="A2388" t="s">
        <v>40</v>
      </c>
      <c r="C2388" t="s">
        <v>263</v>
      </c>
      <c r="D2388" t="str">
        <f t="shared" si="192"/>
        <v>Trucks And Buses</v>
      </c>
      <c r="E2388" t="s">
        <v>360</v>
      </c>
      <c r="F2388" s="5">
        <v>5161.17</v>
      </c>
      <c r="G2388" s="5">
        <v>1032.2339999999999</v>
      </c>
      <c r="I2388" t="str">
        <f t="shared" si="188"/>
        <v>Low Sales</v>
      </c>
      <c r="J2388" t="str">
        <f t="shared" si="189"/>
        <v>Average Performance</v>
      </c>
      <c r="K2388">
        <f t="shared" si="190"/>
        <v>2003</v>
      </c>
      <c r="L2388" t="str">
        <f t="shared" si="191"/>
        <v>November</v>
      </c>
    </row>
    <row r="2389" spans="1:12" x14ac:dyDescent="0.25">
      <c r="A2389" t="s">
        <v>97</v>
      </c>
      <c r="C2389" t="s">
        <v>263</v>
      </c>
      <c r="D2389" t="str">
        <f t="shared" si="192"/>
        <v>Trucks And Buses</v>
      </c>
      <c r="E2389" t="s">
        <v>360</v>
      </c>
      <c r="F2389" s="5">
        <v>2657.76</v>
      </c>
      <c r="G2389" s="5">
        <v>531.55200000000002</v>
      </c>
      <c r="I2389" t="str">
        <f t="shared" si="188"/>
        <v>Low Sales</v>
      </c>
      <c r="J2389" t="str">
        <f t="shared" si="189"/>
        <v>Average Performance</v>
      </c>
      <c r="K2389">
        <f t="shared" si="190"/>
        <v>2003</v>
      </c>
      <c r="L2389" t="str">
        <f t="shared" si="191"/>
        <v>December</v>
      </c>
    </row>
    <row r="2390" spans="1:12" x14ac:dyDescent="0.25">
      <c r="A2390" t="s">
        <v>129</v>
      </c>
      <c r="B2390" t="s">
        <v>258</v>
      </c>
      <c r="C2390" t="s">
        <v>263</v>
      </c>
      <c r="D2390" t="str">
        <f t="shared" si="192"/>
        <v>Trucks And Buses</v>
      </c>
      <c r="E2390" t="s">
        <v>360</v>
      </c>
      <c r="F2390" s="5">
        <v>3983.05</v>
      </c>
      <c r="G2390" s="5">
        <v>796.61000000000013</v>
      </c>
      <c r="I2390" t="str">
        <f t="shared" si="188"/>
        <v>Low Sales</v>
      </c>
      <c r="J2390" t="str">
        <f t="shared" si="189"/>
        <v>Average Performance</v>
      </c>
      <c r="K2390">
        <f t="shared" si="190"/>
        <v>2004</v>
      </c>
      <c r="L2390" t="str">
        <f t="shared" si="191"/>
        <v>February</v>
      </c>
    </row>
    <row r="2391" spans="1:12" x14ac:dyDescent="0.25">
      <c r="A2391" t="s">
        <v>141</v>
      </c>
      <c r="B2391" t="s">
        <v>258</v>
      </c>
      <c r="C2391" t="s">
        <v>263</v>
      </c>
      <c r="D2391" t="str">
        <f t="shared" si="192"/>
        <v>Trucks And Buses</v>
      </c>
      <c r="E2391" t="s">
        <v>360</v>
      </c>
      <c r="F2391" s="5">
        <v>3974.94</v>
      </c>
      <c r="G2391" s="5">
        <v>794.98800000000006</v>
      </c>
      <c r="I2391" t="str">
        <f t="shared" si="188"/>
        <v>Low Sales</v>
      </c>
      <c r="J2391" t="str">
        <f t="shared" si="189"/>
        <v>Average Performance</v>
      </c>
      <c r="K2391">
        <f t="shared" si="190"/>
        <v>2004</v>
      </c>
      <c r="L2391" t="str">
        <f t="shared" si="191"/>
        <v>March</v>
      </c>
    </row>
    <row r="2392" spans="1:12" x14ac:dyDescent="0.25">
      <c r="A2392" t="s">
        <v>131</v>
      </c>
      <c r="B2392" t="s">
        <v>258</v>
      </c>
      <c r="C2392" t="s">
        <v>263</v>
      </c>
      <c r="D2392" t="str">
        <f t="shared" si="192"/>
        <v>Trucks And Buses</v>
      </c>
      <c r="E2392" t="s">
        <v>360</v>
      </c>
      <c r="F2392" s="5">
        <v>2928.42</v>
      </c>
      <c r="G2392" s="5">
        <v>585.68400000000008</v>
      </c>
      <c r="I2392" t="str">
        <f t="shared" si="188"/>
        <v>Low Sales</v>
      </c>
      <c r="J2392" t="str">
        <f t="shared" si="189"/>
        <v>Average Performance</v>
      </c>
      <c r="K2392">
        <f t="shared" si="190"/>
        <v>2004</v>
      </c>
      <c r="L2392" t="str">
        <f t="shared" si="191"/>
        <v>May</v>
      </c>
    </row>
    <row r="2393" spans="1:12" x14ac:dyDescent="0.25">
      <c r="A2393" t="s">
        <v>45</v>
      </c>
      <c r="B2393" t="s">
        <v>259</v>
      </c>
      <c r="C2393" t="s">
        <v>263</v>
      </c>
      <c r="D2393" t="str">
        <f t="shared" si="192"/>
        <v>Trucks And Buses</v>
      </c>
      <c r="E2393" t="s">
        <v>360</v>
      </c>
      <c r="F2393" s="5">
        <v>3054.57</v>
      </c>
      <c r="G2393" s="5">
        <v>610.9140000000001</v>
      </c>
      <c r="I2393" t="str">
        <f t="shared" si="188"/>
        <v>Low Sales</v>
      </c>
      <c r="J2393" t="str">
        <f t="shared" si="189"/>
        <v>Average Performance</v>
      </c>
      <c r="K2393">
        <f t="shared" si="190"/>
        <v>2004</v>
      </c>
      <c r="L2393" t="str">
        <f t="shared" si="191"/>
        <v>June</v>
      </c>
    </row>
    <row r="2394" spans="1:12" x14ac:dyDescent="0.25">
      <c r="A2394" t="s">
        <v>132</v>
      </c>
      <c r="C2394" t="s">
        <v>263</v>
      </c>
      <c r="D2394" t="str">
        <f t="shared" si="192"/>
        <v>Trucks And Buses</v>
      </c>
      <c r="E2394" t="s">
        <v>360</v>
      </c>
      <c r="F2394" s="5">
        <v>3345.26</v>
      </c>
      <c r="G2394" s="5">
        <v>669.05200000000013</v>
      </c>
      <c r="I2394" t="str">
        <f t="shared" si="188"/>
        <v>Low Sales</v>
      </c>
      <c r="J2394" t="str">
        <f t="shared" si="189"/>
        <v>Average Performance</v>
      </c>
      <c r="K2394">
        <f t="shared" si="190"/>
        <v>2004</v>
      </c>
      <c r="L2394" t="str">
        <f t="shared" si="191"/>
        <v>July</v>
      </c>
    </row>
    <row r="2395" spans="1:12" x14ac:dyDescent="0.25">
      <c r="A2395" t="s">
        <v>82</v>
      </c>
      <c r="C2395" t="s">
        <v>263</v>
      </c>
      <c r="D2395" t="str">
        <f t="shared" si="192"/>
        <v>Trucks And Buses</v>
      </c>
      <c r="E2395" t="s">
        <v>360</v>
      </c>
      <c r="F2395" s="5">
        <v>4310.72</v>
      </c>
      <c r="G2395" s="5">
        <v>862.14400000000012</v>
      </c>
      <c r="I2395" t="str">
        <f t="shared" si="188"/>
        <v>Low Sales</v>
      </c>
      <c r="J2395" t="str">
        <f t="shared" si="189"/>
        <v>Average Performance</v>
      </c>
      <c r="K2395">
        <f t="shared" si="190"/>
        <v>2004</v>
      </c>
      <c r="L2395" t="str">
        <f t="shared" si="191"/>
        <v>August</v>
      </c>
    </row>
    <row r="2396" spans="1:12" x14ac:dyDescent="0.25">
      <c r="A2396" t="s">
        <v>48</v>
      </c>
      <c r="C2396" t="s">
        <v>263</v>
      </c>
      <c r="D2396" t="str">
        <f t="shared" si="192"/>
        <v>Trucks And Buses</v>
      </c>
      <c r="E2396" t="s">
        <v>360</v>
      </c>
      <c r="F2396" s="5">
        <v>4983.1400000000003</v>
      </c>
      <c r="G2396" s="5">
        <v>996.62800000000016</v>
      </c>
      <c r="I2396" t="str">
        <f t="shared" si="188"/>
        <v>Low Sales</v>
      </c>
      <c r="J2396" t="str">
        <f t="shared" si="189"/>
        <v>Average Performance</v>
      </c>
      <c r="K2396">
        <f t="shared" si="190"/>
        <v>2004</v>
      </c>
      <c r="L2396" t="str">
        <f t="shared" si="191"/>
        <v>September</v>
      </c>
    </row>
    <row r="2397" spans="1:12" x14ac:dyDescent="0.25">
      <c r="A2397" t="s">
        <v>101</v>
      </c>
      <c r="C2397" t="s">
        <v>263</v>
      </c>
      <c r="D2397" t="str">
        <f t="shared" si="192"/>
        <v>Trucks And Buses</v>
      </c>
      <c r="E2397" t="s">
        <v>360</v>
      </c>
      <c r="F2397" s="5">
        <v>4618.32</v>
      </c>
      <c r="G2397" s="5">
        <v>923.66399999999999</v>
      </c>
      <c r="I2397" t="str">
        <f t="shared" si="188"/>
        <v>Low Sales</v>
      </c>
      <c r="J2397" t="str">
        <f t="shared" si="189"/>
        <v>Average Performance</v>
      </c>
      <c r="K2397">
        <f t="shared" si="190"/>
        <v>2004</v>
      </c>
      <c r="L2397" t="str">
        <f t="shared" si="191"/>
        <v>October</v>
      </c>
    </row>
    <row r="2398" spans="1:12" x14ac:dyDescent="0.25">
      <c r="A2398" t="s">
        <v>102</v>
      </c>
      <c r="B2398" t="s">
        <v>258</v>
      </c>
      <c r="C2398" t="s">
        <v>263</v>
      </c>
      <c r="D2398" t="str">
        <f t="shared" si="192"/>
        <v>Trucks And Buses</v>
      </c>
      <c r="E2398" t="s">
        <v>360</v>
      </c>
      <c r="F2398" s="5">
        <v>3403.12</v>
      </c>
      <c r="G2398" s="5">
        <v>680.62400000000002</v>
      </c>
      <c r="I2398" t="str">
        <f t="shared" si="188"/>
        <v>Low Sales</v>
      </c>
      <c r="J2398" t="str">
        <f t="shared" si="189"/>
        <v>Average Performance</v>
      </c>
      <c r="K2398">
        <f t="shared" si="190"/>
        <v>2004</v>
      </c>
      <c r="L2398" t="str">
        <f t="shared" si="191"/>
        <v>October</v>
      </c>
    </row>
    <row r="2399" spans="1:12" x14ac:dyDescent="0.25">
      <c r="A2399" t="s">
        <v>86</v>
      </c>
      <c r="B2399" t="s">
        <v>258</v>
      </c>
      <c r="C2399" t="s">
        <v>263</v>
      </c>
      <c r="D2399" t="str">
        <f t="shared" si="192"/>
        <v>Trucks And Buses</v>
      </c>
      <c r="E2399" t="s">
        <v>360</v>
      </c>
      <c r="F2399" s="5">
        <v>5190.42</v>
      </c>
      <c r="G2399" s="5">
        <v>1038.0840000000001</v>
      </c>
      <c r="I2399" t="str">
        <f t="shared" si="188"/>
        <v>Low Sales</v>
      </c>
      <c r="J2399" t="str">
        <f t="shared" si="189"/>
        <v>Average Performance</v>
      </c>
      <c r="K2399">
        <f t="shared" si="190"/>
        <v>2004</v>
      </c>
      <c r="L2399" t="str">
        <f t="shared" si="191"/>
        <v>November</v>
      </c>
    </row>
    <row r="2400" spans="1:12" x14ac:dyDescent="0.25">
      <c r="A2400" t="s">
        <v>134</v>
      </c>
      <c r="B2400" t="s">
        <v>258</v>
      </c>
      <c r="C2400" t="s">
        <v>263</v>
      </c>
      <c r="D2400" t="str">
        <f t="shared" si="192"/>
        <v>Trucks And Buses</v>
      </c>
      <c r="E2400" t="s">
        <v>360</v>
      </c>
      <c r="F2400" s="5">
        <v>3141.57</v>
      </c>
      <c r="G2400" s="5">
        <v>628.31400000000008</v>
      </c>
      <c r="I2400" t="str">
        <f t="shared" si="188"/>
        <v>Low Sales</v>
      </c>
      <c r="J2400" t="str">
        <f t="shared" si="189"/>
        <v>Average Performance</v>
      </c>
      <c r="K2400">
        <f t="shared" si="190"/>
        <v>2004</v>
      </c>
      <c r="L2400" t="str">
        <f t="shared" si="191"/>
        <v>November</v>
      </c>
    </row>
    <row r="2401" spans="1:12" x14ac:dyDescent="0.25">
      <c r="A2401" t="s">
        <v>88</v>
      </c>
      <c r="B2401" t="s">
        <v>258</v>
      </c>
      <c r="C2401" t="s">
        <v>263</v>
      </c>
      <c r="D2401" t="str">
        <f t="shared" si="192"/>
        <v>Trucks And Buses</v>
      </c>
      <c r="E2401" t="s">
        <v>360</v>
      </c>
      <c r="F2401" s="5">
        <v>2213.4</v>
      </c>
      <c r="G2401" s="5">
        <v>442.68000000000012</v>
      </c>
      <c r="I2401" t="str">
        <f t="shared" si="188"/>
        <v>Low Sales</v>
      </c>
      <c r="J2401" t="str">
        <f t="shared" si="189"/>
        <v>Average Performance</v>
      </c>
      <c r="K2401">
        <f t="shared" si="190"/>
        <v>2004</v>
      </c>
      <c r="L2401" t="str">
        <f t="shared" si="191"/>
        <v>December</v>
      </c>
    </row>
    <row r="2402" spans="1:12" x14ac:dyDescent="0.25">
      <c r="A2402" t="s">
        <v>89</v>
      </c>
      <c r="B2402" t="s">
        <v>258</v>
      </c>
      <c r="C2402" t="s">
        <v>263</v>
      </c>
      <c r="D2402" t="str">
        <f t="shared" si="192"/>
        <v>Trucks And Buses</v>
      </c>
      <c r="E2402" t="s">
        <v>360</v>
      </c>
      <c r="F2402" s="5">
        <v>4896.7</v>
      </c>
      <c r="G2402" s="5">
        <v>979.34</v>
      </c>
      <c r="I2402" t="str">
        <f t="shared" si="188"/>
        <v>Low Sales</v>
      </c>
      <c r="J2402" t="str">
        <f t="shared" si="189"/>
        <v>Average Performance</v>
      </c>
      <c r="K2402">
        <f t="shared" si="190"/>
        <v>2004</v>
      </c>
      <c r="L2402" t="str">
        <f t="shared" si="191"/>
        <v>December</v>
      </c>
    </row>
    <row r="2403" spans="1:12" x14ac:dyDescent="0.25">
      <c r="A2403" t="s">
        <v>135</v>
      </c>
      <c r="C2403" t="s">
        <v>263</v>
      </c>
      <c r="D2403" t="str">
        <f t="shared" si="192"/>
        <v>Trucks And Buses</v>
      </c>
      <c r="E2403" t="s">
        <v>360</v>
      </c>
      <c r="F2403" s="5">
        <v>2714.4</v>
      </c>
      <c r="G2403" s="5">
        <v>542.88</v>
      </c>
      <c r="I2403" t="str">
        <f t="shared" si="188"/>
        <v>Low Sales</v>
      </c>
      <c r="J2403" t="str">
        <f t="shared" si="189"/>
        <v>Average Performance</v>
      </c>
      <c r="K2403">
        <f t="shared" si="190"/>
        <v>2005</v>
      </c>
      <c r="L2403" t="str">
        <f t="shared" si="191"/>
        <v>January</v>
      </c>
    </row>
    <row r="2404" spans="1:12" x14ac:dyDescent="0.25">
      <c r="A2404" t="s">
        <v>211</v>
      </c>
      <c r="B2404" t="s">
        <v>258</v>
      </c>
      <c r="C2404" t="s">
        <v>263</v>
      </c>
      <c r="D2404" t="str">
        <f t="shared" si="192"/>
        <v>Trucks And Buses</v>
      </c>
      <c r="E2404" t="s">
        <v>360</v>
      </c>
      <c r="F2404" s="5">
        <v>3087.05</v>
      </c>
      <c r="G2404" s="5">
        <v>617.41000000000008</v>
      </c>
      <c r="I2404" t="str">
        <f t="shared" si="188"/>
        <v>Low Sales</v>
      </c>
      <c r="J2404" t="str">
        <f t="shared" si="189"/>
        <v>Average Performance</v>
      </c>
      <c r="K2404">
        <f t="shared" si="190"/>
        <v>2005</v>
      </c>
      <c r="L2404" t="str">
        <f t="shared" si="191"/>
        <v>February</v>
      </c>
    </row>
    <row r="2405" spans="1:12" x14ac:dyDescent="0.25">
      <c r="A2405" t="s">
        <v>92</v>
      </c>
      <c r="B2405" t="s">
        <v>258</v>
      </c>
      <c r="C2405" t="s">
        <v>263</v>
      </c>
      <c r="D2405" t="str">
        <f t="shared" si="192"/>
        <v>Trucks And Buses</v>
      </c>
      <c r="E2405" t="s">
        <v>360</v>
      </c>
      <c r="F2405" s="5">
        <v>5692.96</v>
      </c>
      <c r="G2405" s="5">
        <v>1138.5920000000001</v>
      </c>
      <c r="I2405" t="str">
        <f t="shared" si="188"/>
        <v>Low Sales</v>
      </c>
      <c r="J2405" t="str">
        <f t="shared" si="189"/>
        <v>Average Performance</v>
      </c>
      <c r="K2405">
        <f t="shared" si="190"/>
        <v>2005</v>
      </c>
      <c r="L2405" t="str">
        <f t="shared" si="191"/>
        <v>March</v>
      </c>
    </row>
    <row r="2406" spans="1:12" x14ac:dyDescent="0.25">
      <c r="A2406" t="s">
        <v>153</v>
      </c>
      <c r="B2406" t="s">
        <v>258</v>
      </c>
      <c r="C2406" t="s">
        <v>263</v>
      </c>
      <c r="D2406" t="str">
        <f t="shared" si="192"/>
        <v>Trucks And Buses</v>
      </c>
      <c r="E2406" t="s">
        <v>360</v>
      </c>
      <c r="F2406" s="5">
        <v>3460.86</v>
      </c>
      <c r="G2406" s="5">
        <v>692.17200000000003</v>
      </c>
      <c r="I2406" t="str">
        <f t="shared" si="188"/>
        <v>Low Sales</v>
      </c>
      <c r="J2406" t="str">
        <f t="shared" si="189"/>
        <v>Average Performance</v>
      </c>
      <c r="K2406">
        <f t="shared" si="190"/>
        <v>2005</v>
      </c>
      <c r="L2406" t="str">
        <f t="shared" si="191"/>
        <v>May</v>
      </c>
    </row>
    <row r="2407" spans="1:12" x14ac:dyDescent="0.25">
      <c r="A2407" t="s">
        <v>59</v>
      </c>
      <c r="B2407" t="s">
        <v>258</v>
      </c>
      <c r="C2407" t="s">
        <v>263</v>
      </c>
      <c r="D2407" t="str">
        <f t="shared" si="192"/>
        <v>Trucks And Buses</v>
      </c>
      <c r="E2407" t="s">
        <v>360</v>
      </c>
      <c r="F2407" s="5">
        <v>1895.94</v>
      </c>
      <c r="G2407" s="5">
        <v>379.18799999999999</v>
      </c>
      <c r="I2407" t="str">
        <f t="shared" si="188"/>
        <v>Low Sales</v>
      </c>
      <c r="J2407" t="str">
        <f t="shared" si="189"/>
        <v>Average Performance</v>
      </c>
      <c r="K2407">
        <f t="shared" si="190"/>
        <v>2005</v>
      </c>
      <c r="L2407" t="str">
        <f t="shared" si="191"/>
        <v>May</v>
      </c>
    </row>
    <row r="2408" spans="1:12" x14ac:dyDescent="0.25">
      <c r="A2408" t="s">
        <v>140</v>
      </c>
      <c r="B2408" t="s">
        <v>258</v>
      </c>
      <c r="C2408" t="s">
        <v>267</v>
      </c>
      <c r="D2408" t="str">
        <f t="shared" si="192"/>
        <v>Trains</v>
      </c>
      <c r="E2408" t="s">
        <v>361</v>
      </c>
      <c r="F2408" s="5">
        <v>1705.92</v>
      </c>
      <c r="G2408" s="5">
        <v>341.18400000000003</v>
      </c>
      <c r="I2408" t="str">
        <f t="shared" si="188"/>
        <v>Low Sales</v>
      </c>
      <c r="J2408" t="str">
        <f t="shared" si="189"/>
        <v>Average Performance</v>
      </c>
      <c r="K2408">
        <f t="shared" si="190"/>
        <v>2003</v>
      </c>
      <c r="L2408" t="str">
        <f t="shared" si="191"/>
        <v>January</v>
      </c>
    </row>
    <row r="2409" spans="1:12" x14ac:dyDescent="0.25">
      <c r="A2409" t="s">
        <v>123</v>
      </c>
      <c r="B2409" t="s">
        <v>260</v>
      </c>
      <c r="C2409" t="s">
        <v>267</v>
      </c>
      <c r="D2409" t="str">
        <f t="shared" si="192"/>
        <v>Trains</v>
      </c>
      <c r="E2409" t="s">
        <v>361</v>
      </c>
      <c r="F2409" s="5">
        <v>1033.4100000000001</v>
      </c>
      <c r="G2409" s="5">
        <v>206.68199999999999</v>
      </c>
      <c r="I2409" t="str">
        <f t="shared" si="188"/>
        <v>Low Sales</v>
      </c>
      <c r="J2409" t="str">
        <f t="shared" si="189"/>
        <v>Average Performance</v>
      </c>
      <c r="K2409">
        <f t="shared" si="190"/>
        <v>2003</v>
      </c>
      <c r="L2409" t="str">
        <f t="shared" si="191"/>
        <v>April</v>
      </c>
    </row>
    <row r="2410" spans="1:12" x14ac:dyDescent="0.25">
      <c r="A2410" t="s">
        <v>124</v>
      </c>
      <c r="C2410" t="s">
        <v>267</v>
      </c>
      <c r="D2410" t="str">
        <f t="shared" si="192"/>
        <v>Trains</v>
      </c>
      <c r="E2410" t="s">
        <v>361</v>
      </c>
      <c r="F2410" s="5">
        <v>3179.52</v>
      </c>
      <c r="G2410" s="5">
        <v>635.904</v>
      </c>
      <c r="I2410" t="str">
        <f t="shared" si="188"/>
        <v>Low Sales</v>
      </c>
      <c r="J2410" t="str">
        <f t="shared" si="189"/>
        <v>Average Performance</v>
      </c>
      <c r="K2410">
        <f t="shared" si="190"/>
        <v>2003</v>
      </c>
      <c r="L2410" t="str">
        <f t="shared" si="191"/>
        <v>June</v>
      </c>
    </row>
    <row r="2411" spans="1:12" x14ac:dyDescent="0.25">
      <c r="A2411" t="s">
        <v>125</v>
      </c>
      <c r="C2411" t="s">
        <v>267</v>
      </c>
      <c r="D2411" t="str">
        <f t="shared" si="192"/>
        <v>Trains</v>
      </c>
      <c r="E2411" t="s">
        <v>361</v>
      </c>
      <c r="F2411" s="5">
        <v>2091.1799999999998</v>
      </c>
      <c r="G2411" s="5">
        <v>418.23599999999999</v>
      </c>
      <c r="I2411" t="str">
        <f t="shared" si="188"/>
        <v>Low Sales</v>
      </c>
      <c r="J2411" t="str">
        <f t="shared" si="189"/>
        <v>Average Performance</v>
      </c>
      <c r="K2411">
        <f t="shared" si="190"/>
        <v>2003</v>
      </c>
      <c r="L2411" t="str">
        <f t="shared" si="191"/>
        <v>August</v>
      </c>
    </row>
    <row r="2412" spans="1:12" x14ac:dyDescent="0.25">
      <c r="A2412" t="s">
        <v>126</v>
      </c>
      <c r="B2412" t="s">
        <v>258</v>
      </c>
      <c r="C2412" t="s">
        <v>267</v>
      </c>
      <c r="D2412" t="str">
        <f t="shared" si="192"/>
        <v>Trains</v>
      </c>
      <c r="E2412" t="s">
        <v>361</v>
      </c>
      <c r="F2412" s="5">
        <v>1779.71</v>
      </c>
      <c r="G2412" s="5">
        <v>355.94200000000001</v>
      </c>
      <c r="I2412" t="str">
        <f t="shared" si="188"/>
        <v>Low Sales</v>
      </c>
      <c r="J2412" t="str">
        <f t="shared" si="189"/>
        <v>Average Performance</v>
      </c>
      <c r="K2412">
        <f t="shared" si="190"/>
        <v>2003</v>
      </c>
      <c r="L2412" t="str">
        <f t="shared" si="191"/>
        <v>September</v>
      </c>
    </row>
    <row r="2413" spans="1:12" x14ac:dyDescent="0.25">
      <c r="A2413" t="s">
        <v>127</v>
      </c>
      <c r="B2413" t="s">
        <v>260</v>
      </c>
      <c r="C2413" t="s">
        <v>267</v>
      </c>
      <c r="D2413" t="str">
        <f t="shared" si="192"/>
        <v>Trains</v>
      </c>
      <c r="E2413" t="s">
        <v>361</v>
      </c>
      <c r="F2413" s="5">
        <v>2537.64</v>
      </c>
      <c r="G2413" s="5">
        <v>507.52800000000002</v>
      </c>
      <c r="I2413" t="str">
        <f t="shared" si="188"/>
        <v>Low Sales</v>
      </c>
      <c r="J2413" t="str">
        <f t="shared" si="189"/>
        <v>Average Performance</v>
      </c>
      <c r="K2413">
        <f t="shared" si="190"/>
        <v>2003</v>
      </c>
      <c r="L2413" t="str">
        <f t="shared" si="191"/>
        <v>October</v>
      </c>
    </row>
    <row r="2414" spans="1:12" x14ac:dyDescent="0.25">
      <c r="A2414" t="s">
        <v>38</v>
      </c>
      <c r="B2414" t="s">
        <v>258</v>
      </c>
      <c r="C2414" t="s">
        <v>267</v>
      </c>
      <c r="D2414" t="str">
        <f t="shared" si="192"/>
        <v>Trains</v>
      </c>
      <c r="E2414" t="s">
        <v>361</v>
      </c>
      <c r="F2414" s="5">
        <v>2448.7199999999998</v>
      </c>
      <c r="G2414" s="5">
        <v>489.74400000000003</v>
      </c>
      <c r="I2414" t="str">
        <f t="shared" si="188"/>
        <v>Low Sales</v>
      </c>
      <c r="J2414" t="str">
        <f t="shared" si="189"/>
        <v>Average Performance</v>
      </c>
      <c r="K2414">
        <f t="shared" si="190"/>
        <v>2003</v>
      </c>
      <c r="L2414" t="str">
        <f t="shared" si="191"/>
        <v>November</v>
      </c>
    </row>
    <row r="2415" spans="1:12" x14ac:dyDescent="0.25">
      <c r="A2415" t="s">
        <v>75</v>
      </c>
      <c r="C2415" t="s">
        <v>267</v>
      </c>
      <c r="D2415" t="str">
        <f t="shared" si="192"/>
        <v>Trains</v>
      </c>
      <c r="E2415" t="s">
        <v>361</v>
      </c>
      <c r="F2415" s="5">
        <v>972.4</v>
      </c>
      <c r="G2415" s="5">
        <v>194.48</v>
      </c>
      <c r="I2415" t="str">
        <f t="shared" si="188"/>
        <v>Low Sales</v>
      </c>
      <c r="J2415" t="str">
        <f t="shared" si="189"/>
        <v>Average Performance</v>
      </c>
      <c r="K2415">
        <f t="shared" si="190"/>
        <v>2003</v>
      </c>
      <c r="L2415" t="str">
        <f t="shared" si="191"/>
        <v>November</v>
      </c>
    </row>
    <row r="2416" spans="1:12" x14ac:dyDescent="0.25">
      <c r="A2416" t="s">
        <v>76</v>
      </c>
      <c r="C2416" t="s">
        <v>267</v>
      </c>
      <c r="D2416" t="str">
        <f t="shared" si="192"/>
        <v>Trains</v>
      </c>
      <c r="E2416" t="s">
        <v>361</v>
      </c>
      <c r="F2416" s="5">
        <v>2856.14</v>
      </c>
      <c r="G2416" s="5">
        <v>571.22799999999995</v>
      </c>
      <c r="I2416" t="str">
        <f t="shared" si="188"/>
        <v>Low Sales</v>
      </c>
      <c r="J2416" t="str">
        <f t="shared" si="189"/>
        <v>Average Performance</v>
      </c>
      <c r="K2416">
        <f t="shared" si="190"/>
        <v>2003</v>
      </c>
      <c r="L2416" t="str">
        <f t="shared" si="191"/>
        <v>November</v>
      </c>
    </row>
    <row r="2417" spans="1:12" x14ac:dyDescent="0.25">
      <c r="A2417" t="s">
        <v>128</v>
      </c>
      <c r="B2417" t="s">
        <v>258</v>
      </c>
      <c r="C2417" t="s">
        <v>267</v>
      </c>
      <c r="D2417" t="str">
        <f t="shared" si="192"/>
        <v>Trains</v>
      </c>
      <c r="E2417" t="s">
        <v>361</v>
      </c>
      <c r="F2417" s="5">
        <v>1968.3</v>
      </c>
      <c r="G2417" s="5">
        <v>393.66</v>
      </c>
      <c r="I2417" t="str">
        <f t="shared" si="188"/>
        <v>Low Sales</v>
      </c>
      <c r="J2417" t="str">
        <f t="shared" si="189"/>
        <v>Average Performance</v>
      </c>
      <c r="K2417">
        <f t="shared" si="190"/>
        <v>2004</v>
      </c>
      <c r="L2417" t="str">
        <f t="shared" si="191"/>
        <v>January</v>
      </c>
    </row>
    <row r="2418" spans="1:12" x14ac:dyDescent="0.25">
      <c r="A2418" t="s">
        <v>129</v>
      </c>
      <c r="B2418" t="s">
        <v>258</v>
      </c>
      <c r="C2418" t="s">
        <v>267</v>
      </c>
      <c r="D2418" t="str">
        <f t="shared" si="192"/>
        <v>Trains</v>
      </c>
      <c r="E2418" t="s">
        <v>361</v>
      </c>
      <c r="F2418" s="5">
        <v>2056.1999999999998</v>
      </c>
      <c r="G2418" s="5">
        <v>411.24</v>
      </c>
      <c r="I2418" t="str">
        <f t="shared" si="188"/>
        <v>Low Sales</v>
      </c>
      <c r="J2418" t="str">
        <f t="shared" si="189"/>
        <v>Average Performance</v>
      </c>
      <c r="K2418">
        <f t="shared" si="190"/>
        <v>2004</v>
      </c>
      <c r="L2418" t="str">
        <f t="shared" si="191"/>
        <v>February</v>
      </c>
    </row>
    <row r="2419" spans="1:12" x14ac:dyDescent="0.25">
      <c r="A2419" t="s">
        <v>141</v>
      </c>
      <c r="B2419" t="s">
        <v>258</v>
      </c>
      <c r="C2419" t="s">
        <v>267</v>
      </c>
      <c r="D2419" t="str">
        <f t="shared" si="192"/>
        <v>Trains</v>
      </c>
      <c r="E2419" t="s">
        <v>361</v>
      </c>
      <c r="F2419" s="5">
        <v>2242.02</v>
      </c>
      <c r="G2419" s="5">
        <v>448.404</v>
      </c>
      <c r="I2419" t="str">
        <f t="shared" si="188"/>
        <v>Low Sales</v>
      </c>
      <c r="J2419" t="str">
        <f t="shared" si="189"/>
        <v>Average Performance</v>
      </c>
      <c r="K2419">
        <f t="shared" si="190"/>
        <v>2004</v>
      </c>
      <c r="L2419" t="str">
        <f t="shared" si="191"/>
        <v>March</v>
      </c>
    </row>
    <row r="2420" spans="1:12" x14ac:dyDescent="0.25">
      <c r="A2420" t="s">
        <v>131</v>
      </c>
      <c r="B2420" t="s">
        <v>258</v>
      </c>
      <c r="C2420" t="s">
        <v>267</v>
      </c>
      <c r="D2420" t="str">
        <f t="shared" si="192"/>
        <v>Trains</v>
      </c>
      <c r="E2420" t="s">
        <v>361</v>
      </c>
      <c r="F2420" s="5">
        <v>3128.65</v>
      </c>
      <c r="G2420" s="5">
        <v>625.73</v>
      </c>
      <c r="I2420" t="str">
        <f t="shared" si="188"/>
        <v>Low Sales</v>
      </c>
      <c r="J2420" t="str">
        <f t="shared" si="189"/>
        <v>Average Performance</v>
      </c>
      <c r="K2420">
        <f t="shared" si="190"/>
        <v>2004</v>
      </c>
      <c r="L2420" t="str">
        <f t="shared" si="191"/>
        <v>May</v>
      </c>
    </row>
    <row r="2421" spans="1:12" x14ac:dyDescent="0.25">
      <c r="A2421" t="s">
        <v>132</v>
      </c>
      <c r="C2421" t="s">
        <v>267</v>
      </c>
      <c r="D2421" t="str">
        <f t="shared" si="192"/>
        <v>Trains</v>
      </c>
      <c r="E2421" t="s">
        <v>361</v>
      </c>
      <c r="F2421" s="5">
        <v>2443.2600000000002</v>
      </c>
      <c r="G2421" s="5">
        <v>488.65199999999999</v>
      </c>
      <c r="I2421" t="str">
        <f t="shared" si="188"/>
        <v>Low Sales</v>
      </c>
      <c r="J2421" t="str">
        <f t="shared" si="189"/>
        <v>Average Performance</v>
      </c>
      <c r="K2421">
        <f t="shared" si="190"/>
        <v>2004</v>
      </c>
      <c r="L2421" t="str">
        <f t="shared" si="191"/>
        <v>July</v>
      </c>
    </row>
    <row r="2422" spans="1:12" x14ac:dyDescent="0.25">
      <c r="A2422" t="s">
        <v>82</v>
      </c>
      <c r="C2422" t="s">
        <v>267</v>
      </c>
      <c r="D2422" t="str">
        <f t="shared" si="192"/>
        <v>Trains</v>
      </c>
      <c r="E2422" t="s">
        <v>361</v>
      </c>
      <c r="F2422" s="5">
        <v>2470.86</v>
      </c>
      <c r="G2422" s="5">
        <v>494.17200000000003</v>
      </c>
      <c r="I2422" t="str">
        <f t="shared" si="188"/>
        <v>Low Sales</v>
      </c>
      <c r="J2422" t="str">
        <f t="shared" si="189"/>
        <v>Average Performance</v>
      </c>
      <c r="K2422">
        <f t="shared" si="190"/>
        <v>2004</v>
      </c>
      <c r="L2422" t="str">
        <f t="shared" si="191"/>
        <v>August</v>
      </c>
    </row>
    <row r="2423" spans="1:12" x14ac:dyDescent="0.25">
      <c r="A2423" t="s">
        <v>48</v>
      </c>
      <c r="C2423" t="s">
        <v>267</v>
      </c>
      <c r="D2423" t="str">
        <f t="shared" si="192"/>
        <v>Trains</v>
      </c>
      <c r="E2423" t="s">
        <v>361</v>
      </c>
      <c r="F2423" s="5">
        <v>1927.45</v>
      </c>
      <c r="G2423" s="5">
        <v>385.49</v>
      </c>
      <c r="I2423" t="str">
        <f t="shared" si="188"/>
        <v>Low Sales</v>
      </c>
      <c r="J2423" t="str">
        <f t="shared" si="189"/>
        <v>Average Performance</v>
      </c>
      <c r="K2423">
        <f t="shared" si="190"/>
        <v>2004</v>
      </c>
      <c r="L2423" t="str">
        <f t="shared" si="191"/>
        <v>September</v>
      </c>
    </row>
    <row r="2424" spans="1:12" x14ac:dyDescent="0.25">
      <c r="A2424" t="s">
        <v>84</v>
      </c>
      <c r="B2424" t="s">
        <v>258</v>
      </c>
      <c r="C2424" t="s">
        <v>267</v>
      </c>
      <c r="D2424" t="str">
        <f t="shared" si="192"/>
        <v>Trains</v>
      </c>
      <c r="E2424" t="s">
        <v>361</v>
      </c>
      <c r="F2424" s="5">
        <v>2051.56</v>
      </c>
      <c r="G2424" s="5">
        <v>410.31200000000001</v>
      </c>
      <c r="I2424" t="str">
        <f t="shared" si="188"/>
        <v>Low Sales</v>
      </c>
      <c r="J2424" t="str">
        <f t="shared" si="189"/>
        <v>Average Performance</v>
      </c>
      <c r="K2424">
        <f t="shared" si="190"/>
        <v>2004</v>
      </c>
      <c r="L2424" t="str">
        <f t="shared" si="191"/>
        <v>October</v>
      </c>
    </row>
    <row r="2425" spans="1:12" x14ac:dyDescent="0.25">
      <c r="A2425" t="s">
        <v>102</v>
      </c>
      <c r="B2425" t="s">
        <v>258</v>
      </c>
      <c r="C2425" t="s">
        <v>267</v>
      </c>
      <c r="D2425" t="str">
        <f t="shared" si="192"/>
        <v>Trains</v>
      </c>
      <c r="E2425" t="s">
        <v>361</v>
      </c>
      <c r="F2425" s="5">
        <v>2337.38</v>
      </c>
      <c r="G2425" s="5">
        <v>467.47600000000011</v>
      </c>
      <c r="I2425" t="str">
        <f t="shared" si="188"/>
        <v>Low Sales</v>
      </c>
      <c r="J2425" t="str">
        <f t="shared" si="189"/>
        <v>Average Performance</v>
      </c>
      <c r="K2425">
        <f t="shared" si="190"/>
        <v>2004</v>
      </c>
      <c r="L2425" t="str">
        <f t="shared" si="191"/>
        <v>October</v>
      </c>
    </row>
    <row r="2426" spans="1:12" x14ac:dyDescent="0.25">
      <c r="A2426" t="s">
        <v>86</v>
      </c>
      <c r="B2426" t="s">
        <v>258</v>
      </c>
      <c r="C2426" t="s">
        <v>267</v>
      </c>
      <c r="D2426" t="str">
        <f t="shared" si="192"/>
        <v>Trains</v>
      </c>
      <c r="E2426" t="s">
        <v>361</v>
      </c>
      <c r="F2426" s="5">
        <v>5932.96</v>
      </c>
      <c r="G2426" s="5">
        <v>1186.5920000000001</v>
      </c>
      <c r="I2426" t="str">
        <f t="shared" si="188"/>
        <v>Low Sales</v>
      </c>
      <c r="J2426" t="str">
        <f t="shared" si="189"/>
        <v>Average Performance</v>
      </c>
      <c r="K2426">
        <f t="shared" si="190"/>
        <v>2004</v>
      </c>
      <c r="L2426" t="str">
        <f t="shared" si="191"/>
        <v>November</v>
      </c>
    </row>
    <row r="2427" spans="1:12" x14ac:dyDescent="0.25">
      <c r="A2427" t="s">
        <v>87</v>
      </c>
      <c r="C2427" t="s">
        <v>267</v>
      </c>
      <c r="D2427" t="str">
        <f t="shared" si="192"/>
        <v>Trains</v>
      </c>
      <c r="E2427" t="s">
        <v>361</v>
      </c>
      <c r="F2427" s="5">
        <v>2296.77</v>
      </c>
      <c r="G2427" s="5">
        <v>459.35399999999998</v>
      </c>
      <c r="I2427" t="str">
        <f t="shared" si="188"/>
        <v>Low Sales</v>
      </c>
      <c r="J2427" t="str">
        <f t="shared" si="189"/>
        <v>Average Performance</v>
      </c>
      <c r="K2427">
        <f t="shared" si="190"/>
        <v>2004</v>
      </c>
      <c r="L2427" t="str">
        <f t="shared" si="191"/>
        <v>November</v>
      </c>
    </row>
    <row r="2428" spans="1:12" x14ac:dyDescent="0.25">
      <c r="A2428" t="s">
        <v>88</v>
      </c>
      <c r="B2428" t="s">
        <v>258</v>
      </c>
      <c r="C2428" t="s">
        <v>267</v>
      </c>
      <c r="D2428" t="str">
        <f t="shared" si="192"/>
        <v>Trains</v>
      </c>
      <c r="E2428" t="s">
        <v>361</v>
      </c>
      <c r="F2428" s="5">
        <v>6490.88</v>
      </c>
      <c r="G2428" s="5">
        <v>1298.1759999999999</v>
      </c>
      <c r="I2428" t="str">
        <f t="shared" si="188"/>
        <v>Low Sales</v>
      </c>
      <c r="J2428" t="str">
        <f t="shared" si="189"/>
        <v>Average Performance</v>
      </c>
      <c r="K2428">
        <f t="shared" si="190"/>
        <v>2004</v>
      </c>
      <c r="L2428" t="str">
        <f t="shared" si="191"/>
        <v>December</v>
      </c>
    </row>
    <row r="2429" spans="1:12" x14ac:dyDescent="0.25">
      <c r="A2429" t="s">
        <v>89</v>
      </c>
      <c r="B2429" t="s">
        <v>258</v>
      </c>
      <c r="C2429" t="s">
        <v>267</v>
      </c>
      <c r="D2429" t="str">
        <f t="shared" si="192"/>
        <v>Trains</v>
      </c>
      <c r="E2429" t="s">
        <v>361</v>
      </c>
      <c r="F2429" s="5">
        <v>1623.25</v>
      </c>
      <c r="G2429" s="5">
        <v>324.64999999999998</v>
      </c>
      <c r="I2429" t="str">
        <f t="shared" si="188"/>
        <v>Low Sales</v>
      </c>
      <c r="J2429" t="str">
        <f t="shared" si="189"/>
        <v>Average Performance</v>
      </c>
      <c r="K2429">
        <f t="shared" si="190"/>
        <v>2004</v>
      </c>
      <c r="L2429" t="str">
        <f t="shared" si="191"/>
        <v>December</v>
      </c>
    </row>
    <row r="2430" spans="1:12" x14ac:dyDescent="0.25">
      <c r="A2430" t="s">
        <v>142</v>
      </c>
      <c r="B2430" t="s">
        <v>260</v>
      </c>
      <c r="C2430" t="s">
        <v>267</v>
      </c>
      <c r="D2430" t="str">
        <f t="shared" si="192"/>
        <v>Trains</v>
      </c>
      <c r="E2430" t="s">
        <v>361</v>
      </c>
      <c r="F2430" s="5">
        <v>1405.92</v>
      </c>
      <c r="G2430" s="5">
        <v>281.18400000000003</v>
      </c>
      <c r="I2430" t="str">
        <f t="shared" si="188"/>
        <v>Low Sales</v>
      </c>
      <c r="J2430" t="str">
        <f t="shared" si="189"/>
        <v>Average Performance</v>
      </c>
      <c r="K2430">
        <f t="shared" si="190"/>
        <v>2005</v>
      </c>
      <c r="L2430" t="str">
        <f t="shared" si="191"/>
        <v>January</v>
      </c>
    </row>
    <row r="2431" spans="1:12" x14ac:dyDescent="0.25">
      <c r="A2431" t="s">
        <v>211</v>
      </c>
      <c r="B2431" t="s">
        <v>258</v>
      </c>
      <c r="C2431" t="s">
        <v>267</v>
      </c>
      <c r="D2431" t="str">
        <f t="shared" si="192"/>
        <v>Trains</v>
      </c>
      <c r="E2431" t="s">
        <v>361</v>
      </c>
      <c r="F2431" s="5">
        <v>2282.2800000000002</v>
      </c>
      <c r="G2431" s="5">
        <v>456.45600000000007</v>
      </c>
      <c r="I2431" t="str">
        <f t="shared" si="188"/>
        <v>Low Sales</v>
      </c>
      <c r="J2431" t="str">
        <f t="shared" si="189"/>
        <v>Average Performance</v>
      </c>
      <c r="K2431">
        <f t="shared" si="190"/>
        <v>2005</v>
      </c>
      <c r="L2431" t="str">
        <f t="shared" si="191"/>
        <v>February</v>
      </c>
    </row>
    <row r="2432" spans="1:12" x14ac:dyDescent="0.25">
      <c r="A2432" t="s">
        <v>92</v>
      </c>
      <c r="B2432" t="s">
        <v>258</v>
      </c>
      <c r="C2432" t="s">
        <v>267</v>
      </c>
      <c r="D2432" t="str">
        <f t="shared" si="192"/>
        <v>Trains</v>
      </c>
      <c r="E2432" t="s">
        <v>361</v>
      </c>
      <c r="F2432" s="5">
        <v>8977.0499999999993</v>
      </c>
      <c r="G2432" s="5">
        <v>1795.41</v>
      </c>
      <c r="I2432" t="str">
        <f t="shared" si="188"/>
        <v>Low Sales</v>
      </c>
      <c r="J2432" t="str">
        <f t="shared" si="189"/>
        <v>Average Performance</v>
      </c>
      <c r="K2432">
        <f t="shared" si="190"/>
        <v>2005</v>
      </c>
      <c r="L2432" t="str">
        <f t="shared" si="191"/>
        <v>March</v>
      </c>
    </row>
    <row r="2433" spans="1:12" x14ac:dyDescent="0.25">
      <c r="A2433" t="s">
        <v>136</v>
      </c>
      <c r="C2433" t="s">
        <v>267</v>
      </c>
      <c r="D2433" t="str">
        <f t="shared" si="192"/>
        <v>Trains</v>
      </c>
      <c r="E2433" t="s">
        <v>361</v>
      </c>
      <c r="F2433" s="5">
        <v>3256.35</v>
      </c>
      <c r="G2433" s="5">
        <v>651.27</v>
      </c>
      <c r="I2433" t="str">
        <f t="shared" si="188"/>
        <v>Low Sales</v>
      </c>
      <c r="J2433" t="str">
        <f t="shared" si="189"/>
        <v>Average Performance</v>
      </c>
      <c r="K2433">
        <f t="shared" si="190"/>
        <v>2005</v>
      </c>
      <c r="L2433" t="str">
        <f t="shared" si="191"/>
        <v>May</v>
      </c>
    </row>
    <row r="2434" spans="1:12" x14ac:dyDescent="0.25">
      <c r="A2434" t="s">
        <v>104</v>
      </c>
      <c r="B2434" t="s">
        <v>260</v>
      </c>
      <c r="C2434" t="s">
        <v>261</v>
      </c>
      <c r="D2434" t="str">
        <f t="shared" si="192"/>
        <v>Motorcycles</v>
      </c>
      <c r="E2434" t="s">
        <v>362</v>
      </c>
      <c r="F2434" s="5">
        <v>2821.66</v>
      </c>
      <c r="G2434" s="5">
        <v>564.33199999999999</v>
      </c>
      <c r="I2434" t="str">
        <f t="shared" si="188"/>
        <v>Low Sales</v>
      </c>
      <c r="J2434" t="str">
        <f t="shared" si="189"/>
        <v>Average Performance</v>
      </c>
      <c r="K2434">
        <f t="shared" si="190"/>
        <v>2003</v>
      </c>
      <c r="L2434" t="str">
        <f t="shared" si="191"/>
        <v>March</v>
      </c>
    </row>
    <row r="2435" spans="1:12" x14ac:dyDescent="0.25">
      <c r="A2435" t="s">
        <v>7</v>
      </c>
      <c r="B2435" t="s">
        <v>258</v>
      </c>
      <c r="C2435" t="s">
        <v>261</v>
      </c>
      <c r="D2435" t="str">
        <f t="shared" si="192"/>
        <v>Motorcycles</v>
      </c>
      <c r="E2435" t="s">
        <v>362</v>
      </c>
      <c r="F2435" s="5">
        <v>3293.4</v>
      </c>
      <c r="G2435" s="5">
        <v>658.68000000000006</v>
      </c>
      <c r="I2435" t="str">
        <f t="shared" ref="I2435:I2498" si="193">IF(F2435&gt;50000,"High Sales","Low Sales")</f>
        <v>Low Sales</v>
      </c>
      <c r="J2435" t="str">
        <f t="shared" ref="J2435:J2498" si="194">IF(AND(F2435&gt;30000,G2435&gt;5000),"Good Performance","Average Performance")</f>
        <v>Average Performance</v>
      </c>
      <c r="K2435">
        <f t="shared" ref="K2435:K2498" si="195">YEAR(A2435)</f>
        <v>2003</v>
      </c>
      <c r="L2435" t="str">
        <f t="shared" ref="L2435:L2498" si="196">TEXT(A2435,"mmmm")</f>
        <v>May</v>
      </c>
    </row>
    <row r="2436" spans="1:12" x14ac:dyDescent="0.25">
      <c r="A2436" t="s">
        <v>106</v>
      </c>
      <c r="C2436" t="s">
        <v>261</v>
      </c>
      <c r="D2436" t="str">
        <f t="shared" si="192"/>
        <v>Motorcycles</v>
      </c>
      <c r="E2436" t="s">
        <v>362</v>
      </c>
      <c r="F2436" s="5">
        <v>4224</v>
      </c>
      <c r="G2436" s="5">
        <v>844.80000000000007</v>
      </c>
      <c r="I2436" t="str">
        <f t="shared" si="193"/>
        <v>Low Sales</v>
      </c>
      <c r="J2436" t="str">
        <f t="shared" si="194"/>
        <v>Average Performance</v>
      </c>
      <c r="K2436">
        <f t="shared" si="195"/>
        <v>2003</v>
      </c>
      <c r="L2436" t="str">
        <f t="shared" si="196"/>
        <v>July</v>
      </c>
    </row>
    <row r="2437" spans="1:12" x14ac:dyDescent="0.25">
      <c r="A2437" t="s">
        <v>9</v>
      </c>
      <c r="C2437" t="s">
        <v>261</v>
      </c>
      <c r="D2437" t="str">
        <f t="shared" si="192"/>
        <v>Motorcycles</v>
      </c>
      <c r="E2437" t="s">
        <v>362</v>
      </c>
      <c r="F2437" s="5">
        <v>3091.68</v>
      </c>
      <c r="G2437" s="5">
        <v>618.33600000000001</v>
      </c>
      <c r="I2437" t="str">
        <f t="shared" si="193"/>
        <v>Low Sales</v>
      </c>
      <c r="J2437" t="str">
        <f t="shared" si="194"/>
        <v>Average Performance</v>
      </c>
      <c r="K2437">
        <f t="shared" si="195"/>
        <v>2003</v>
      </c>
      <c r="L2437" t="str">
        <f t="shared" si="196"/>
        <v>August</v>
      </c>
    </row>
    <row r="2438" spans="1:12" x14ac:dyDescent="0.25">
      <c r="A2438" t="s">
        <v>10</v>
      </c>
      <c r="C2438" t="s">
        <v>261</v>
      </c>
      <c r="D2438" t="str">
        <f t="shared" si="192"/>
        <v>Motorcycles</v>
      </c>
      <c r="E2438" t="s">
        <v>362</v>
      </c>
      <c r="F2438" s="5">
        <v>2219.6</v>
      </c>
      <c r="G2438" s="5">
        <v>443.92</v>
      </c>
      <c r="I2438" t="str">
        <f t="shared" si="193"/>
        <v>Low Sales</v>
      </c>
      <c r="J2438" t="str">
        <f t="shared" si="194"/>
        <v>Average Performance</v>
      </c>
      <c r="K2438">
        <f t="shared" si="195"/>
        <v>2003</v>
      </c>
      <c r="L2438" t="str">
        <f t="shared" si="196"/>
        <v>October</v>
      </c>
    </row>
    <row r="2439" spans="1:12" x14ac:dyDescent="0.25">
      <c r="A2439" t="s">
        <v>108</v>
      </c>
      <c r="B2439" t="s">
        <v>259</v>
      </c>
      <c r="C2439" t="s">
        <v>261</v>
      </c>
      <c r="D2439" t="str">
        <f t="shared" si="192"/>
        <v>Motorcycles</v>
      </c>
      <c r="E2439" t="s">
        <v>362</v>
      </c>
      <c r="F2439" s="5">
        <v>3866.4</v>
      </c>
      <c r="G2439" s="5">
        <v>773.28000000000009</v>
      </c>
      <c r="I2439" t="str">
        <f t="shared" si="193"/>
        <v>Low Sales</v>
      </c>
      <c r="J2439" t="str">
        <f t="shared" si="194"/>
        <v>Average Performance</v>
      </c>
      <c r="K2439">
        <f t="shared" si="195"/>
        <v>2003</v>
      </c>
      <c r="L2439" t="str">
        <f t="shared" si="196"/>
        <v>November</v>
      </c>
    </row>
    <row r="2440" spans="1:12" x14ac:dyDescent="0.25">
      <c r="A2440" t="s">
        <v>12</v>
      </c>
      <c r="B2440" t="s">
        <v>258</v>
      </c>
      <c r="C2440" t="s">
        <v>261</v>
      </c>
      <c r="D2440" t="str">
        <f t="shared" si="192"/>
        <v>Motorcycles</v>
      </c>
      <c r="E2440" t="s">
        <v>362</v>
      </c>
      <c r="F2440" s="5">
        <v>1964.76</v>
      </c>
      <c r="G2440" s="5">
        <v>392.952</v>
      </c>
      <c r="I2440" t="str">
        <f t="shared" si="193"/>
        <v>Low Sales</v>
      </c>
      <c r="J2440" t="str">
        <f t="shared" si="194"/>
        <v>Average Performance</v>
      </c>
      <c r="K2440">
        <f t="shared" si="195"/>
        <v>2003</v>
      </c>
      <c r="L2440" t="str">
        <f t="shared" si="196"/>
        <v>November</v>
      </c>
    </row>
    <row r="2441" spans="1:12" x14ac:dyDescent="0.25">
      <c r="A2441" t="s">
        <v>246</v>
      </c>
      <c r="B2441" t="s">
        <v>258</v>
      </c>
      <c r="C2441" t="s">
        <v>261</v>
      </c>
      <c r="D2441" t="str">
        <f t="shared" si="192"/>
        <v>Motorcycles</v>
      </c>
      <c r="E2441" t="s">
        <v>362</v>
      </c>
      <c r="F2441" s="5">
        <v>2668.8</v>
      </c>
      <c r="G2441" s="5">
        <v>533.7600000000001</v>
      </c>
      <c r="I2441" t="str">
        <f t="shared" si="193"/>
        <v>Low Sales</v>
      </c>
      <c r="J2441" t="str">
        <f t="shared" si="194"/>
        <v>Average Performance</v>
      </c>
      <c r="K2441">
        <f t="shared" si="195"/>
        <v>2003</v>
      </c>
      <c r="L2441" t="str">
        <f t="shared" si="196"/>
        <v>November</v>
      </c>
    </row>
    <row r="2442" spans="1:12" x14ac:dyDescent="0.25">
      <c r="A2442" t="s">
        <v>15</v>
      </c>
      <c r="B2442" t="s">
        <v>258</v>
      </c>
      <c r="C2442" t="s">
        <v>261</v>
      </c>
      <c r="D2442" t="str">
        <f t="shared" si="192"/>
        <v>Motorcycles</v>
      </c>
      <c r="E2442" t="s">
        <v>362</v>
      </c>
      <c r="F2442" s="5">
        <v>3222</v>
      </c>
      <c r="G2442" s="5">
        <v>644.40000000000009</v>
      </c>
      <c r="I2442" t="str">
        <f t="shared" si="193"/>
        <v>Low Sales</v>
      </c>
      <c r="J2442" t="str">
        <f t="shared" si="194"/>
        <v>Average Performance</v>
      </c>
      <c r="K2442">
        <f t="shared" si="195"/>
        <v>2004</v>
      </c>
      <c r="L2442" t="str">
        <f t="shared" si="196"/>
        <v>January</v>
      </c>
    </row>
    <row r="2443" spans="1:12" x14ac:dyDescent="0.25">
      <c r="A2443" t="s">
        <v>139</v>
      </c>
      <c r="B2443" t="s">
        <v>258</v>
      </c>
      <c r="C2443" t="s">
        <v>261</v>
      </c>
      <c r="D2443" t="str">
        <f t="shared" si="192"/>
        <v>Motorcycles</v>
      </c>
      <c r="E2443" t="s">
        <v>362</v>
      </c>
      <c r="F2443" s="5">
        <v>3864.5</v>
      </c>
      <c r="G2443" s="5">
        <v>772.90000000000009</v>
      </c>
      <c r="I2443" t="str">
        <f t="shared" si="193"/>
        <v>Low Sales</v>
      </c>
      <c r="J2443" t="str">
        <f t="shared" si="194"/>
        <v>Average Performance</v>
      </c>
      <c r="K2443">
        <f t="shared" si="195"/>
        <v>2004</v>
      </c>
      <c r="L2443" t="str">
        <f t="shared" si="196"/>
        <v>February</v>
      </c>
    </row>
    <row r="2444" spans="1:12" x14ac:dyDescent="0.25">
      <c r="A2444" t="s">
        <v>17</v>
      </c>
      <c r="C2444" t="s">
        <v>261</v>
      </c>
      <c r="D2444" t="str">
        <f t="shared" si="192"/>
        <v>Motorcycles</v>
      </c>
      <c r="E2444" t="s">
        <v>362</v>
      </c>
      <c r="F2444" s="5">
        <v>1366.8</v>
      </c>
      <c r="G2444" s="5">
        <v>273.36</v>
      </c>
      <c r="I2444" t="str">
        <f t="shared" si="193"/>
        <v>Low Sales</v>
      </c>
      <c r="J2444" t="str">
        <f t="shared" si="194"/>
        <v>Average Performance</v>
      </c>
      <c r="K2444">
        <f t="shared" si="195"/>
        <v>2004</v>
      </c>
      <c r="L2444" t="str">
        <f t="shared" si="196"/>
        <v>April</v>
      </c>
    </row>
    <row r="2445" spans="1:12" x14ac:dyDescent="0.25">
      <c r="A2445" t="s">
        <v>230</v>
      </c>
      <c r="B2445" t="s">
        <v>258</v>
      </c>
      <c r="C2445" t="s">
        <v>261</v>
      </c>
      <c r="D2445" t="str">
        <f t="shared" si="192"/>
        <v>Motorcycles</v>
      </c>
      <c r="E2445" t="s">
        <v>362</v>
      </c>
      <c r="F2445" s="5">
        <v>3475.68</v>
      </c>
      <c r="G2445" s="5">
        <v>695.13599999999997</v>
      </c>
      <c r="I2445" t="str">
        <f t="shared" si="193"/>
        <v>Low Sales</v>
      </c>
      <c r="J2445" t="str">
        <f t="shared" si="194"/>
        <v>Average Performance</v>
      </c>
      <c r="K2445">
        <f t="shared" si="195"/>
        <v>2004</v>
      </c>
      <c r="L2445" t="str">
        <f t="shared" si="196"/>
        <v>May</v>
      </c>
    </row>
    <row r="2446" spans="1:12" x14ac:dyDescent="0.25">
      <c r="A2446" t="s">
        <v>236</v>
      </c>
      <c r="C2446" t="s">
        <v>261</v>
      </c>
      <c r="D2446" t="str">
        <f t="shared" si="192"/>
        <v>Motorcycles</v>
      </c>
      <c r="E2446" t="s">
        <v>362</v>
      </c>
      <c r="F2446" s="5">
        <v>4206.5</v>
      </c>
      <c r="G2446" s="5">
        <v>841.30000000000007</v>
      </c>
      <c r="I2446" t="str">
        <f t="shared" si="193"/>
        <v>Low Sales</v>
      </c>
      <c r="J2446" t="str">
        <f t="shared" si="194"/>
        <v>Average Performance</v>
      </c>
      <c r="K2446">
        <f t="shared" si="195"/>
        <v>2004</v>
      </c>
      <c r="L2446" t="str">
        <f t="shared" si="196"/>
        <v>June</v>
      </c>
    </row>
    <row r="2447" spans="1:12" x14ac:dyDescent="0.25">
      <c r="A2447" t="s">
        <v>116</v>
      </c>
      <c r="C2447" t="s">
        <v>261</v>
      </c>
      <c r="D2447" t="str">
        <f t="shared" si="192"/>
        <v>Motorcycles</v>
      </c>
      <c r="E2447" t="s">
        <v>362</v>
      </c>
      <c r="F2447" s="5">
        <v>1486.38</v>
      </c>
      <c r="G2447" s="5">
        <v>297.27600000000001</v>
      </c>
      <c r="I2447" t="str">
        <f t="shared" si="193"/>
        <v>Low Sales</v>
      </c>
      <c r="J2447" t="str">
        <f t="shared" si="194"/>
        <v>Average Performance</v>
      </c>
      <c r="K2447">
        <f t="shared" si="195"/>
        <v>2004</v>
      </c>
      <c r="L2447" t="str">
        <f t="shared" si="196"/>
        <v>August</v>
      </c>
    </row>
    <row r="2448" spans="1:12" x14ac:dyDescent="0.25">
      <c r="A2448" t="s">
        <v>21</v>
      </c>
      <c r="C2448" t="s">
        <v>261</v>
      </c>
      <c r="D2448" t="str">
        <f t="shared" si="192"/>
        <v>Motorcycles</v>
      </c>
      <c r="E2448" t="s">
        <v>362</v>
      </c>
      <c r="F2448" s="5">
        <v>3077.88</v>
      </c>
      <c r="G2448" s="5">
        <v>615.57600000000002</v>
      </c>
      <c r="I2448" t="str">
        <f t="shared" si="193"/>
        <v>Low Sales</v>
      </c>
      <c r="J2448" t="str">
        <f t="shared" si="194"/>
        <v>Average Performance</v>
      </c>
      <c r="K2448">
        <f t="shared" si="195"/>
        <v>2004</v>
      </c>
      <c r="L2448" t="str">
        <f t="shared" si="196"/>
        <v>August</v>
      </c>
    </row>
    <row r="2449" spans="1:12" x14ac:dyDescent="0.25">
      <c r="A2449" t="s">
        <v>22</v>
      </c>
      <c r="B2449" t="s">
        <v>258</v>
      </c>
      <c r="C2449" t="s">
        <v>261</v>
      </c>
      <c r="D2449" t="str">
        <f t="shared" si="192"/>
        <v>Motorcycles</v>
      </c>
      <c r="E2449" t="s">
        <v>362</v>
      </c>
      <c r="F2449" s="5">
        <v>3544.2</v>
      </c>
      <c r="G2449" s="5">
        <v>708.84</v>
      </c>
      <c r="I2449" t="str">
        <f t="shared" si="193"/>
        <v>Low Sales</v>
      </c>
      <c r="J2449" t="str">
        <f t="shared" si="194"/>
        <v>Average Performance</v>
      </c>
      <c r="K2449">
        <f t="shared" si="195"/>
        <v>2004</v>
      </c>
      <c r="L2449" t="str">
        <f t="shared" si="196"/>
        <v>September</v>
      </c>
    </row>
    <row r="2450" spans="1:12" x14ac:dyDescent="0.25">
      <c r="A2450" t="s">
        <v>23</v>
      </c>
      <c r="B2450" t="s">
        <v>258</v>
      </c>
      <c r="C2450" t="s">
        <v>261</v>
      </c>
      <c r="D2450" t="str">
        <f t="shared" ref="D2450:D2513" si="197">PROPER(TRIM(C2450))</f>
        <v>Motorcycles</v>
      </c>
      <c r="E2450" t="s">
        <v>362</v>
      </c>
      <c r="F2450" s="5">
        <v>2483.04</v>
      </c>
      <c r="G2450" s="5">
        <v>496.608</v>
      </c>
      <c r="I2450" t="str">
        <f t="shared" si="193"/>
        <v>Low Sales</v>
      </c>
      <c r="J2450" t="str">
        <f t="shared" si="194"/>
        <v>Average Performance</v>
      </c>
      <c r="K2450">
        <f t="shared" si="195"/>
        <v>2004</v>
      </c>
      <c r="L2450" t="str">
        <f t="shared" si="196"/>
        <v>October</v>
      </c>
    </row>
    <row r="2451" spans="1:12" x14ac:dyDescent="0.25">
      <c r="A2451" t="s">
        <v>120</v>
      </c>
      <c r="C2451" t="s">
        <v>261</v>
      </c>
      <c r="D2451" t="str">
        <f t="shared" si="197"/>
        <v>Motorcycles</v>
      </c>
      <c r="E2451" t="s">
        <v>362</v>
      </c>
      <c r="F2451" s="5">
        <v>3478.05</v>
      </c>
      <c r="G2451" s="5">
        <v>695.61000000000013</v>
      </c>
      <c r="I2451" t="str">
        <f t="shared" si="193"/>
        <v>Low Sales</v>
      </c>
      <c r="J2451" t="str">
        <f t="shared" si="194"/>
        <v>Average Performance</v>
      </c>
      <c r="K2451">
        <f t="shared" si="195"/>
        <v>2004</v>
      </c>
      <c r="L2451" t="str">
        <f t="shared" si="196"/>
        <v>November</v>
      </c>
    </row>
    <row r="2452" spans="1:12" x14ac:dyDescent="0.25">
      <c r="A2452" t="s">
        <v>165</v>
      </c>
      <c r="C2452" t="s">
        <v>261</v>
      </c>
      <c r="D2452" t="str">
        <f t="shared" si="197"/>
        <v>Motorcycles</v>
      </c>
      <c r="E2452" t="s">
        <v>362</v>
      </c>
      <c r="F2452" s="5">
        <v>3657.8</v>
      </c>
      <c r="G2452" s="5">
        <v>731.56000000000006</v>
      </c>
      <c r="I2452" t="str">
        <f t="shared" si="193"/>
        <v>Low Sales</v>
      </c>
      <c r="J2452" t="str">
        <f t="shared" si="194"/>
        <v>Average Performance</v>
      </c>
      <c r="K2452">
        <f t="shared" si="195"/>
        <v>2004</v>
      </c>
      <c r="L2452" t="str">
        <f t="shared" si="196"/>
        <v>November</v>
      </c>
    </row>
    <row r="2453" spans="1:12" x14ac:dyDescent="0.25">
      <c r="A2453" t="s">
        <v>26</v>
      </c>
      <c r="B2453" t="s">
        <v>258</v>
      </c>
      <c r="C2453" t="s">
        <v>261</v>
      </c>
      <c r="D2453" t="str">
        <f t="shared" si="197"/>
        <v>Motorcycles</v>
      </c>
      <c r="E2453" t="s">
        <v>362</v>
      </c>
      <c r="F2453" s="5">
        <v>4682.3599999999997</v>
      </c>
      <c r="G2453" s="5">
        <v>936.47199999999998</v>
      </c>
      <c r="I2453" t="str">
        <f t="shared" si="193"/>
        <v>Low Sales</v>
      </c>
      <c r="J2453" t="str">
        <f t="shared" si="194"/>
        <v>Average Performance</v>
      </c>
      <c r="K2453">
        <f t="shared" si="195"/>
        <v>2004</v>
      </c>
      <c r="L2453" t="str">
        <f t="shared" si="196"/>
        <v>November</v>
      </c>
    </row>
    <row r="2454" spans="1:12" x14ac:dyDescent="0.25">
      <c r="A2454" t="s">
        <v>166</v>
      </c>
      <c r="B2454" t="s">
        <v>258</v>
      </c>
      <c r="C2454" t="s">
        <v>261</v>
      </c>
      <c r="D2454" t="str">
        <f t="shared" si="197"/>
        <v>Motorcycles</v>
      </c>
      <c r="E2454" t="s">
        <v>362</v>
      </c>
      <c r="F2454" s="5">
        <v>3937.7</v>
      </c>
      <c r="G2454" s="5">
        <v>787.54</v>
      </c>
      <c r="I2454" t="str">
        <f t="shared" si="193"/>
        <v>Low Sales</v>
      </c>
      <c r="J2454" t="str">
        <f t="shared" si="194"/>
        <v>Average Performance</v>
      </c>
      <c r="K2454">
        <f t="shared" si="195"/>
        <v>2004</v>
      </c>
      <c r="L2454" t="str">
        <f t="shared" si="196"/>
        <v>December</v>
      </c>
    </row>
    <row r="2455" spans="1:12" x14ac:dyDescent="0.25">
      <c r="A2455" t="s">
        <v>167</v>
      </c>
      <c r="C2455" t="s">
        <v>261</v>
      </c>
      <c r="D2455" t="str">
        <f t="shared" si="197"/>
        <v>Motorcycles</v>
      </c>
      <c r="E2455" t="s">
        <v>362</v>
      </c>
      <c r="F2455" s="5">
        <v>4984.32</v>
      </c>
      <c r="G2455" s="5">
        <v>996.86400000000003</v>
      </c>
      <c r="I2455" t="str">
        <f t="shared" si="193"/>
        <v>Low Sales</v>
      </c>
      <c r="J2455" t="str">
        <f t="shared" si="194"/>
        <v>Average Performance</v>
      </c>
      <c r="K2455">
        <f t="shared" si="195"/>
        <v>2005</v>
      </c>
      <c r="L2455" t="str">
        <f t="shared" si="196"/>
        <v>January</v>
      </c>
    </row>
    <row r="2456" spans="1:12" x14ac:dyDescent="0.25">
      <c r="A2456" t="s">
        <v>28</v>
      </c>
      <c r="B2456" t="s">
        <v>258</v>
      </c>
      <c r="C2456" t="s">
        <v>261</v>
      </c>
      <c r="D2456" t="str">
        <f t="shared" si="197"/>
        <v>Motorcycles</v>
      </c>
      <c r="E2456" t="s">
        <v>362</v>
      </c>
      <c r="F2456" s="5">
        <v>5406.66</v>
      </c>
      <c r="G2456" s="5">
        <v>1081.3320000000001</v>
      </c>
      <c r="I2456" t="str">
        <f t="shared" si="193"/>
        <v>Low Sales</v>
      </c>
      <c r="J2456" t="str">
        <f t="shared" si="194"/>
        <v>Average Performance</v>
      </c>
      <c r="K2456">
        <f t="shared" si="195"/>
        <v>2005</v>
      </c>
      <c r="L2456" t="str">
        <f t="shared" si="196"/>
        <v>February</v>
      </c>
    </row>
    <row r="2457" spans="1:12" x14ac:dyDescent="0.25">
      <c r="A2457" t="s">
        <v>168</v>
      </c>
      <c r="C2457" t="s">
        <v>261</v>
      </c>
      <c r="D2457" t="str">
        <f t="shared" si="197"/>
        <v>Motorcycles</v>
      </c>
      <c r="E2457" t="s">
        <v>362</v>
      </c>
      <c r="F2457" s="5">
        <v>3491.18</v>
      </c>
      <c r="G2457" s="5">
        <v>698.23599999999999</v>
      </c>
      <c r="I2457" t="str">
        <f t="shared" si="193"/>
        <v>Low Sales</v>
      </c>
      <c r="J2457" t="str">
        <f t="shared" si="194"/>
        <v>Average Performance</v>
      </c>
      <c r="K2457">
        <f t="shared" si="195"/>
        <v>2005</v>
      </c>
      <c r="L2457" t="str">
        <f t="shared" si="196"/>
        <v>March</v>
      </c>
    </row>
    <row r="2458" spans="1:12" x14ac:dyDescent="0.25">
      <c r="A2458" t="s">
        <v>30</v>
      </c>
      <c r="B2458" t="s">
        <v>258</v>
      </c>
      <c r="C2458" t="s">
        <v>261</v>
      </c>
      <c r="D2458" t="str">
        <f t="shared" si="197"/>
        <v>Motorcycles</v>
      </c>
      <c r="E2458" t="s">
        <v>362</v>
      </c>
      <c r="F2458" s="5">
        <v>2118.54</v>
      </c>
      <c r="G2458" s="5">
        <v>423.70800000000003</v>
      </c>
      <c r="I2458" t="str">
        <f t="shared" si="193"/>
        <v>Low Sales</v>
      </c>
      <c r="J2458" t="str">
        <f t="shared" si="194"/>
        <v>Average Performance</v>
      </c>
      <c r="K2458">
        <f t="shared" si="195"/>
        <v>2005</v>
      </c>
      <c r="L2458" t="str">
        <f t="shared" si="196"/>
        <v>April</v>
      </c>
    </row>
    <row r="2459" spans="1:12" x14ac:dyDescent="0.25">
      <c r="A2459" t="s">
        <v>68</v>
      </c>
      <c r="B2459" t="s">
        <v>258</v>
      </c>
      <c r="C2459" t="s">
        <v>266</v>
      </c>
      <c r="D2459" t="str">
        <f t="shared" si="197"/>
        <v>Ships</v>
      </c>
      <c r="E2459" t="s">
        <v>363</v>
      </c>
      <c r="F2459" s="5">
        <v>2897.47</v>
      </c>
      <c r="G2459" s="5">
        <v>579.49400000000003</v>
      </c>
      <c r="I2459" t="str">
        <f t="shared" si="193"/>
        <v>Low Sales</v>
      </c>
      <c r="J2459" t="str">
        <f t="shared" si="194"/>
        <v>Average Performance</v>
      </c>
      <c r="K2459">
        <f t="shared" si="195"/>
        <v>2003</v>
      </c>
      <c r="L2459" t="str">
        <f t="shared" si="196"/>
        <v>February</v>
      </c>
    </row>
    <row r="2460" spans="1:12" x14ac:dyDescent="0.25">
      <c r="A2460" t="s">
        <v>69</v>
      </c>
      <c r="B2460" t="s">
        <v>258</v>
      </c>
      <c r="C2460" t="s">
        <v>266</v>
      </c>
      <c r="D2460" t="str">
        <f t="shared" si="197"/>
        <v>Ships</v>
      </c>
      <c r="E2460" t="s">
        <v>363</v>
      </c>
      <c r="F2460" s="5">
        <v>1916.75</v>
      </c>
      <c r="G2460" s="5">
        <v>383.35</v>
      </c>
      <c r="I2460" t="str">
        <f t="shared" si="193"/>
        <v>Low Sales</v>
      </c>
      <c r="J2460" t="str">
        <f t="shared" si="194"/>
        <v>Average Performance</v>
      </c>
      <c r="K2460">
        <f t="shared" si="195"/>
        <v>2003</v>
      </c>
      <c r="L2460" t="str">
        <f t="shared" si="196"/>
        <v>April</v>
      </c>
    </row>
    <row r="2461" spans="1:12" x14ac:dyDescent="0.25">
      <c r="A2461" t="s">
        <v>70</v>
      </c>
      <c r="B2461" t="s">
        <v>258</v>
      </c>
      <c r="C2461" t="s">
        <v>266</v>
      </c>
      <c r="D2461" t="str">
        <f t="shared" si="197"/>
        <v>Ships</v>
      </c>
      <c r="E2461" t="s">
        <v>363</v>
      </c>
      <c r="F2461" s="5">
        <v>1860</v>
      </c>
      <c r="G2461" s="5">
        <v>372</v>
      </c>
      <c r="I2461" t="str">
        <f t="shared" si="193"/>
        <v>Low Sales</v>
      </c>
      <c r="J2461" t="str">
        <f t="shared" si="194"/>
        <v>Average Performance</v>
      </c>
      <c r="K2461">
        <f t="shared" si="195"/>
        <v>2003</v>
      </c>
      <c r="L2461" t="str">
        <f t="shared" si="196"/>
        <v>June</v>
      </c>
    </row>
    <row r="2462" spans="1:12" x14ac:dyDescent="0.25">
      <c r="A2462" t="s">
        <v>125</v>
      </c>
      <c r="C2462" t="s">
        <v>266</v>
      </c>
      <c r="D2462" t="str">
        <f t="shared" si="197"/>
        <v>Ships</v>
      </c>
      <c r="E2462" t="s">
        <v>363</v>
      </c>
      <c r="F2462" s="5">
        <v>2624</v>
      </c>
      <c r="G2462" s="5">
        <v>524.80000000000007</v>
      </c>
      <c r="I2462" t="str">
        <f t="shared" si="193"/>
        <v>Low Sales</v>
      </c>
      <c r="J2462" t="str">
        <f t="shared" si="194"/>
        <v>Average Performance</v>
      </c>
      <c r="K2462">
        <f t="shared" si="195"/>
        <v>2003</v>
      </c>
      <c r="L2462" t="str">
        <f t="shared" si="196"/>
        <v>August</v>
      </c>
    </row>
    <row r="2463" spans="1:12" x14ac:dyDescent="0.25">
      <c r="A2463" t="s">
        <v>126</v>
      </c>
      <c r="B2463" t="s">
        <v>258</v>
      </c>
      <c r="C2463" t="s">
        <v>266</v>
      </c>
      <c r="D2463" t="str">
        <f t="shared" si="197"/>
        <v>Ships</v>
      </c>
      <c r="E2463" t="s">
        <v>363</v>
      </c>
      <c r="F2463" s="5">
        <v>2780.81</v>
      </c>
      <c r="G2463" s="5">
        <v>556.16200000000003</v>
      </c>
      <c r="I2463" t="str">
        <f t="shared" si="193"/>
        <v>Low Sales</v>
      </c>
      <c r="J2463" t="str">
        <f t="shared" si="194"/>
        <v>Average Performance</v>
      </c>
      <c r="K2463">
        <f t="shared" si="195"/>
        <v>2003</v>
      </c>
      <c r="L2463" t="str">
        <f t="shared" si="196"/>
        <v>September</v>
      </c>
    </row>
    <row r="2464" spans="1:12" x14ac:dyDescent="0.25">
      <c r="A2464" t="s">
        <v>73</v>
      </c>
      <c r="B2464" t="s">
        <v>258</v>
      </c>
      <c r="C2464" t="s">
        <v>266</v>
      </c>
      <c r="D2464" t="str">
        <f t="shared" si="197"/>
        <v>Ships</v>
      </c>
      <c r="E2464" t="s">
        <v>363</v>
      </c>
      <c r="F2464" s="5">
        <v>3239.62</v>
      </c>
      <c r="G2464" s="5">
        <v>647.92399999999998</v>
      </c>
      <c r="I2464" t="str">
        <f t="shared" si="193"/>
        <v>Low Sales</v>
      </c>
      <c r="J2464" t="str">
        <f t="shared" si="194"/>
        <v>Average Performance</v>
      </c>
      <c r="K2464">
        <f t="shared" si="195"/>
        <v>2003</v>
      </c>
      <c r="L2464" t="str">
        <f t="shared" si="196"/>
        <v>October</v>
      </c>
    </row>
    <row r="2465" spans="1:12" x14ac:dyDescent="0.25">
      <c r="A2465" t="s">
        <v>225</v>
      </c>
      <c r="B2465" t="s">
        <v>258</v>
      </c>
      <c r="C2465" t="s">
        <v>266</v>
      </c>
      <c r="D2465" t="str">
        <f t="shared" si="197"/>
        <v>Ships</v>
      </c>
      <c r="E2465" t="s">
        <v>363</v>
      </c>
      <c r="F2465" s="5">
        <v>1824</v>
      </c>
      <c r="G2465" s="5">
        <v>364.8</v>
      </c>
      <c r="I2465" t="str">
        <f t="shared" si="193"/>
        <v>Low Sales</v>
      </c>
      <c r="J2465" t="str">
        <f t="shared" si="194"/>
        <v>Average Performance</v>
      </c>
      <c r="K2465">
        <f t="shared" si="195"/>
        <v>2003</v>
      </c>
      <c r="L2465" t="str">
        <f t="shared" si="196"/>
        <v>November</v>
      </c>
    </row>
    <row r="2466" spans="1:12" x14ac:dyDescent="0.25">
      <c r="A2466" t="s">
        <v>75</v>
      </c>
      <c r="C2466" t="s">
        <v>266</v>
      </c>
      <c r="D2466" t="str">
        <f t="shared" si="197"/>
        <v>Ships</v>
      </c>
      <c r="E2466" t="s">
        <v>363</v>
      </c>
      <c r="F2466" s="5">
        <v>1134</v>
      </c>
      <c r="G2466" s="5">
        <v>226.8</v>
      </c>
      <c r="I2466" t="str">
        <f t="shared" si="193"/>
        <v>Low Sales</v>
      </c>
      <c r="J2466" t="str">
        <f t="shared" si="194"/>
        <v>Average Performance</v>
      </c>
      <c r="K2466">
        <f t="shared" si="195"/>
        <v>2003</v>
      </c>
      <c r="L2466" t="str">
        <f t="shared" si="196"/>
        <v>November</v>
      </c>
    </row>
    <row r="2467" spans="1:12" x14ac:dyDescent="0.25">
      <c r="A2467" t="s">
        <v>76</v>
      </c>
      <c r="B2467" t="s">
        <v>258</v>
      </c>
      <c r="C2467" t="s">
        <v>266</v>
      </c>
      <c r="D2467" t="str">
        <f t="shared" si="197"/>
        <v>Ships</v>
      </c>
      <c r="E2467" t="s">
        <v>363</v>
      </c>
      <c r="F2467" s="5">
        <v>1487.41</v>
      </c>
      <c r="G2467" s="5">
        <v>297.48200000000003</v>
      </c>
      <c r="I2467" t="str">
        <f t="shared" si="193"/>
        <v>Low Sales</v>
      </c>
      <c r="J2467" t="str">
        <f t="shared" si="194"/>
        <v>Average Performance</v>
      </c>
      <c r="K2467">
        <f t="shared" si="195"/>
        <v>2003</v>
      </c>
      <c r="L2467" t="str">
        <f t="shared" si="196"/>
        <v>November</v>
      </c>
    </row>
    <row r="2468" spans="1:12" x14ac:dyDescent="0.25">
      <c r="A2468" t="s">
        <v>128</v>
      </c>
      <c r="B2468" t="s">
        <v>258</v>
      </c>
      <c r="C2468" t="s">
        <v>266</v>
      </c>
      <c r="D2468" t="str">
        <f t="shared" si="197"/>
        <v>Ships</v>
      </c>
      <c r="E2468" t="s">
        <v>363</v>
      </c>
      <c r="F2468" s="5">
        <v>2837.46</v>
      </c>
      <c r="G2468" s="5">
        <v>567.49200000000008</v>
      </c>
      <c r="I2468" t="str">
        <f t="shared" si="193"/>
        <v>Low Sales</v>
      </c>
      <c r="J2468" t="str">
        <f t="shared" si="194"/>
        <v>Average Performance</v>
      </c>
      <c r="K2468">
        <f t="shared" si="195"/>
        <v>2004</v>
      </c>
      <c r="L2468" t="str">
        <f t="shared" si="196"/>
        <v>January</v>
      </c>
    </row>
    <row r="2469" spans="1:12" x14ac:dyDescent="0.25">
      <c r="A2469" t="s">
        <v>78</v>
      </c>
      <c r="C2469" t="s">
        <v>266</v>
      </c>
      <c r="D2469" t="str">
        <f t="shared" si="197"/>
        <v>Ships</v>
      </c>
      <c r="E2469" t="s">
        <v>363</v>
      </c>
      <c r="F2469" s="5">
        <v>1942.77</v>
      </c>
      <c r="G2469" s="5">
        <v>388.55399999999997</v>
      </c>
      <c r="I2469" t="str">
        <f t="shared" si="193"/>
        <v>Low Sales</v>
      </c>
      <c r="J2469" t="str">
        <f t="shared" si="194"/>
        <v>Average Performance</v>
      </c>
      <c r="K2469">
        <f t="shared" si="195"/>
        <v>2004</v>
      </c>
      <c r="L2469" t="str">
        <f t="shared" si="196"/>
        <v>February</v>
      </c>
    </row>
    <row r="2470" spans="1:12" x14ac:dyDescent="0.25">
      <c r="A2470" t="s">
        <v>249</v>
      </c>
      <c r="C2470" t="s">
        <v>266</v>
      </c>
      <c r="D2470" t="str">
        <f t="shared" si="197"/>
        <v>Ships</v>
      </c>
      <c r="E2470" t="s">
        <v>363</v>
      </c>
      <c r="F2470" s="5">
        <v>2544.12</v>
      </c>
      <c r="G2470" s="5">
        <v>508.82400000000001</v>
      </c>
      <c r="I2470" t="str">
        <f t="shared" si="193"/>
        <v>Low Sales</v>
      </c>
      <c r="J2470" t="str">
        <f t="shared" si="194"/>
        <v>Average Performance</v>
      </c>
      <c r="K2470">
        <f t="shared" si="195"/>
        <v>2004</v>
      </c>
      <c r="L2470" t="str">
        <f t="shared" si="196"/>
        <v>March</v>
      </c>
    </row>
    <row r="2471" spans="1:12" x14ac:dyDescent="0.25">
      <c r="A2471" t="s">
        <v>79</v>
      </c>
      <c r="C2471" t="s">
        <v>266</v>
      </c>
      <c r="D2471" t="str">
        <f t="shared" si="197"/>
        <v>Ships</v>
      </c>
      <c r="E2471" t="s">
        <v>363</v>
      </c>
      <c r="F2471" s="5">
        <v>2568.2399999999998</v>
      </c>
      <c r="G2471" s="5">
        <v>513.64800000000002</v>
      </c>
      <c r="I2471" t="str">
        <f t="shared" si="193"/>
        <v>Low Sales</v>
      </c>
      <c r="J2471" t="str">
        <f t="shared" si="194"/>
        <v>Average Performance</v>
      </c>
      <c r="K2471">
        <f t="shared" si="195"/>
        <v>2004</v>
      </c>
      <c r="L2471" t="str">
        <f t="shared" si="196"/>
        <v>May</v>
      </c>
    </row>
    <row r="2472" spans="1:12" x14ac:dyDescent="0.25">
      <c r="A2472" t="s">
        <v>80</v>
      </c>
      <c r="C2472" t="s">
        <v>266</v>
      </c>
      <c r="D2472" t="str">
        <f t="shared" si="197"/>
        <v>Ships</v>
      </c>
      <c r="E2472" t="s">
        <v>363</v>
      </c>
      <c r="F2472" s="5">
        <v>2108</v>
      </c>
      <c r="G2472" s="5">
        <v>421.6</v>
      </c>
      <c r="I2472" t="str">
        <f t="shared" si="193"/>
        <v>Low Sales</v>
      </c>
      <c r="J2472" t="str">
        <f t="shared" si="194"/>
        <v>Average Performance</v>
      </c>
      <c r="K2472">
        <f t="shared" si="195"/>
        <v>2004</v>
      </c>
      <c r="L2472" t="str">
        <f t="shared" si="196"/>
        <v>June</v>
      </c>
    </row>
    <row r="2473" spans="1:12" x14ac:dyDescent="0.25">
      <c r="A2473" t="s">
        <v>81</v>
      </c>
      <c r="B2473" t="s">
        <v>258</v>
      </c>
      <c r="C2473" t="s">
        <v>266</v>
      </c>
      <c r="D2473" t="str">
        <f t="shared" si="197"/>
        <v>Ships</v>
      </c>
      <c r="E2473" t="s">
        <v>363</v>
      </c>
      <c r="F2473" s="5">
        <v>1372.14</v>
      </c>
      <c r="G2473" s="5">
        <v>274.42800000000011</v>
      </c>
      <c r="I2473" t="str">
        <f t="shared" si="193"/>
        <v>Low Sales</v>
      </c>
      <c r="J2473" t="str">
        <f t="shared" si="194"/>
        <v>Average Performance</v>
      </c>
      <c r="K2473">
        <f t="shared" si="195"/>
        <v>2004</v>
      </c>
      <c r="L2473" t="str">
        <f t="shared" si="196"/>
        <v>July</v>
      </c>
    </row>
    <row r="2474" spans="1:12" x14ac:dyDescent="0.25">
      <c r="A2474" t="s">
        <v>82</v>
      </c>
      <c r="C2474" t="s">
        <v>266</v>
      </c>
      <c r="D2474" t="str">
        <f t="shared" si="197"/>
        <v>Ships</v>
      </c>
      <c r="E2474" t="s">
        <v>363</v>
      </c>
      <c r="F2474" s="5">
        <v>3540.15</v>
      </c>
      <c r="G2474" s="5">
        <v>708.03000000000009</v>
      </c>
      <c r="I2474" t="str">
        <f t="shared" si="193"/>
        <v>Low Sales</v>
      </c>
      <c r="J2474" t="str">
        <f t="shared" si="194"/>
        <v>Average Performance</v>
      </c>
      <c r="K2474">
        <f t="shared" si="195"/>
        <v>2004</v>
      </c>
      <c r="L2474" t="str">
        <f t="shared" si="196"/>
        <v>August</v>
      </c>
    </row>
    <row r="2475" spans="1:12" x14ac:dyDescent="0.25">
      <c r="A2475" t="s">
        <v>83</v>
      </c>
      <c r="C2475" t="s">
        <v>266</v>
      </c>
      <c r="D2475" t="str">
        <f t="shared" si="197"/>
        <v>Ships</v>
      </c>
      <c r="E2475" t="s">
        <v>363</v>
      </c>
      <c r="F2475" s="5">
        <v>1958.84</v>
      </c>
      <c r="G2475" s="5">
        <v>391.76799999999997</v>
      </c>
      <c r="I2475" t="str">
        <f t="shared" si="193"/>
        <v>Low Sales</v>
      </c>
      <c r="J2475" t="str">
        <f t="shared" si="194"/>
        <v>Average Performance</v>
      </c>
      <c r="K2475">
        <f t="shared" si="195"/>
        <v>2004</v>
      </c>
      <c r="L2475" t="str">
        <f t="shared" si="196"/>
        <v>September</v>
      </c>
    </row>
    <row r="2476" spans="1:12" x14ac:dyDescent="0.25">
      <c r="A2476" t="s">
        <v>84</v>
      </c>
      <c r="B2476" t="s">
        <v>258</v>
      </c>
      <c r="C2476" t="s">
        <v>266</v>
      </c>
      <c r="D2476" t="str">
        <f t="shared" si="197"/>
        <v>Ships</v>
      </c>
      <c r="E2476" t="s">
        <v>363</v>
      </c>
      <c r="F2476" s="5">
        <v>2700</v>
      </c>
      <c r="G2476" s="5">
        <v>540</v>
      </c>
      <c r="I2476" t="str">
        <f t="shared" si="193"/>
        <v>Low Sales</v>
      </c>
      <c r="J2476" t="str">
        <f t="shared" si="194"/>
        <v>Average Performance</v>
      </c>
      <c r="K2476">
        <f t="shared" si="195"/>
        <v>2004</v>
      </c>
      <c r="L2476" t="str">
        <f t="shared" si="196"/>
        <v>October</v>
      </c>
    </row>
    <row r="2477" spans="1:12" x14ac:dyDescent="0.25">
      <c r="A2477" t="s">
        <v>243</v>
      </c>
      <c r="B2477" t="s">
        <v>258</v>
      </c>
      <c r="C2477" t="s">
        <v>266</v>
      </c>
      <c r="D2477" t="str">
        <f t="shared" si="197"/>
        <v>Ships</v>
      </c>
      <c r="E2477" t="s">
        <v>363</v>
      </c>
      <c r="F2477" s="5">
        <v>2542</v>
      </c>
      <c r="G2477" s="5">
        <v>508.4</v>
      </c>
      <c r="I2477" t="str">
        <f t="shared" si="193"/>
        <v>Low Sales</v>
      </c>
      <c r="J2477" t="str">
        <f t="shared" si="194"/>
        <v>Average Performance</v>
      </c>
      <c r="K2477">
        <f t="shared" si="195"/>
        <v>2004</v>
      </c>
      <c r="L2477" t="str">
        <f t="shared" si="196"/>
        <v>October</v>
      </c>
    </row>
    <row r="2478" spans="1:12" x14ac:dyDescent="0.25">
      <c r="A2478" t="s">
        <v>229</v>
      </c>
      <c r="B2478" t="s">
        <v>258</v>
      </c>
      <c r="C2478" t="s">
        <v>266</v>
      </c>
      <c r="D2478" t="str">
        <f t="shared" si="197"/>
        <v>Ships</v>
      </c>
      <c r="E2478" t="s">
        <v>363</v>
      </c>
      <c r="F2478" s="5">
        <v>2340</v>
      </c>
      <c r="G2478" s="5">
        <v>468</v>
      </c>
      <c r="I2478" t="str">
        <f t="shared" si="193"/>
        <v>Low Sales</v>
      </c>
      <c r="J2478" t="str">
        <f t="shared" si="194"/>
        <v>Average Performance</v>
      </c>
      <c r="K2478">
        <f t="shared" si="195"/>
        <v>2004</v>
      </c>
      <c r="L2478" t="str">
        <f t="shared" si="196"/>
        <v>November</v>
      </c>
    </row>
    <row r="2479" spans="1:12" x14ac:dyDescent="0.25">
      <c r="A2479" t="s">
        <v>64</v>
      </c>
      <c r="B2479" t="s">
        <v>260</v>
      </c>
      <c r="C2479" t="s">
        <v>266</v>
      </c>
      <c r="D2479" t="str">
        <f t="shared" si="197"/>
        <v>Ships</v>
      </c>
      <c r="E2479" t="s">
        <v>363</v>
      </c>
      <c r="F2479" s="5">
        <v>2816.44</v>
      </c>
      <c r="G2479" s="5">
        <v>563.28800000000001</v>
      </c>
      <c r="I2479" t="str">
        <f t="shared" si="193"/>
        <v>Low Sales</v>
      </c>
      <c r="J2479" t="str">
        <f t="shared" si="194"/>
        <v>Average Performance</v>
      </c>
      <c r="K2479">
        <f t="shared" si="195"/>
        <v>2004</v>
      </c>
      <c r="L2479" t="str">
        <f t="shared" si="196"/>
        <v>November</v>
      </c>
    </row>
    <row r="2480" spans="1:12" x14ac:dyDescent="0.25">
      <c r="A2480" t="s">
        <v>88</v>
      </c>
      <c r="B2480" t="s">
        <v>258</v>
      </c>
      <c r="C2480" t="s">
        <v>266</v>
      </c>
      <c r="D2480" t="str">
        <f t="shared" si="197"/>
        <v>Ships</v>
      </c>
      <c r="E2480" t="s">
        <v>363</v>
      </c>
      <c r="F2480" s="5">
        <v>3526.82</v>
      </c>
      <c r="G2480" s="5">
        <v>705.36400000000003</v>
      </c>
      <c r="I2480" t="str">
        <f t="shared" si="193"/>
        <v>Low Sales</v>
      </c>
      <c r="J2480" t="str">
        <f t="shared" si="194"/>
        <v>Average Performance</v>
      </c>
      <c r="K2480">
        <f t="shared" si="195"/>
        <v>2004</v>
      </c>
      <c r="L2480" t="str">
        <f t="shared" si="196"/>
        <v>December</v>
      </c>
    </row>
    <row r="2481" spans="1:12" x14ac:dyDescent="0.25">
      <c r="A2481" t="s">
        <v>90</v>
      </c>
      <c r="B2481" t="s">
        <v>258</v>
      </c>
      <c r="C2481" t="s">
        <v>266</v>
      </c>
      <c r="D2481" t="str">
        <f t="shared" si="197"/>
        <v>Ships</v>
      </c>
      <c r="E2481" t="s">
        <v>363</v>
      </c>
      <c r="F2481" s="5">
        <v>4627.92</v>
      </c>
      <c r="G2481" s="5">
        <v>925.58400000000006</v>
      </c>
      <c r="I2481" t="str">
        <f t="shared" si="193"/>
        <v>Low Sales</v>
      </c>
      <c r="J2481" t="str">
        <f t="shared" si="194"/>
        <v>Average Performance</v>
      </c>
      <c r="K2481">
        <f t="shared" si="195"/>
        <v>2005</v>
      </c>
      <c r="L2481" t="str">
        <f t="shared" si="196"/>
        <v>January</v>
      </c>
    </row>
    <row r="2482" spans="1:12" x14ac:dyDescent="0.25">
      <c r="A2482" t="s">
        <v>250</v>
      </c>
      <c r="C2482" t="s">
        <v>266</v>
      </c>
      <c r="D2482" t="str">
        <f t="shared" si="197"/>
        <v>Ships</v>
      </c>
      <c r="E2482" t="s">
        <v>363</v>
      </c>
      <c r="F2482" s="5">
        <v>1933.5</v>
      </c>
      <c r="G2482" s="5">
        <v>386.7</v>
      </c>
      <c r="I2482" t="str">
        <f t="shared" si="193"/>
        <v>Low Sales</v>
      </c>
      <c r="J2482" t="str">
        <f t="shared" si="194"/>
        <v>Average Performance</v>
      </c>
      <c r="K2482">
        <f t="shared" si="195"/>
        <v>2005</v>
      </c>
      <c r="L2482" t="str">
        <f t="shared" si="196"/>
        <v>February</v>
      </c>
    </row>
    <row r="2483" spans="1:12" x14ac:dyDescent="0.25">
      <c r="A2483" t="s">
        <v>147</v>
      </c>
      <c r="C2483" t="s">
        <v>266</v>
      </c>
      <c r="D2483" t="str">
        <f t="shared" si="197"/>
        <v>Ships</v>
      </c>
      <c r="E2483" t="s">
        <v>363</v>
      </c>
      <c r="F2483" s="5">
        <v>2600.13</v>
      </c>
      <c r="G2483" s="5">
        <v>520.02600000000007</v>
      </c>
      <c r="I2483" t="str">
        <f t="shared" si="193"/>
        <v>Low Sales</v>
      </c>
      <c r="J2483" t="str">
        <f t="shared" si="194"/>
        <v>Average Performance</v>
      </c>
      <c r="K2483">
        <f t="shared" si="195"/>
        <v>2005</v>
      </c>
      <c r="L2483" t="str">
        <f t="shared" si="196"/>
        <v>March</v>
      </c>
    </row>
    <row r="2484" spans="1:12" x14ac:dyDescent="0.25">
      <c r="A2484" t="s">
        <v>94</v>
      </c>
      <c r="C2484" t="s">
        <v>266</v>
      </c>
      <c r="D2484" t="str">
        <f t="shared" si="197"/>
        <v>Ships</v>
      </c>
      <c r="E2484" t="s">
        <v>363</v>
      </c>
      <c r="F2484" s="5">
        <v>2639.58</v>
      </c>
      <c r="G2484" s="5">
        <v>527.91600000000005</v>
      </c>
      <c r="I2484" t="str">
        <f t="shared" si="193"/>
        <v>Low Sales</v>
      </c>
      <c r="J2484" t="str">
        <f t="shared" si="194"/>
        <v>Average Performance</v>
      </c>
      <c r="K2484">
        <f t="shared" si="195"/>
        <v>2005</v>
      </c>
      <c r="L2484" t="str">
        <f t="shared" si="196"/>
        <v>May</v>
      </c>
    </row>
    <row r="2485" spans="1:12" x14ac:dyDescent="0.25">
      <c r="A2485" t="s">
        <v>192</v>
      </c>
      <c r="B2485" t="s">
        <v>258</v>
      </c>
      <c r="C2485" t="s">
        <v>265</v>
      </c>
      <c r="D2485" t="str">
        <f t="shared" si="197"/>
        <v>Planes</v>
      </c>
      <c r="E2485" t="s">
        <v>364</v>
      </c>
      <c r="F2485" s="5">
        <v>3312.97</v>
      </c>
      <c r="G2485" s="5">
        <v>662.59400000000005</v>
      </c>
      <c r="I2485" t="str">
        <f t="shared" si="193"/>
        <v>Low Sales</v>
      </c>
      <c r="J2485" t="str">
        <f t="shared" si="194"/>
        <v>Average Performance</v>
      </c>
      <c r="K2485">
        <f t="shared" si="195"/>
        <v>2003</v>
      </c>
      <c r="L2485" t="str">
        <f t="shared" si="196"/>
        <v>February</v>
      </c>
    </row>
    <row r="2486" spans="1:12" x14ac:dyDescent="0.25">
      <c r="A2486" t="s">
        <v>60</v>
      </c>
      <c r="B2486" t="s">
        <v>259</v>
      </c>
      <c r="C2486" t="s">
        <v>265</v>
      </c>
      <c r="D2486" t="str">
        <f t="shared" si="197"/>
        <v>Planes</v>
      </c>
      <c r="E2486" t="s">
        <v>364</v>
      </c>
      <c r="F2486" s="5">
        <v>3863.87</v>
      </c>
      <c r="G2486" s="5">
        <v>772.774</v>
      </c>
      <c r="I2486" t="str">
        <f t="shared" si="193"/>
        <v>Low Sales</v>
      </c>
      <c r="J2486" t="str">
        <f t="shared" si="194"/>
        <v>Average Performance</v>
      </c>
      <c r="K2486">
        <f t="shared" si="195"/>
        <v>2003</v>
      </c>
      <c r="L2486" t="str">
        <f t="shared" si="196"/>
        <v>April</v>
      </c>
    </row>
    <row r="2487" spans="1:12" x14ac:dyDescent="0.25">
      <c r="A2487" t="s">
        <v>215</v>
      </c>
      <c r="B2487" t="s">
        <v>258</v>
      </c>
      <c r="C2487" t="s">
        <v>265</v>
      </c>
      <c r="D2487" t="str">
        <f t="shared" si="197"/>
        <v>Planes</v>
      </c>
      <c r="E2487" t="s">
        <v>364</v>
      </c>
      <c r="F2487" s="5">
        <v>1863.36</v>
      </c>
      <c r="G2487" s="5">
        <v>372.67200000000003</v>
      </c>
      <c r="I2487" t="str">
        <f t="shared" si="193"/>
        <v>Low Sales</v>
      </c>
      <c r="J2487" t="str">
        <f t="shared" si="194"/>
        <v>Average Performance</v>
      </c>
      <c r="K2487">
        <f t="shared" si="195"/>
        <v>2003</v>
      </c>
      <c r="L2487" t="str">
        <f t="shared" si="196"/>
        <v>June</v>
      </c>
    </row>
    <row r="2488" spans="1:12" x14ac:dyDescent="0.25">
      <c r="A2488" t="s">
        <v>71</v>
      </c>
      <c r="C2488" t="s">
        <v>265</v>
      </c>
      <c r="D2488" t="str">
        <f t="shared" si="197"/>
        <v>Planes</v>
      </c>
      <c r="E2488" t="s">
        <v>364</v>
      </c>
      <c r="F2488" s="5">
        <v>3945.96</v>
      </c>
      <c r="G2488" s="5">
        <v>789.19200000000001</v>
      </c>
      <c r="I2488" t="str">
        <f t="shared" si="193"/>
        <v>Low Sales</v>
      </c>
      <c r="J2488" t="str">
        <f t="shared" si="194"/>
        <v>Average Performance</v>
      </c>
      <c r="K2488">
        <f t="shared" si="195"/>
        <v>2003</v>
      </c>
      <c r="L2488" t="str">
        <f t="shared" si="196"/>
        <v>August</v>
      </c>
    </row>
    <row r="2489" spans="1:12" x14ac:dyDescent="0.25">
      <c r="A2489" t="s">
        <v>255</v>
      </c>
      <c r="B2489" t="s">
        <v>258</v>
      </c>
      <c r="C2489" t="s">
        <v>265</v>
      </c>
      <c r="D2489" t="str">
        <f t="shared" si="197"/>
        <v>Planes</v>
      </c>
      <c r="E2489" t="s">
        <v>364</v>
      </c>
      <c r="F2489" s="5">
        <v>4954.08</v>
      </c>
      <c r="G2489" s="5">
        <v>990.81600000000003</v>
      </c>
      <c r="I2489" t="str">
        <f t="shared" si="193"/>
        <v>Low Sales</v>
      </c>
      <c r="J2489" t="str">
        <f t="shared" si="194"/>
        <v>Average Performance</v>
      </c>
      <c r="K2489">
        <f t="shared" si="195"/>
        <v>2003</v>
      </c>
      <c r="L2489" t="str">
        <f t="shared" si="196"/>
        <v>October</v>
      </c>
    </row>
    <row r="2490" spans="1:12" x14ac:dyDescent="0.25">
      <c r="A2490" t="s">
        <v>11</v>
      </c>
      <c r="C2490" t="s">
        <v>265</v>
      </c>
      <c r="D2490" t="str">
        <f t="shared" si="197"/>
        <v>Planes</v>
      </c>
      <c r="E2490" t="s">
        <v>364</v>
      </c>
      <c r="F2490" s="5">
        <v>2762.2</v>
      </c>
      <c r="G2490" s="5">
        <v>552.43999999999994</v>
      </c>
      <c r="I2490" t="str">
        <f t="shared" si="193"/>
        <v>Low Sales</v>
      </c>
      <c r="J2490" t="str">
        <f t="shared" si="194"/>
        <v>Average Performance</v>
      </c>
      <c r="K2490">
        <f t="shared" si="195"/>
        <v>2003</v>
      </c>
      <c r="L2490" t="str">
        <f t="shared" si="196"/>
        <v>October</v>
      </c>
    </row>
    <row r="2491" spans="1:12" x14ac:dyDescent="0.25">
      <c r="A2491" t="s">
        <v>14</v>
      </c>
      <c r="C2491" t="s">
        <v>265</v>
      </c>
      <c r="D2491" t="str">
        <f t="shared" si="197"/>
        <v>Planes</v>
      </c>
      <c r="E2491" t="s">
        <v>364</v>
      </c>
      <c r="F2491" s="5">
        <v>3989.76</v>
      </c>
      <c r="G2491" s="5">
        <v>797.95200000000011</v>
      </c>
      <c r="I2491" t="str">
        <f t="shared" si="193"/>
        <v>Low Sales</v>
      </c>
      <c r="J2491" t="str">
        <f t="shared" si="194"/>
        <v>Average Performance</v>
      </c>
      <c r="K2491">
        <f t="shared" si="195"/>
        <v>2003</v>
      </c>
      <c r="L2491" t="str">
        <f t="shared" si="196"/>
        <v>December</v>
      </c>
    </row>
    <row r="2492" spans="1:12" x14ac:dyDescent="0.25">
      <c r="A2492" t="s">
        <v>61</v>
      </c>
      <c r="B2492" t="s">
        <v>260</v>
      </c>
      <c r="C2492" t="s">
        <v>265</v>
      </c>
      <c r="D2492" t="str">
        <f t="shared" si="197"/>
        <v>Planes</v>
      </c>
      <c r="E2492" t="s">
        <v>364</v>
      </c>
      <c r="F2492" s="5">
        <v>1649.55</v>
      </c>
      <c r="G2492" s="5">
        <v>329.91</v>
      </c>
      <c r="I2492" t="str">
        <f t="shared" si="193"/>
        <v>Low Sales</v>
      </c>
      <c r="J2492" t="str">
        <f t="shared" si="194"/>
        <v>Average Performance</v>
      </c>
      <c r="K2492">
        <f t="shared" si="195"/>
        <v>2004</v>
      </c>
      <c r="L2492" t="str">
        <f t="shared" si="196"/>
        <v>January</v>
      </c>
    </row>
    <row r="2493" spans="1:12" x14ac:dyDescent="0.25">
      <c r="A2493" t="s">
        <v>16</v>
      </c>
      <c r="B2493" t="s">
        <v>259</v>
      </c>
      <c r="C2493" t="s">
        <v>265</v>
      </c>
      <c r="D2493" t="str">
        <f t="shared" si="197"/>
        <v>Planes</v>
      </c>
      <c r="E2493" t="s">
        <v>364</v>
      </c>
      <c r="F2493" s="5">
        <v>2534.75</v>
      </c>
      <c r="G2493" s="5">
        <v>506.95</v>
      </c>
      <c r="I2493" t="str">
        <f t="shared" si="193"/>
        <v>Low Sales</v>
      </c>
      <c r="J2493" t="str">
        <f t="shared" si="194"/>
        <v>Average Performance</v>
      </c>
      <c r="K2493">
        <f t="shared" si="195"/>
        <v>2004</v>
      </c>
      <c r="L2493" t="str">
        <f t="shared" si="196"/>
        <v>February</v>
      </c>
    </row>
    <row r="2494" spans="1:12" x14ac:dyDescent="0.25">
      <c r="A2494" t="s">
        <v>216</v>
      </c>
      <c r="C2494" t="s">
        <v>265</v>
      </c>
      <c r="D2494" t="str">
        <f t="shared" si="197"/>
        <v>Planes</v>
      </c>
      <c r="E2494" t="s">
        <v>364</v>
      </c>
      <c r="F2494" s="5">
        <v>2580.25</v>
      </c>
      <c r="G2494" s="5">
        <v>516.05000000000007</v>
      </c>
      <c r="I2494" t="str">
        <f t="shared" si="193"/>
        <v>Low Sales</v>
      </c>
      <c r="J2494" t="str">
        <f t="shared" si="194"/>
        <v>Average Performance</v>
      </c>
      <c r="K2494">
        <f t="shared" si="195"/>
        <v>2004</v>
      </c>
      <c r="L2494" t="str">
        <f t="shared" si="196"/>
        <v>April</v>
      </c>
    </row>
    <row r="2495" spans="1:12" x14ac:dyDescent="0.25">
      <c r="A2495" t="s">
        <v>195</v>
      </c>
      <c r="C2495" t="s">
        <v>265</v>
      </c>
      <c r="D2495" t="str">
        <f t="shared" si="197"/>
        <v>Planes</v>
      </c>
      <c r="E2495" t="s">
        <v>364</v>
      </c>
      <c r="F2495" s="5">
        <v>2831.54</v>
      </c>
      <c r="G2495" s="5">
        <v>566.30799999999999</v>
      </c>
      <c r="I2495" t="str">
        <f t="shared" si="193"/>
        <v>Low Sales</v>
      </c>
      <c r="J2495" t="str">
        <f t="shared" si="194"/>
        <v>Average Performance</v>
      </c>
      <c r="K2495">
        <f t="shared" si="195"/>
        <v>2004</v>
      </c>
      <c r="L2495" t="str">
        <f t="shared" si="196"/>
        <v>May</v>
      </c>
    </row>
    <row r="2496" spans="1:12" x14ac:dyDescent="0.25">
      <c r="A2496" t="s">
        <v>196</v>
      </c>
      <c r="B2496" t="s">
        <v>258</v>
      </c>
      <c r="C2496" t="s">
        <v>265</v>
      </c>
      <c r="D2496" t="str">
        <f t="shared" si="197"/>
        <v>Planes</v>
      </c>
      <c r="E2496" t="s">
        <v>364</v>
      </c>
      <c r="F2496" s="5">
        <v>3361.2</v>
      </c>
      <c r="G2496" s="5">
        <v>672.24</v>
      </c>
      <c r="I2496" t="str">
        <f t="shared" si="193"/>
        <v>Low Sales</v>
      </c>
      <c r="J2496" t="str">
        <f t="shared" si="194"/>
        <v>Average Performance</v>
      </c>
      <c r="K2496">
        <f t="shared" si="195"/>
        <v>2004</v>
      </c>
      <c r="L2496" t="str">
        <f t="shared" si="196"/>
        <v>June</v>
      </c>
    </row>
    <row r="2497" spans="1:12" x14ac:dyDescent="0.25">
      <c r="A2497" t="s">
        <v>20</v>
      </c>
      <c r="B2497" t="s">
        <v>258</v>
      </c>
      <c r="C2497" t="s">
        <v>265</v>
      </c>
      <c r="D2497" t="str">
        <f t="shared" si="197"/>
        <v>Planes</v>
      </c>
      <c r="E2497" t="s">
        <v>364</v>
      </c>
      <c r="F2497" s="5">
        <v>2864.32</v>
      </c>
      <c r="G2497" s="5">
        <v>572.86400000000003</v>
      </c>
      <c r="I2497" t="str">
        <f t="shared" si="193"/>
        <v>Low Sales</v>
      </c>
      <c r="J2497" t="str">
        <f t="shared" si="194"/>
        <v>Average Performance</v>
      </c>
      <c r="K2497">
        <f t="shared" si="195"/>
        <v>2004</v>
      </c>
      <c r="L2497" t="str">
        <f t="shared" si="196"/>
        <v>July</v>
      </c>
    </row>
    <row r="2498" spans="1:12" x14ac:dyDescent="0.25">
      <c r="A2498" t="s">
        <v>197</v>
      </c>
      <c r="B2498" t="s">
        <v>258</v>
      </c>
      <c r="C2498" t="s">
        <v>265</v>
      </c>
      <c r="D2498" t="str">
        <f t="shared" si="197"/>
        <v>Planes</v>
      </c>
      <c r="E2498" t="s">
        <v>364</v>
      </c>
      <c r="F2498" s="5">
        <v>1994.88</v>
      </c>
      <c r="G2498" s="5">
        <v>398.97600000000011</v>
      </c>
      <c r="I2498" t="str">
        <f t="shared" si="193"/>
        <v>Low Sales</v>
      </c>
      <c r="J2498" t="str">
        <f t="shared" si="194"/>
        <v>Average Performance</v>
      </c>
      <c r="K2498">
        <f t="shared" si="195"/>
        <v>2004</v>
      </c>
      <c r="L2498" t="str">
        <f t="shared" si="196"/>
        <v>August</v>
      </c>
    </row>
    <row r="2499" spans="1:12" x14ac:dyDescent="0.25">
      <c r="A2499" t="s">
        <v>198</v>
      </c>
      <c r="B2499" t="s">
        <v>258</v>
      </c>
      <c r="C2499" t="s">
        <v>265</v>
      </c>
      <c r="D2499" t="str">
        <f t="shared" si="197"/>
        <v>Planes</v>
      </c>
      <c r="E2499" t="s">
        <v>364</v>
      </c>
      <c r="F2499" s="5">
        <v>4296.6000000000004</v>
      </c>
      <c r="G2499" s="5">
        <v>859.32000000000016</v>
      </c>
      <c r="I2499" t="str">
        <f t="shared" ref="I2499:I2562" si="198">IF(F2499&gt;50000,"High Sales","Low Sales")</f>
        <v>Low Sales</v>
      </c>
      <c r="J2499" t="str">
        <f t="shared" ref="J2499:J2562" si="199">IF(AND(F2499&gt;30000,G2499&gt;5000),"Good Performance","Average Performance")</f>
        <v>Average Performance</v>
      </c>
      <c r="K2499">
        <f t="shared" ref="K2499:K2562" si="200">YEAR(A2499)</f>
        <v>2004</v>
      </c>
      <c r="L2499" t="str">
        <f t="shared" ref="L2499:L2562" si="201">TEXT(A2499,"mmmm")</f>
        <v>September</v>
      </c>
    </row>
    <row r="2500" spans="1:12" x14ac:dyDescent="0.25">
      <c r="A2500" t="s">
        <v>23</v>
      </c>
      <c r="C2500" t="s">
        <v>265</v>
      </c>
      <c r="D2500" t="str">
        <f t="shared" si="197"/>
        <v>Planes</v>
      </c>
      <c r="E2500" t="s">
        <v>364</v>
      </c>
      <c r="F2500" s="5">
        <v>2224.9499999999998</v>
      </c>
      <c r="G2500" s="5">
        <v>444.99</v>
      </c>
      <c r="I2500" t="str">
        <f t="shared" si="198"/>
        <v>Low Sales</v>
      </c>
      <c r="J2500" t="str">
        <f t="shared" si="199"/>
        <v>Average Performance</v>
      </c>
      <c r="K2500">
        <f t="shared" si="200"/>
        <v>2004</v>
      </c>
      <c r="L2500" t="str">
        <f t="shared" si="201"/>
        <v>October</v>
      </c>
    </row>
    <row r="2501" spans="1:12" x14ac:dyDescent="0.25">
      <c r="A2501" t="s">
        <v>85</v>
      </c>
      <c r="B2501" t="s">
        <v>258</v>
      </c>
      <c r="C2501" t="s">
        <v>265</v>
      </c>
      <c r="D2501" t="str">
        <f t="shared" si="197"/>
        <v>Planes</v>
      </c>
      <c r="E2501" t="s">
        <v>364</v>
      </c>
      <c r="F2501" s="5">
        <v>2795.14</v>
      </c>
      <c r="G2501" s="5">
        <v>559.02800000000002</v>
      </c>
      <c r="I2501" t="str">
        <f t="shared" si="198"/>
        <v>Low Sales</v>
      </c>
      <c r="J2501" t="str">
        <f t="shared" si="199"/>
        <v>Average Performance</v>
      </c>
      <c r="K2501">
        <f t="shared" si="200"/>
        <v>2004</v>
      </c>
      <c r="L2501" t="str">
        <f t="shared" si="201"/>
        <v>November</v>
      </c>
    </row>
    <row r="2502" spans="1:12" x14ac:dyDescent="0.25">
      <c r="A2502" t="s">
        <v>239</v>
      </c>
      <c r="B2502" t="s">
        <v>258</v>
      </c>
      <c r="C2502" t="s">
        <v>265</v>
      </c>
      <c r="D2502" t="str">
        <f t="shared" si="197"/>
        <v>Planes</v>
      </c>
      <c r="E2502" t="s">
        <v>364</v>
      </c>
      <c r="F2502" s="5">
        <v>2762.1</v>
      </c>
      <c r="G2502" s="5">
        <v>552.41999999999996</v>
      </c>
      <c r="I2502" t="str">
        <f t="shared" si="198"/>
        <v>Low Sales</v>
      </c>
      <c r="J2502" t="str">
        <f t="shared" si="199"/>
        <v>Average Performance</v>
      </c>
      <c r="K2502">
        <f t="shared" si="200"/>
        <v>2004</v>
      </c>
      <c r="L2502" t="str">
        <f t="shared" si="201"/>
        <v>November</v>
      </c>
    </row>
    <row r="2503" spans="1:12" x14ac:dyDescent="0.25">
      <c r="A2503" t="s">
        <v>26</v>
      </c>
      <c r="B2503" t="s">
        <v>258</v>
      </c>
      <c r="C2503" t="s">
        <v>265</v>
      </c>
      <c r="D2503" t="str">
        <f t="shared" si="197"/>
        <v>Planes</v>
      </c>
      <c r="E2503" t="s">
        <v>364</v>
      </c>
      <c r="F2503" s="5">
        <v>2658</v>
      </c>
      <c r="G2503" s="5">
        <v>531.6</v>
      </c>
      <c r="I2503" t="str">
        <f t="shared" si="198"/>
        <v>Low Sales</v>
      </c>
      <c r="J2503" t="str">
        <f t="shared" si="199"/>
        <v>Average Performance</v>
      </c>
      <c r="K2503">
        <f t="shared" si="200"/>
        <v>2004</v>
      </c>
      <c r="L2503" t="str">
        <f t="shared" si="201"/>
        <v>November</v>
      </c>
    </row>
    <row r="2504" spans="1:12" x14ac:dyDescent="0.25">
      <c r="A2504" t="s">
        <v>218</v>
      </c>
      <c r="C2504" t="s">
        <v>265</v>
      </c>
      <c r="D2504" t="str">
        <f t="shared" si="197"/>
        <v>Planes</v>
      </c>
      <c r="E2504" t="s">
        <v>364</v>
      </c>
      <c r="F2504" s="5">
        <v>5043.87</v>
      </c>
      <c r="G2504" s="5">
        <v>1008.774</v>
      </c>
      <c r="I2504" t="str">
        <f t="shared" si="198"/>
        <v>Low Sales</v>
      </c>
      <c r="J2504" t="str">
        <f t="shared" si="199"/>
        <v>Average Performance</v>
      </c>
      <c r="K2504">
        <f t="shared" si="200"/>
        <v>2004</v>
      </c>
      <c r="L2504" t="str">
        <f t="shared" si="201"/>
        <v>December</v>
      </c>
    </row>
    <row r="2505" spans="1:12" x14ac:dyDescent="0.25">
      <c r="A2505" t="s">
        <v>27</v>
      </c>
      <c r="B2505" t="s">
        <v>259</v>
      </c>
      <c r="C2505" t="s">
        <v>265</v>
      </c>
      <c r="D2505" t="str">
        <f t="shared" si="197"/>
        <v>Planes</v>
      </c>
      <c r="E2505" t="s">
        <v>364</v>
      </c>
      <c r="F2505" s="5">
        <v>1210.8</v>
      </c>
      <c r="G2505" s="5">
        <v>242.16</v>
      </c>
      <c r="I2505" t="str">
        <f t="shared" si="198"/>
        <v>Low Sales</v>
      </c>
      <c r="J2505" t="str">
        <f t="shared" si="199"/>
        <v>Average Performance</v>
      </c>
      <c r="K2505">
        <f t="shared" si="200"/>
        <v>2004</v>
      </c>
      <c r="L2505" t="str">
        <f t="shared" si="201"/>
        <v>December</v>
      </c>
    </row>
    <row r="2506" spans="1:12" x14ac:dyDescent="0.25">
      <c r="A2506" t="s">
        <v>28</v>
      </c>
      <c r="B2506" t="s">
        <v>258</v>
      </c>
      <c r="C2506" t="s">
        <v>265</v>
      </c>
      <c r="D2506" t="str">
        <f t="shared" si="197"/>
        <v>Planes</v>
      </c>
      <c r="E2506" t="s">
        <v>364</v>
      </c>
      <c r="F2506" s="5">
        <v>3029.19</v>
      </c>
      <c r="G2506" s="5">
        <v>605.83800000000008</v>
      </c>
      <c r="I2506" t="str">
        <f t="shared" si="198"/>
        <v>Low Sales</v>
      </c>
      <c r="J2506" t="str">
        <f t="shared" si="199"/>
        <v>Average Performance</v>
      </c>
      <c r="K2506">
        <f t="shared" si="200"/>
        <v>2005</v>
      </c>
      <c r="L2506" t="str">
        <f t="shared" si="201"/>
        <v>February</v>
      </c>
    </row>
    <row r="2507" spans="1:12" x14ac:dyDescent="0.25">
      <c r="A2507" t="s">
        <v>29</v>
      </c>
      <c r="C2507" t="s">
        <v>265</v>
      </c>
      <c r="D2507" t="str">
        <f t="shared" si="197"/>
        <v>Planes</v>
      </c>
      <c r="E2507" t="s">
        <v>364</v>
      </c>
      <c r="F2507" s="5">
        <v>10066.6</v>
      </c>
      <c r="G2507" s="5">
        <v>2013.32</v>
      </c>
      <c r="I2507" t="str">
        <f t="shared" si="198"/>
        <v>Low Sales</v>
      </c>
      <c r="J2507" t="str">
        <f t="shared" si="199"/>
        <v>Average Performance</v>
      </c>
      <c r="K2507">
        <f t="shared" si="200"/>
        <v>2005</v>
      </c>
      <c r="L2507" t="str">
        <f t="shared" si="201"/>
        <v>March</v>
      </c>
    </row>
    <row r="2508" spans="1:12" x14ac:dyDescent="0.25">
      <c r="A2508" t="s">
        <v>203</v>
      </c>
      <c r="B2508" t="s">
        <v>258</v>
      </c>
      <c r="C2508" t="s">
        <v>265</v>
      </c>
      <c r="D2508" t="str">
        <f t="shared" si="197"/>
        <v>Planes</v>
      </c>
      <c r="E2508" t="s">
        <v>364</v>
      </c>
      <c r="F2508" s="5">
        <v>4121.43</v>
      </c>
      <c r="G2508" s="5">
        <v>824.28600000000006</v>
      </c>
      <c r="I2508" t="str">
        <f t="shared" si="198"/>
        <v>Low Sales</v>
      </c>
      <c r="J2508" t="str">
        <f t="shared" si="199"/>
        <v>Average Performance</v>
      </c>
      <c r="K2508">
        <f t="shared" si="200"/>
        <v>2005</v>
      </c>
      <c r="L2508" t="str">
        <f t="shared" si="201"/>
        <v>March</v>
      </c>
    </row>
    <row r="2509" spans="1:12" x14ac:dyDescent="0.25">
      <c r="A2509" t="s">
        <v>219</v>
      </c>
      <c r="C2509" t="s">
        <v>265</v>
      </c>
      <c r="D2509" t="str">
        <f t="shared" si="197"/>
        <v>Planes</v>
      </c>
      <c r="E2509" t="s">
        <v>364</v>
      </c>
      <c r="F2509" s="5">
        <v>1135.31</v>
      </c>
      <c r="G2509" s="5">
        <v>227.06200000000001</v>
      </c>
      <c r="I2509" t="str">
        <f t="shared" si="198"/>
        <v>Low Sales</v>
      </c>
      <c r="J2509" t="str">
        <f t="shared" si="199"/>
        <v>Average Performance</v>
      </c>
      <c r="K2509">
        <f t="shared" si="200"/>
        <v>2005</v>
      </c>
      <c r="L2509" t="str">
        <f t="shared" si="201"/>
        <v>April</v>
      </c>
    </row>
    <row r="2510" spans="1:12" x14ac:dyDescent="0.25">
      <c r="A2510" t="s">
        <v>204</v>
      </c>
      <c r="B2510" t="s">
        <v>258</v>
      </c>
      <c r="C2510" t="s">
        <v>265</v>
      </c>
      <c r="D2510" t="str">
        <f t="shared" si="197"/>
        <v>Planes</v>
      </c>
      <c r="E2510" t="s">
        <v>364</v>
      </c>
      <c r="F2510" s="5">
        <v>2100.8200000000002</v>
      </c>
      <c r="G2510" s="5">
        <v>420.16399999999999</v>
      </c>
      <c r="I2510" t="str">
        <f t="shared" si="198"/>
        <v>Low Sales</v>
      </c>
      <c r="J2510" t="str">
        <f t="shared" si="199"/>
        <v>Average Performance</v>
      </c>
      <c r="K2510">
        <f t="shared" si="200"/>
        <v>2005</v>
      </c>
      <c r="L2510" t="str">
        <f t="shared" si="201"/>
        <v>May</v>
      </c>
    </row>
    <row r="2511" spans="1:12" x14ac:dyDescent="0.25">
      <c r="A2511" t="s">
        <v>68</v>
      </c>
      <c r="B2511" t="s">
        <v>258</v>
      </c>
      <c r="C2511" t="s">
        <v>266</v>
      </c>
      <c r="D2511" t="str">
        <f t="shared" si="197"/>
        <v>Ships</v>
      </c>
      <c r="E2511" t="s">
        <v>365</v>
      </c>
      <c r="F2511" s="5">
        <v>2034.35</v>
      </c>
      <c r="G2511" s="5">
        <v>406.87</v>
      </c>
      <c r="I2511" t="str">
        <f t="shared" si="198"/>
        <v>Low Sales</v>
      </c>
      <c r="J2511" t="str">
        <f t="shared" si="199"/>
        <v>Average Performance</v>
      </c>
      <c r="K2511">
        <f t="shared" si="200"/>
        <v>2003</v>
      </c>
      <c r="L2511" t="str">
        <f t="shared" si="201"/>
        <v>February</v>
      </c>
    </row>
    <row r="2512" spans="1:12" x14ac:dyDescent="0.25">
      <c r="A2512" t="s">
        <v>123</v>
      </c>
      <c r="B2512" t="s">
        <v>260</v>
      </c>
      <c r="C2512" t="s">
        <v>266</v>
      </c>
      <c r="D2512" t="str">
        <f t="shared" si="197"/>
        <v>Ships</v>
      </c>
      <c r="E2512" t="s">
        <v>365</v>
      </c>
      <c r="F2512" s="5">
        <v>3027.84</v>
      </c>
      <c r="G2512" s="5">
        <v>605.5680000000001</v>
      </c>
      <c r="I2512" t="str">
        <f t="shared" si="198"/>
        <v>Low Sales</v>
      </c>
      <c r="J2512" t="str">
        <f t="shared" si="199"/>
        <v>Average Performance</v>
      </c>
      <c r="K2512">
        <f t="shared" si="200"/>
        <v>2003</v>
      </c>
      <c r="L2512" t="str">
        <f t="shared" si="201"/>
        <v>April</v>
      </c>
    </row>
    <row r="2513" spans="1:12" x14ac:dyDescent="0.25">
      <c r="A2513" t="s">
        <v>224</v>
      </c>
      <c r="B2513" t="s">
        <v>258</v>
      </c>
      <c r="C2513" t="s">
        <v>266</v>
      </c>
      <c r="D2513" t="str">
        <f t="shared" si="197"/>
        <v>Ships</v>
      </c>
      <c r="E2513" t="s">
        <v>365</v>
      </c>
      <c r="F2513" s="5">
        <v>3104</v>
      </c>
      <c r="G2513" s="5">
        <v>620.80000000000007</v>
      </c>
      <c r="I2513" t="str">
        <f t="shared" si="198"/>
        <v>Low Sales</v>
      </c>
      <c r="J2513" t="str">
        <f t="shared" si="199"/>
        <v>Average Performance</v>
      </c>
      <c r="K2513">
        <f t="shared" si="200"/>
        <v>2003</v>
      </c>
      <c r="L2513" t="str">
        <f t="shared" si="201"/>
        <v>June</v>
      </c>
    </row>
    <row r="2514" spans="1:12" x14ac:dyDescent="0.25">
      <c r="A2514" t="s">
        <v>125</v>
      </c>
      <c r="C2514" t="s">
        <v>266</v>
      </c>
      <c r="D2514" t="str">
        <f t="shared" ref="D2514:D2577" si="202">PROPER(TRIM(C2514))</f>
        <v>Ships</v>
      </c>
      <c r="E2514" t="s">
        <v>365</v>
      </c>
      <c r="F2514" s="5">
        <v>3612.43</v>
      </c>
      <c r="G2514" s="5">
        <v>722.48599999999999</v>
      </c>
      <c r="I2514" t="str">
        <f t="shared" si="198"/>
        <v>Low Sales</v>
      </c>
      <c r="J2514" t="str">
        <f t="shared" si="199"/>
        <v>Average Performance</v>
      </c>
      <c r="K2514">
        <f t="shared" si="200"/>
        <v>2003</v>
      </c>
      <c r="L2514" t="str">
        <f t="shared" si="201"/>
        <v>August</v>
      </c>
    </row>
    <row r="2515" spans="1:12" x14ac:dyDescent="0.25">
      <c r="A2515" t="s">
        <v>126</v>
      </c>
      <c r="B2515" t="s">
        <v>258</v>
      </c>
      <c r="C2515" t="s">
        <v>266</v>
      </c>
      <c r="D2515" t="str">
        <f t="shared" si="202"/>
        <v>Ships</v>
      </c>
      <c r="E2515" t="s">
        <v>365</v>
      </c>
      <c r="F2515" s="5">
        <v>2711.88</v>
      </c>
      <c r="G2515" s="5">
        <v>542.37600000000009</v>
      </c>
      <c r="I2515" t="str">
        <f t="shared" si="198"/>
        <v>Low Sales</v>
      </c>
      <c r="J2515" t="str">
        <f t="shared" si="199"/>
        <v>Average Performance</v>
      </c>
      <c r="K2515">
        <f t="shared" si="200"/>
        <v>2003</v>
      </c>
      <c r="L2515" t="str">
        <f t="shared" si="201"/>
        <v>September</v>
      </c>
    </row>
    <row r="2516" spans="1:12" x14ac:dyDescent="0.25">
      <c r="A2516" t="s">
        <v>96</v>
      </c>
      <c r="C2516" t="s">
        <v>266</v>
      </c>
      <c r="D2516" t="str">
        <f t="shared" si="202"/>
        <v>Ships</v>
      </c>
      <c r="E2516" t="s">
        <v>365</v>
      </c>
      <c r="F2516" s="5">
        <v>3013.97</v>
      </c>
      <c r="G2516" s="5">
        <v>602.79399999999998</v>
      </c>
      <c r="I2516" t="str">
        <f t="shared" si="198"/>
        <v>Low Sales</v>
      </c>
      <c r="J2516" t="str">
        <f t="shared" si="199"/>
        <v>Average Performance</v>
      </c>
      <c r="K2516">
        <f t="shared" si="200"/>
        <v>2003</v>
      </c>
      <c r="L2516" t="str">
        <f t="shared" si="201"/>
        <v>October</v>
      </c>
    </row>
    <row r="2517" spans="1:12" x14ac:dyDescent="0.25">
      <c r="A2517" t="s">
        <v>225</v>
      </c>
      <c r="B2517" t="s">
        <v>258</v>
      </c>
      <c r="C2517" t="s">
        <v>266</v>
      </c>
      <c r="D2517" t="str">
        <f t="shared" si="202"/>
        <v>Ships</v>
      </c>
      <c r="E2517" t="s">
        <v>365</v>
      </c>
      <c r="F2517" s="5">
        <v>2738.54</v>
      </c>
      <c r="G2517" s="5">
        <v>547.70799999999997</v>
      </c>
      <c r="I2517" t="str">
        <f t="shared" si="198"/>
        <v>Low Sales</v>
      </c>
      <c r="J2517" t="str">
        <f t="shared" si="199"/>
        <v>Average Performance</v>
      </c>
      <c r="K2517">
        <f t="shared" si="200"/>
        <v>2003</v>
      </c>
      <c r="L2517" t="str">
        <f t="shared" si="201"/>
        <v>November</v>
      </c>
    </row>
    <row r="2518" spans="1:12" x14ac:dyDescent="0.25">
      <c r="A2518" t="s">
        <v>75</v>
      </c>
      <c r="C2518" t="s">
        <v>266</v>
      </c>
      <c r="D2518" t="str">
        <f t="shared" si="202"/>
        <v>Ships</v>
      </c>
      <c r="E2518" t="s">
        <v>365</v>
      </c>
      <c r="F2518" s="5">
        <v>2832</v>
      </c>
      <c r="G2518" s="5">
        <v>566.4</v>
      </c>
      <c r="I2518" t="str">
        <f t="shared" si="198"/>
        <v>Low Sales</v>
      </c>
      <c r="J2518" t="str">
        <f t="shared" si="199"/>
        <v>Average Performance</v>
      </c>
      <c r="K2518">
        <f t="shared" si="200"/>
        <v>2003</v>
      </c>
      <c r="L2518" t="str">
        <f t="shared" si="201"/>
        <v>November</v>
      </c>
    </row>
    <row r="2519" spans="1:12" x14ac:dyDescent="0.25">
      <c r="A2519" t="s">
        <v>76</v>
      </c>
      <c r="C2519" t="s">
        <v>266</v>
      </c>
      <c r="D2519" t="str">
        <f t="shared" si="202"/>
        <v>Ships</v>
      </c>
      <c r="E2519" t="s">
        <v>365</v>
      </c>
      <c r="F2519" s="5">
        <v>4720</v>
      </c>
      <c r="G2519" s="5">
        <v>944</v>
      </c>
      <c r="I2519" t="str">
        <f t="shared" si="198"/>
        <v>Low Sales</v>
      </c>
      <c r="J2519" t="str">
        <f t="shared" si="199"/>
        <v>Average Performance</v>
      </c>
      <c r="K2519">
        <f t="shared" si="200"/>
        <v>2003</v>
      </c>
      <c r="L2519" t="str">
        <f t="shared" si="201"/>
        <v>November</v>
      </c>
    </row>
    <row r="2520" spans="1:12" x14ac:dyDescent="0.25">
      <c r="A2520" t="s">
        <v>128</v>
      </c>
      <c r="B2520" t="s">
        <v>258</v>
      </c>
      <c r="C2520" t="s">
        <v>266</v>
      </c>
      <c r="D2520" t="str">
        <f t="shared" si="202"/>
        <v>Ships</v>
      </c>
      <c r="E2520" t="s">
        <v>365</v>
      </c>
      <c r="F2520" s="5">
        <v>3222</v>
      </c>
      <c r="G2520" s="5">
        <v>644.40000000000009</v>
      </c>
      <c r="I2520" t="str">
        <f t="shared" si="198"/>
        <v>Low Sales</v>
      </c>
      <c r="J2520" t="str">
        <f t="shared" si="199"/>
        <v>Average Performance</v>
      </c>
      <c r="K2520">
        <f t="shared" si="200"/>
        <v>2004</v>
      </c>
      <c r="L2520" t="str">
        <f t="shared" si="201"/>
        <v>January</v>
      </c>
    </row>
    <row r="2521" spans="1:12" x14ac:dyDescent="0.25">
      <c r="A2521" t="s">
        <v>226</v>
      </c>
      <c r="B2521" t="s">
        <v>258</v>
      </c>
      <c r="C2521" t="s">
        <v>266</v>
      </c>
      <c r="D2521" t="str">
        <f t="shared" si="202"/>
        <v>Ships</v>
      </c>
      <c r="E2521" t="s">
        <v>365</v>
      </c>
      <c r="F2521" s="5">
        <v>2231</v>
      </c>
      <c r="G2521" s="5">
        <v>446.2</v>
      </c>
      <c r="I2521" t="str">
        <f t="shared" si="198"/>
        <v>Low Sales</v>
      </c>
      <c r="J2521" t="str">
        <f t="shared" si="199"/>
        <v>Average Performance</v>
      </c>
      <c r="K2521">
        <f t="shared" si="200"/>
        <v>2004</v>
      </c>
      <c r="L2521" t="str">
        <f t="shared" si="201"/>
        <v>February</v>
      </c>
    </row>
    <row r="2522" spans="1:12" x14ac:dyDescent="0.25">
      <c r="A2522" t="s">
        <v>227</v>
      </c>
      <c r="B2522" t="s">
        <v>258</v>
      </c>
      <c r="C2522" t="s">
        <v>266</v>
      </c>
      <c r="D2522" t="str">
        <f t="shared" si="202"/>
        <v>Ships</v>
      </c>
      <c r="E2522" t="s">
        <v>365</v>
      </c>
      <c r="F2522" s="5">
        <v>2296.84</v>
      </c>
      <c r="G2522" s="5">
        <v>459.36800000000011</v>
      </c>
      <c r="I2522" t="str">
        <f t="shared" si="198"/>
        <v>Low Sales</v>
      </c>
      <c r="J2522" t="str">
        <f t="shared" si="199"/>
        <v>Average Performance</v>
      </c>
      <c r="K2522">
        <f t="shared" si="200"/>
        <v>2004</v>
      </c>
      <c r="L2522" t="str">
        <f t="shared" si="201"/>
        <v>March</v>
      </c>
    </row>
    <row r="2523" spans="1:12" x14ac:dyDescent="0.25">
      <c r="A2523" t="s">
        <v>79</v>
      </c>
      <c r="C2523" t="s">
        <v>266</v>
      </c>
      <c r="D2523" t="str">
        <f t="shared" si="202"/>
        <v>Ships</v>
      </c>
      <c r="E2523" t="s">
        <v>365</v>
      </c>
      <c r="F2523" s="5">
        <v>4157.2</v>
      </c>
      <c r="G2523" s="5">
        <v>831.44</v>
      </c>
      <c r="I2523" t="str">
        <f t="shared" si="198"/>
        <v>Low Sales</v>
      </c>
      <c r="J2523" t="str">
        <f t="shared" si="199"/>
        <v>Average Performance</v>
      </c>
      <c r="K2523">
        <f t="shared" si="200"/>
        <v>2004</v>
      </c>
      <c r="L2523" t="str">
        <f t="shared" si="201"/>
        <v>May</v>
      </c>
    </row>
    <row r="2524" spans="1:12" x14ac:dyDescent="0.25">
      <c r="A2524" t="s">
        <v>81</v>
      </c>
      <c r="B2524" t="s">
        <v>258</v>
      </c>
      <c r="C2524" t="s">
        <v>266</v>
      </c>
      <c r="D2524" t="str">
        <f t="shared" si="202"/>
        <v>Ships</v>
      </c>
      <c r="E2524" t="s">
        <v>365</v>
      </c>
      <c r="F2524" s="5">
        <v>2146.1999999999998</v>
      </c>
      <c r="G2524" s="5">
        <v>429.24</v>
      </c>
      <c r="I2524" t="str">
        <f t="shared" si="198"/>
        <v>Low Sales</v>
      </c>
      <c r="J2524" t="str">
        <f t="shared" si="199"/>
        <v>Average Performance</v>
      </c>
      <c r="K2524">
        <f t="shared" si="200"/>
        <v>2004</v>
      </c>
      <c r="L2524" t="str">
        <f t="shared" si="201"/>
        <v>July</v>
      </c>
    </row>
    <row r="2525" spans="1:12" x14ac:dyDescent="0.25">
      <c r="A2525" t="s">
        <v>82</v>
      </c>
      <c r="C2525" t="s">
        <v>266</v>
      </c>
      <c r="D2525" t="str">
        <f t="shared" si="202"/>
        <v>Ships</v>
      </c>
      <c r="E2525" t="s">
        <v>365</v>
      </c>
      <c r="F2525" s="5">
        <v>3724.23</v>
      </c>
      <c r="G2525" s="5">
        <v>744.846</v>
      </c>
      <c r="I2525" t="str">
        <f t="shared" si="198"/>
        <v>Low Sales</v>
      </c>
      <c r="J2525" t="str">
        <f t="shared" si="199"/>
        <v>Average Performance</v>
      </c>
      <c r="K2525">
        <f t="shared" si="200"/>
        <v>2004</v>
      </c>
      <c r="L2525" t="str">
        <f t="shared" si="201"/>
        <v>August</v>
      </c>
    </row>
    <row r="2526" spans="1:12" x14ac:dyDescent="0.25">
      <c r="A2526" t="s">
        <v>133</v>
      </c>
      <c r="B2526" t="s">
        <v>258</v>
      </c>
      <c r="C2526" t="s">
        <v>266</v>
      </c>
      <c r="D2526" t="str">
        <f t="shared" si="202"/>
        <v>Ships</v>
      </c>
      <c r="E2526" t="s">
        <v>365</v>
      </c>
      <c r="F2526" s="5">
        <v>2084.81</v>
      </c>
      <c r="G2526" s="5">
        <v>416.96199999999999</v>
      </c>
      <c r="I2526" t="str">
        <f t="shared" si="198"/>
        <v>Low Sales</v>
      </c>
      <c r="J2526" t="str">
        <f t="shared" si="199"/>
        <v>Average Performance</v>
      </c>
      <c r="K2526">
        <f t="shared" si="200"/>
        <v>2004</v>
      </c>
      <c r="L2526" t="str">
        <f t="shared" si="201"/>
        <v>September</v>
      </c>
    </row>
    <row r="2527" spans="1:12" x14ac:dyDescent="0.25">
      <c r="A2527" t="s">
        <v>84</v>
      </c>
      <c r="B2527" t="s">
        <v>258</v>
      </c>
      <c r="C2527" t="s">
        <v>266</v>
      </c>
      <c r="D2527" t="str">
        <f t="shared" si="202"/>
        <v>Ships</v>
      </c>
      <c r="E2527" t="s">
        <v>365</v>
      </c>
      <c r="F2527" s="5">
        <v>3488.78</v>
      </c>
      <c r="G2527" s="5">
        <v>697.75600000000009</v>
      </c>
      <c r="I2527" t="str">
        <f t="shared" si="198"/>
        <v>Low Sales</v>
      </c>
      <c r="J2527" t="str">
        <f t="shared" si="199"/>
        <v>Average Performance</v>
      </c>
      <c r="K2527">
        <f t="shared" si="200"/>
        <v>2004</v>
      </c>
      <c r="L2527" t="str">
        <f t="shared" si="201"/>
        <v>October</v>
      </c>
    </row>
    <row r="2528" spans="1:12" x14ac:dyDescent="0.25">
      <c r="A2528" t="s">
        <v>102</v>
      </c>
      <c r="B2528" t="s">
        <v>258</v>
      </c>
      <c r="C2528" t="s">
        <v>266</v>
      </c>
      <c r="D2528" t="str">
        <f t="shared" si="202"/>
        <v>Ships</v>
      </c>
      <c r="E2528" t="s">
        <v>365</v>
      </c>
      <c r="F2528" s="5">
        <v>1753.06</v>
      </c>
      <c r="G2528" s="5">
        <v>350.61200000000002</v>
      </c>
      <c r="I2528" t="str">
        <f t="shared" si="198"/>
        <v>Low Sales</v>
      </c>
      <c r="J2528" t="str">
        <f t="shared" si="199"/>
        <v>Average Performance</v>
      </c>
      <c r="K2528">
        <f t="shared" si="200"/>
        <v>2004</v>
      </c>
      <c r="L2528" t="str">
        <f t="shared" si="201"/>
        <v>October</v>
      </c>
    </row>
    <row r="2529" spans="1:12" x14ac:dyDescent="0.25">
      <c r="A2529" t="s">
        <v>199</v>
      </c>
      <c r="B2529" t="s">
        <v>258</v>
      </c>
      <c r="C2529" t="s">
        <v>266</v>
      </c>
      <c r="D2529" t="str">
        <f t="shared" si="202"/>
        <v>Ships</v>
      </c>
      <c r="E2529" t="s">
        <v>365</v>
      </c>
      <c r="F2529" s="5">
        <v>3469.2</v>
      </c>
      <c r="G2529" s="5">
        <v>693.84</v>
      </c>
      <c r="I2529" t="str">
        <f t="shared" si="198"/>
        <v>Low Sales</v>
      </c>
      <c r="J2529" t="str">
        <f t="shared" si="199"/>
        <v>Average Performance</v>
      </c>
      <c r="K2529">
        <f t="shared" si="200"/>
        <v>2004</v>
      </c>
      <c r="L2529" t="str">
        <f t="shared" si="201"/>
        <v>November</v>
      </c>
    </row>
    <row r="2530" spans="1:12" x14ac:dyDescent="0.25">
      <c r="A2530" t="s">
        <v>87</v>
      </c>
      <c r="C2530" t="s">
        <v>266</v>
      </c>
      <c r="D2530" t="str">
        <f t="shared" si="202"/>
        <v>Ships</v>
      </c>
      <c r="E2530" t="s">
        <v>365</v>
      </c>
      <c r="F2530" s="5">
        <v>2530.8000000000002</v>
      </c>
      <c r="G2530" s="5">
        <v>506.16000000000008</v>
      </c>
      <c r="I2530" t="str">
        <f t="shared" si="198"/>
        <v>Low Sales</v>
      </c>
      <c r="J2530" t="str">
        <f t="shared" si="199"/>
        <v>Average Performance</v>
      </c>
      <c r="K2530">
        <f t="shared" si="200"/>
        <v>2004</v>
      </c>
      <c r="L2530" t="str">
        <f t="shared" si="201"/>
        <v>November</v>
      </c>
    </row>
    <row r="2531" spans="1:12" x14ac:dyDescent="0.25">
      <c r="A2531" t="s">
        <v>88</v>
      </c>
      <c r="B2531" t="s">
        <v>258</v>
      </c>
      <c r="C2531" t="s">
        <v>266</v>
      </c>
      <c r="D2531" t="str">
        <f t="shared" si="202"/>
        <v>Ships</v>
      </c>
      <c r="E2531" t="s">
        <v>365</v>
      </c>
      <c r="F2531" s="5">
        <v>2924.32</v>
      </c>
      <c r="G2531" s="5">
        <v>584.86400000000003</v>
      </c>
      <c r="I2531" t="str">
        <f t="shared" si="198"/>
        <v>Low Sales</v>
      </c>
      <c r="J2531" t="str">
        <f t="shared" si="199"/>
        <v>Average Performance</v>
      </c>
      <c r="K2531">
        <f t="shared" si="200"/>
        <v>2004</v>
      </c>
      <c r="L2531" t="str">
        <f t="shared" si="201"/>
        <v>December</v>
      </c>
    </row>
    <row r="2532" spans="1:12" x14ac:dyDescent="0.25">
      <c r="A2532" t="s">
        <v>142</v>
      </c>
      <c r="B2532" t="s">
        <v>260</v>
      </c>
      <c r="C2532" t="s">
        <v>266</v>
      </c>
      <c r="D2532" t="str">
        <f t="shared" si="202"/>
        <v>Ships</v>
      </c>
      <c r="E2532" t="s">
        <v>365</v>
      </c>
      <c r="F2532" s="5">
        <v>4496.8</v>
      </c>
      <c r="G2532" s="5">
        <v>899.36000000000013</v>
      </c>
      <c r="I2532" t="str">
        <f t="shared" si="198"/>
        <v>Low Sales</v>
      </c>
      <c r="J2532" t="str">
        <f t="shared" si="199"/>
        <v>Average Performance</v>
      </c>
      <c r="K2532">
        <f t="shared" si="200"/>
        <v>2005</v>
      </c>
      <c r="L2532" t="str">
        <f t="shared" si="201"/>
        <v>January</v>
      </c>
    </row>
    <row r="2533" spans="1:12" x14ac:dyDescent="0.25">
      <c r="A2533" t="s">
        <v>91</v>
      </c>
      <c r="C2533" t="s">
        <v>266</v>
      </c>
      <c r="D2533" t="str">
        <f t="shared" si="202"/>
        <v>Ships</v>
      </c>
      <c r="E2533" t="s">
        <v>365</v>
      </c>
      <c r="F2533" s="5">
        <v>6397.44</v>
      </c>
      <c r="G2533" s="5">
        <v>1279.4880000000001</v>
      </c>
      <c r="I2533" t="str">
        <f t="shared" si="198"/>
        <v>Low Sales</v>
      </c>
      <c r="J2533" t="str">
        <f t="shared" si="199"/>
        <v>Average Performance</v>
      </c>
      <c r="K2533">
        <f t="shared" si="200"/>
        <v>2005</v>
      </c>
      <c r="L2533" t="str">
        <f t="shared" si="201"/>
        <v>February</v>
      </c>
    </row>
    <row r="2534" spans="1:12" x14ac:dyDescent="0.25">
      <c r="A2534" t="s">
        <v>256</v>
      </c>
      <c r="B2534" t="s">
        <v>258</v>
      </c>
      <c r="C2534" t="s">
        <v>266</v>
      </c>
      <c r="D2534" t="str">
        <f t="shared" si="202"/>
        <v>Ships</v>
      </c>
      <c r="E2534" t="s">
        <v>365</v>
      </c>
      <c r="F2534" s="5">
        <v>2577.6</v>
      </c>
      <c r="G2534" s="5">
        <v>515.52</v>
      </c>
      <c r="I2534" t="str">
        <f t="shared" si="198"/>
        <v>Low Sales</v>
      </c>
      <c r="J2534" t="str">
        <f t="shared" si="199"/>
        <v>Average Performance</v>
      </c>
      <c r="K2534">
        <f t="shared" si="200"/>
        <v>2005</v>
      </c>
      <c r="L2534" t="str">
        <f t="shared" si="201"/>
        <v>March</v>
      </c>
    </row>
    <row r="2535" spans="1:12" x14ac:dyDescent="0.25">
      <c r="A2535" t="s">
        <v>94</v>
      </c>
      <c r="C2535" t="s">
        <v>266</v>
      </c>
      <c r="D2535" t="str">
        <f t="shared" si="202"/>
        <v>Ships</v>
      </c>
      <c r="E2535" t="s">
        <v>365</v>
      </c>
      <c r="F2535" s="5">
        <v>3533.62</v>
      </c>
      <c r="G2535" s="5">
        <v>706.72400000000005</v>
      </c>
      <c r="I2535" t="str">
        <f t="shared" si="198"/>
        <v>Low Sales</v>
      </c>
      <c r="J2535" t="str">
        <f t="shared" si="199"/>
        <v>Average Performance</v>
      </c>
      <c r="K2535">
        <f t="shared" si="200"/>
        <v>2005</v>
      </c>
      <c r="L2535" t="str">
        <f t="shared" si="201"/>
        <v>May</v>
      </c>
    </row>
    <row r="2536" spans="1:12" x14ac:dyDescent="0.25">
      <c r="A2536" t="s">
        <v>192</v>
      </c>
      <c r="B2536" t="s">
        <v>258</v>
      </c>
      <c r="C2536" t="s">
        <v>266</v>
      </c>
      <c r="D2536" t="str">
        <f t="shared" si="202"/>
        <v>Ships</v>
      </c>
      <c r="E2536" t="s">
        <v>366</v>
      </c>
      <c r="F2536" s="5">
        <v>3177.3</v>
      </c>
      <c r="G2536" s="5">
        <v>635.46</v>
      </c>
      <c r="I2536" t="str">
        <f t="shared" si="198"/>
        <v>Low Sales</v>
      </c>
      <c r="J2536" t="str">
        <f t="shared" si="199"/>
        <v>Average Performance</v>
      </c>
      <c r="K2536">
        <f t="shared" si="200"/>
        <v>2003</v>
      </c>
      <c r="L2536" t="str">
        <f t="shared" si="201"/>
        <v>February</v>
      </c>
    </row>
    <row r="2537" spans="1:12" x14ac:dyDescent="0.25">
      <c r="A2537" t="s">
        <v>69</v>
      </c>
      <c r="B2537" t="s">
        <v>258</v>
      </c>
      <c r="C2537" t="s">
        <v>266</v>
      </c>
      <c r="D2537" t="str">
        <f t="shared" si="202"/>
        <v>Ships</v>
      </c>
      <c r="E2537" t="s">
        <v>366</v>
      </c>
      <c r="F2537" s="5">
        <v>2730.06</v>
      </c>
      <c r="G2537" s="5">
        <v>546.01200000000006</v>
      </c>
      <c r="I2537" t="str">
        <f t="shared" si="198"/>
        <v>Low Sales</v>
      </c>
      <c r="J2537" t="str">
        <f t="shared" si="199"/>
        <v>Average Performance</v>
      </c>
      <c r="K2537">
        <f t="shared" si="200"/>
        <v>2003</v>
      </c>
      <c r="L2537" t="str">
        <f t="shared" si="201"/>
        <v>April</v>
      </c>
    </row>
    <row r="2538" spans="1:12" x14ac:dyDescent="0.25">
      <c r="A2538" t="s">
        <v>193</v>
      </c>
      <c r="C2538" t="s">
        <v>266</v>
      </c>
      <c r="D2538" t="str">
        <f t="shared" si="202"/>
        <v>Ships</v>
      </c>
      <c r="E2538" t="s">
        <v>366</v>
      </c>
      <c r="F2538" s="5">
        <v>1891.78</v>
      </c>
      <c r="G2538" s="5">
        <v>378.35599999999999</v>
      </c>
      <c r="I2538" t="str">
        <f t="shared" si="198"/>
        <v>Low Sales</v>
      </c>
      <c r="J2538" t="str">
        <f t="shared" si="199"/>
        <v>Average Performance</v>
      </c>
      <c r="K2538">
        <f t="shared" si="200"/>
        <v>2003</v>
      </c>
      <c r="L2538" t="str">
        <f t="shared" si="201"/>
        <v>June</v>
      </c>
    </row>
    <row r="2539" spans="1:12" x14ac:dyDescent="0.25">
      <c r="A2539" t="s">
        <v>71</v>
      </c>
      <c r="C2539" t="s">
        <v>266</v>
      </c>
      <c r="D2539" t="str">
        <f t="shared" si="202"/>
        <v>Ships</v>
      </c>
      <c r="E2539" t="s">
        <v>366</v>
      </c>
      <c r="F2539" s="5">
        <v>2612.48</v>
      </c>
      <c r="G2539" s="5">
        <v>522.49599999999998</v>
      </c>
      <c r="I2539" t="str">
        <f t="shared" si="198"/>
        <v>Low Sales</v>
      </c>
      <c r="J2539" t="str">
        <f t="shared" si="199"/>
        <v>Average Performance</v>
      </c>
      <c r="K2539">
        <f t="shared" si="200"/>
        <v>2003</v>
      </c>
      <c r="L2539" t="str">
        <f t="shared" si="201"/>
        <v>August</v>
      </c>
    </row>
    <row r="2540" spans="1:12" x14ac:dyDescent="0.25">
      <c r="A2540" t="s">
        <v>72</v>
      </c>
      <c r="B2540" t="s">
        <v>258</v>
      </c>
      <c r="C2540" t="s">
        <v>266</v>
      </c>
      <c r="D2540" t="str">
        <f t="shared" si="202"/>
        <v>Ships</v>
      </c>
      <c r="E2540" t="s">
        <v>366</v>
      </c>
      <c r="F2540" s="5">
        <v>2925.76</v>
      </c>
      <c r="G2540" s="5">
        <v>585.15200000000004</v>
      </c>
      <c r="I2540" t="str">
        <f t="shared" si="198"/>
        <v>Low Sales</v>
      </c>
      <c r="J2540" t="str">
        <f t="shared" si="199"/>
        <v>Average Performance</v>
      </c>
      <c r="K2540">
        <f t="shared" si="200"/>
        <v>2003</v>
      </c>
      <c r="L2540" t="str">
        <f t="shared" si="201"/>
        <v>October</v>
      </c>
    </row>
    <row r="2541" spans="1:12" x14ac:dyDescent="0.25">
      <c r="A2541" t="s">
        <v>73</v>
      </c>
      <c r="B2541" t="s">
        <v>258</v>
      </c>
      <c r="C2541" t="s">
        <v>266</v>
      </c>
      <c r="D2541" t="str">
        <f t="shared" si="202"/>
        <v>Ships</v>
      </c>
      <c r="E2541" t="s">
        <v>366</v>
      </c>
      <c r="F2541" s="5">
        <v>2940.02</v>
      </c>
      <c r="G2541" s="5">
        <v>588.00400000000002</v>
      </c>
      <c r="I2541" t="str">
        <f t="shared" si="198"/>
        <v>Low Sales</v>
      </c>
      <c r="J2541" t="str">
        <f t="shared" si="199"/>
        <v>Average Performance</v>
      </c>
      <c r="K2541">
        <f t="shared" si="200"/>
        <v>2003</v>
      </c>
      <c r="L2541" t="str">
        <f t="shared" si="201"/>
        <v>October</v>
      </c>
    </row>
    <row r="2542" spans="1:12" x14ac:dyDescent="0.25">
      <c r="A2542" t="s">
        <v>74</v>
      </c>
      <c r="B2542" t="s">
        <v>258</v>
      </c>
      <c r="C2542" t="s">
        <v>266</v>
      </c>
      <c r="D2542" t="str">
        <f t="shared" si="202"/>
        <v>Ships</v>
      </c>
      <c r="E2542" t="s">
        <v>366</v>
      </c>
      <c r="F2542" s="5">
        <v>3293.24</v>
      </c>
      <c r="G2542" s="5">
        <v>658.64800000000002</v>
      </c>
      <c r="I2542" t="str">
        <f t="shared" si="198"/>
        <v>Low Sales</v>
      </c>
      <c r="J2542" t="str">
        <f t="shared" si="199"/>
        <v>Average Performance</v>
      </c>
      <c r="K2542">
        <f t="shared" si="200"/>
        <v>2003</v>
      </c>
      <c r="L2542" t="str">
        <f t="shared" si="201"/>
        <v>November</v>
      </c>
    </row>
    <row r="2543" spans="1:12" x14ac:dyDescent="0.25">
      <c r="A2543" t="s">
        <v>75</v>
      </c>
      <c r="B2543" t="s">
        <v>258</v>
      </c>
      <c r="C2543" t="s">
        <v>266</v>
      </c>
      <c r="D2543" t="str">
        <f t="shared" si="202"/>
        <v>Ships</v>
      </c>
      <c r="E2543" t="s">
        <v>366</v>
      </c>
      <c r="F2543" s="5">
        <v>2389.6799999999998</v>
      </c>
      <c r="G2543" s="5">
        <v>477.93599999999998</v>
      </c>
      <c r="I2543" t="str">
        <f t="shared" si="198"/>
        <v>Low Sales</v>
      </c>
      <c r="J2543" t="str">
        <f t="shared" si="199"/>
        <v>Average Performance</v>
      </c>
      <c r="K2543">
        <f t="shared" si="200"/>
        <v>2003</v>
      </c>
      <c r="L2543" t="str">
        <f t="shared" si="201"/>
        <v>November</v>
      </c>
    </row>
    <row r="2544" spans="1:12" x14ac:dyDescent="0.25">
      <c r="A2544" t="s">
        <v>76</v>
      </c>
      <c r="B2544" t="s">
        <v>258</v>
      </c>
      <c r="C2544" t="s">
        <v>266</v>
      </c>
      <c r="D2544" t="str">
        <f t="shared" si="202"/>
        <v>Ships</v>
      </c>
      <c r="E2544" t="s">
        <v>366</v>
      </c>
      <c r="F2544" s="5">
        <v>2172.48</v>
      </c>
      <c r="G2544" s="5">
        <v>434.49599999999998</v>
      </c>
      <c r="I2544" t="str">
        <f t="shared" si="198"/>
        <v>Low Sales</v>
      </c>
      <c r="J2544" t="str">
        <f t="shared" si="199"/>
        <v>Average Performance</v>
      </c>
      <c r="K2544">
        <f t="shared" si="200"/>
        <v>2003</v>
      </c>
      <c r="L2544" t="str">
        <f t="shared" si="201"/>
        <v>November</v>
      </c>
    </row>
    <row r="2545" spans="1:12" x14ac:dyDescent="0.25">
      <c r="A2545" t="s">
        <v>77</v>
      </c>
      <c r="C2545" t="s">
        <v>266</v>
      </c>
      <c r="D2545" t="str">
        <f t="shared" si="202"/>
        <v>Ships</v>
      </c>
      <c r="E2545" t="s">
        <v>366</v>
      </c>
      <c r="F2545" s="5">
        <v>2927.43</v>
      </c>
      <c r="G2545" s="5">
        <v>585.48599999999999</v>
      </c>
      <c r="I2545" t="str">
        <f t="shared" si="198"/>
        <v>Low Sales</v>
      </c>
      <c r="J2545" t="str">
        <f t="shared" si="199"/>
        <v>Average Performance</v>
      </c>
      <c r="K2545">
        <f t="shared" si="200"/>
        <v>2004</v>
      </c>
      <c r="L2545" t="str">
        <f t="shared" si="201"/>
        <v>January</v>
      </c>
    </row>
    <row r="2546" spans="1:12" x14ac:dyDescent="0.25">
      <c r="A2546" t="s">
        <v>78</v>
      </c>
      <c r="C2546" t="s">
        <v>266</v>
      </c>
      <c r="D2546" t="str">
        <f t="shared" si="202"/>
        <v>Ships</v>
      </c>
      <c r="E2546" t="s">
        <v>366</v>
      </c>
      <c r="F2546" s="5">
        <v>2659.54</v>
      </c>
      <c r="G2546" s="5">
        <v>531.90800000000002</v>
      </c>
      <c r="I2546" t="str">
        <f t="shared" si="198"/>
        <v>Low Sales</v>
      </c>
      <c r="J2546" t="str">
        <f t="shared" si="199"/>
        <v>Average Performance</v>
      </c>
      <c r="K2546">
        <f t="shared" si="200"/>
        <v>2004</v>
      </c>
      <c r="L2546" t="str">
        <f t="shared" si="201"/>
        <v>February</v>
      </c>
    </row>
    <row r="2547" spans="1:12" x14ac:dyDescent="0.25">
      <c r="A2547" t="s">
        <v>238</v>
      </c>
      <c r="C2547" t="s">
        <v>266</v>
      </c>
      <c r="D2547" t="str">
        <f t="shared" si="202"/>
        <v>Ships</v>
      </c>
      <c r="E2547" t="s">
        <v>366</v>
      </c>
      <c r="F2547" s="5">
        <v>3838</v>
      </c>
      <c r="G2547" s="5">
        <v>767.6</v>
      </c>
      <c r="I2547" t="str">
        <f t="shared" si="198"/>
        <v>Low Sales</v>
      </c>
      <c r="J2547" t="str">
        <f t="shared" si="199"/>
        <v>Average Performance</v>
      </c>
      <c r="K2547">
        <f t="shared" si="200"/>
        <v>2004</v>
      </c>
      <c r="L2547" t="str">
        <f t="shared" si="201"/>
        <v>May</v>
      </c>
    </row>
    <row r="2548" spans="1:12" x14ac:dyDescent="0.25">
      <c r="A2548" t="s">
        <v>196</v>
      </c>
      <c r="B2548" t="s">
        <v>258</v>
      </c>
      <c r="C2548" t="s">
        <v>266</v>
      </c>
      <c r="D2548" t="str">
        <f t="shared" si="202"/>
        <v>Ships</v>
      </c>
      <c r="E2548" t="s">
        <v>366</v>
      </c>
      <c r="F2548" s="5">
        <v>4142.16</v>
      </c>
      <c r="G2548" s="5">
        <v>828.43200000000002</v>
      </c>
      <c r="I2548" t="str">
        <f t="shared" si="198"/>
        <v>Low Sales</v>
      </c>
      <c r="J2548" t="str">
        <f t="shared" si="199"/>
        <v>Average Performance</v>
      </c>
      <c r="K2548">
        <f t="shared" si="200"/>
        <v>2004</v>
      </c>
      <c r="L2548" t="str">
        <f t="shared" si="201"/>
        <v>June</v>
      </c>
    </row>
    <row r="2549" spans="1:12" x14ac:dyDescent="0.25">
      <c r="A2549" t="s">
        <v>81</v>
      </c>
      <c r="C2549" t="s">
        <v>266</v>
      </c>
      <c r="D2549" t="str">
        <f t="shared" si="202"/>
        <v>Ships</v>
      </c>
      <c r="E2549" t="s">
        <v>366</v>
      </c>
      <c r="F2549" s="5">
        <v>2172.48</v>
      </c>
      <c r="G2549" s="5">
        <v>434.49599999999998</v>
      </c>
      <c r="I2549" t="str">
        <f t="shared" si="198"/>
        <v>Low Sales</v>
      </c>
      <c r="J2549" t="str">
        <f t="shared" si="199"/>
        <v>Average Performance</v>
      </c>
      <c r="K2549">
        <f t="shared" si="200"/>
        <v>2004</v>
      </c>
      <c r="L2549" t="str">
        <f t="shared" si="201"/>
        <v>July</v>
      </c>
    </row>
    <row r="2550" spans="1:12" x14ac:dyDescent="0.25">
      <c r="A2550" t="s">
        <v>82</v>
      </c>
      <c r="C2550" t="s">
        <v>266</v>
      </c>
      <c r="D2550" t="str">
        <f t="shared" si="202"/>
        <v>Ships</v>
      </c>
      <c r="E2550" t="s">
        <v>366</v>
      </c>
      <c r="F2550" s="5">
        <v>1882.8</v>
      </c>
      <c r="G2550" s="5">
        <v>376.56</v>
      </c>
      <c r="I2550" t="str">
        <f t="shared" si="198"/>
        <v>Low Sales</v>
      </c>
      <c r="J2550" t="str">
        <f t="shared" si="199"/>
        <v>Average Performance</v>
      </c>
      <c r="K2550">
        <f t="shared" si="200"/>
        <v>2004</v>
      </c>
      <c r="L2550" t="str">
        <f t="shared" si="201"/>
        <v>August</v>
      </c>
    </row>
    <row r="2551" spans="1:12" x14ac:dyDescent="0.25">
      <c r="A2551" t="s">
        <v>198</v>
      </c>
      <c r="B2551" t="s">
        <v>258</v>
      </c>
      <c r="C2551" t="s">
        <v>266</v>
      </c>
      <c r="D2551" t="str">
        <f t="shared" si="202"/>
        <v>Ships</v>
      </c>
      <c r="E2551" t="s">
        <v>366</v>
      </c>
      <c r="F2551" s="5">
        <v>3477.86</v>
      </c>
      <c r="G2551" s="5">
        <v>695.57200000000012</v>
      </c>
      <c r="I2551" t="str">
        <f t="shared" si="198"/>
        <v>Low Sales</v>
      </c>
      <c r="J2551" t="str">
        <f t="shared" si="199"/>
        <v>Average Performance</v>
      </c>
      <c r="K2551">
        <f t="shared" si="200"/>
        <v>2004</v>
      </c>
      <c r="L2551" t="str">
        <f t="shared" si="201"/>
        <v>September</v>
      </c>
    </row>
    <row r="2552" spans="1:12" x14ac:dyDescent="0.25">
      <c r="A2552" t="s">
        <v>84</v>
      </c>
      <c r="C2552" t="s">
        <v>266</v>
      </c>
      <c r="D2552" t="str">
        <f t="shared" si="202"/>
        <v>Ships</v>
      </c>
      <c r="E2552" t="s">
        <v>366</v>
      </c>
      <c r="F2552" s="5">
        <v>3323.84</v>
      </c>
      <c r="G2552" s="5">
        <v>664.76800000000003</v>
      </c>
      <c r="I2552" t="str">
        <f t="shared" si="198"/>
        <v>Low Sales</v>
      </c>
      <c r="J2552" t="str">
        <f t="shared" si="199"/>
        <v>Average Performance</v>
      </c>
      <c r="K2552">
        <f t="shared" si="200"/>
        <v>2004</v>
      </c>
      <c r="L2552" t="str">
        <f t="shared" si="201"/>
        <v>October</v>
      </c>
    </row>
    <row r="2553" spans="1:12" x14ac:dyDescent="0.25">
      <c r="A2553" t="s">
        <v>85</v>
      </c>
      <c r="B2553" t="s">
        <v>258</v>
      </c>
      <c r="C2553" t="s">
        <v>266</v>
      </c>
      <c r="D2553" t="str">
        <f t="shared" si="202"/>
        <v>Ships</v>
      </c>
      <c r="E2553" t="s">
        <v>366</v>
      </c>
      <c r="F2553" s="5">
        <v>4195.8</v>
      </c>
      <c r="G2553" s="5">
        <v>839.16000000000008</v>
      </c>
      <c r="I2553" t="str">
        <f t="shared" si="198"/>
        <v>Low Sales</v>
      </c>
      <c r="J2553" t="str">
        <f t="shared" si="199"/>
        <v>Average Performance</v>
      </c>
      <c r="K2553">
        <f t="shared" si="200"/>
        <v>2004</v>
      </c>
      <c r="L2553" t="str">
        <f t="shared" si="201"/>
        <v>November</v>
      </c>
    </row>
    <row r="2554" spans="1:12" x14ac:dyDescent="0.25">
      <c r="A2554" t="s">
        <v>239</v>
      </c>
      <c r="B2554" t="s">
        <v>258</v>
      </c>
      <c r="C2554" t="s">
        <v>266</v>
      </c>
      <c r="D2554" t="str">
        <f t="shared" si="202"/>
        <v>Ships</v>
      </c>
      <c r="E2554" t="s">
        <v>366</v>
      </c>
      <c r="F2554" s="5">
        <v>4156.58</v>
      </c>
      <c r="G2554" s="5">
        <v>831.31600000000003</v>
      </c>
      <c r="I2554" t="str">
        <f t="shared" si="198"/>
        <v>Low Sales</v>
      </c>
      <c r="J2554" t="str">
        <f t="shared" si="199"/>
        <v>Average Performance</v>
      </c>
      <c r="K2554">
        <f t="shared" si="200"/>
        <v>2004</v>
      </c>
      <c r="L2554" t="str">
        <f t="shared" si="201"/>
        <v>November</v>
      </c>
    </row>
    <row r="2555" spans="1:12" x14ac:dyDescent="0.25">
      <c r="A2555" t="s">
        <v>64</v>
      </c>
      <c r="B2555" t="s">
        <v>260</v>
      </c>
      <c r="C2555" t="s">
        <v>266</v>
      </c>
      <c r="D2555" t="str">
        <f t="shared" si="202"/>
        <v>Ships</v>
      </c>
      <c r="E2555" t="s">
        <v>366</v>
      </c>
      <c r="F2555" s="5">
        <v>3918.75</v>
      </c>
      <c r="G2555" s="5">
        <v>783.75</v>
      </c>
      <c r="I2555" t="str">
        <f t="shared" si="198"/>
        <v>Low Sales</v>
      </c>
      <c r="J2555" t="str">
        <f t="shared" si="199"/>
        <v>Average Performance</v>
      </c>
      <c r="K2555">
        <f t="shared" si="200"/>
        <v>2004</v>
      </c>
      <c r="L2555" t="str">
        <f t="shared" si="201"/>
        <v>November</v>
      </c>
    </row>
    <row r="2556" spans="1:12" x14ac:dyDescent="0.25">
      <c r="A2556" t="s">
        <v>201</v>
      </c>
      <c r="C2556" t="s">
        <v>266</v>
      </c>
      <c r="D2556" t="str">
        <f t="shared" si="202"/>
        <v>Ships</v>
      </c>
      <c r="E2556" t="s">
        <v>366</v>
      </c>
      <c r="F2556" s="5">
        <v>2352.67</v>
      </c>
      <c r="G2556" s="5">
        <v>470.53399999999999</v>
      </c>
      <c r="I2556" t="str">
        <f t="shared" si="198"/>
        <v>Low Sales</v>
      </c>
      <c r="J2556" t="str">
        <f t="shared" si="199"/>
        <v>Average Performance</v>
      </c>
      <c r="K2556">
        <f t="shared" si="200"/>
        <v>2004</v>
      </c>
      <c r="L2556" t="str">
        <f t="shared" si="201"/>
        <v>December</v>
      </c>
    </row>
    <row r="2557" spans="1:12" x14ac:dyDescent="0.25">
      <c r="A2557" t="s">
        <v>27</v>
      </c>
      <c r="B2557" t="s">
        <v>259</v>
      </c>
      <c r="C2557" t="s">
        <v>266</v>
      </c>
      <c r="D2557" t="str">
        <f t="shared" si="202"/>
        <v>Ships</v>
      </c>
      <c r="E2557" t="s">
        <v>366</v>
      </c>
      <c r="F2557" s="5">
        <v>1089.3599999999999</v>
      </c>
      <c r="G2557" s="5">
        <v>217.87200000000001</v>
      </c>
      <c r="I2557" t="str">
        <f t="shared" si="198"/>
        <v>Low Sales</v>
      </c>
      <c r="J2557" t="str">
        <f t="shared" si="199"/>
        <v>Average Performance</v>
      </c>
      <c r="K2557">
        <f t="shared" si="200"/>
        <v>2004</v>
      </c>
      <c r="L2557" t="str">
        <f t="shared" si="201"/>
        <v>December</v>
      </c>
    </row>
    <row r="2558" spans="1:12" x14ac:dyDescent="0.25">
      <c r="A2558" t="s">
        <v>90</v>
      </c>
      <c r="B2558" t="s">
        <v>258</v>
      </c>
      <c r="C2558" t="s">
        <v>266</v>
      </c>
      <c r="D2558" t="str">
        <f t="shared" si="202"/>
        <v>Ships</v>
      </c>
      <c r="E2558" t="s">
        <v>366</v>
      </c>
      <c r="F2558" s="5">
        <v>2701.12</v>
      </c>
      <c r="G2558" s="5">
        <v>540.22400000000005</v>
      </c>
      <c r="I2558" t="str">
        <f t="shared" si="198"/>
        <v>Low Sales</v>
      </c>
      <c r="J2558" t="str">
        <f t="shared" si="199"/>
        <v>Average Performance</v>
      </c>
      <c r="K2558">
        <f t="shared" si="200"/>
        <v>2005</v>
      </c>
      <c r="L2558" t="str">
        <f t="shared" si="201"/>
        <v>January</v>
      </c>
    </row>
    <row r="2559" spans="1:12" x14ac:dyDescent="0.25">
      <c r="A2559" t="s">
        <v>202</v>
      </c>
      <c r="B2559" t="s">
        <v>258</v>
      </c>
      <c r="C2559" t="s">
        <v>266</v>
      </c>
      <c r="D2559" t="str">
        <f t="shared" si="202"/>
        <v>Ships</v>
      </c>
      <c r="E2559" t="s">
        <v>366</v>
      </c>
      <c r="F2559" s="5">
        <v>2487.04</v>
      </c>
      <c r="G2559" s="5">
        <v>497.40800000000002</v>
      </c>
      <c r="I2559" t="str">
        <f t="shared" si="198"/>
        <v>Low Sales</v>
      </c>
      <c r="J2559" t="str">
        <f t="shared" si="199"/>
        <v>Average Performance</v>
      </c>
      <c r="K2559">
        <f t="shared" si="200"/>
        <v>2005</v>
      </c>
      <c r="L2559" t="str">
        <f t="shared" si="201"/>
        <v>March</v>
      </c>
    </row>
    <row r="2560" spans="1:12" x14ac:dyDescent="0.25">
      <c r="A2560" t="s">
        <v>203</v>
      </c>
      <c r="B2560" t="s">
        <v>258</v>
      </c>
      <c r="C2560" t="s">
        <v>266</v>
      </c>
      <c r="D2560" t="str">
        <f t="shared" si="202"/>
        <v>Ships</v>
      </c>
      <c r="E2560" t="s">
        <v>366</v>
      </c>
      <c r="F2560" s="5">
        <v>3910.32</v>
      </c>
      <c r="G2560" s="5">
        <v>782.06400000000008</v>
      </c>
      <c r="I2560" t="str">
        <f t="shared" si="198"/>
        <v>Low Sales</v>
      </c>
      <c r="J2560" t="str">
        <f t="shared" si="199"/>
        <v>Average Performance</v>
      </c>
      <c r="K2560">
        <f t="shared" si="200"/>
        <v>2005</v>
      </c>
      <c r="L2560" t="str">
        <f t="shared" si="201"/>
        <v>March</v>
      </c>
    </row>
    <row r="2561" spans="1:12" x14ac:dyDescent="0.25">
      <c r="A2561" t="s">
        <v>93</v>
      </c>
      <c r="C2561" t="s">
        <v>266</v>
      </c>
      <c r="D2561" t="str">
        <f t="shared" si="202"/>
        <v>Ships</v>
      </c>
      <c r="E2561" t="s">
        <v>366</v>
      </c>
      <c r="F2561" s="5">
        <v>4038.8</v>
      </c>
      <c r="G2561" s="5">
        <v>807.7600000000001</v>
      </c>
      <c r="I2561" t="str">
        <f t="shared" si="198"/>
        <v>Low Sales</v>
      </c>
      <c r="J2561" t="str">
        <f t="shared" si="199"/>
        <v>Average Performance</v>
      </c>
      <c r="K2561">
        <f t="shared" si="200"/>
        <v>2005</v>
      </c>
      <c r="L2561" t="str">
        <f t="shared" si="201"/>
        <v>April</v>
      </c>
    </row>
    <row r="2562" spans="1:12" x14ac:dyDescent="0.25">
      <c r="A2562" t="s">
        <v>240</v>
      </c>
      <c r="B2562" t="s">
        <v>259</v>
      </c>
      <c r="C2562" t="s">
        <v>266</v>
      </c>
      <c r="D2562" t="str">
        <f t="shared" si="202"/>
        <v>Ships</v>
      </c>
      <c r="E2562" t="s">
        <v>366</v>
      </c>
      <c r="F2562" s="5">
        <v>3070.4</v>
      </c>
      <c r="G2562" s="5">
        <v>614.08000000000004</v>
      </c>
      <c r="I2562" t="str">
        <f t="shared" si="198"/>
        <v>Low Sales</v>
      </c>
      <c r="J2562" t="str">
        <f t="shared" si="199"/>
        <v>Average Performance</v>
      </c>
      <c r="K2562">
        <f t="shared" si="200"/>
        <v>2005</v>
      </c>
      <c r="L2562" t="str">
        <f t="shared" si="201"/>
        <v>May</v>
      </c>
    </row>
    <row r="2563" spans="1:12" x14ac:dyDescent="0.25">
      <c r="A2563" t="s">
        <v>192</v>
      </c>
      <c r="B2563" t="s">
        <v>258</v>
      </c>
      <c r="C2563" t="s">
        <v>265</v>
      </c>
      <c r="D2563" t="str">
        <f t="shared" si="202"/>
        <v>Planes</v>
      </c>
      <c r="E2563" t="s">
        <v>367</v>
      </c>
      <c r="F2563" s="5">
        <v>3763.46</v>
      </c>
      <c r="G2563" s="5">
        <v>752.69200000000001</v>
      </c>
      <c r="I2563" t="str">
        <f t="shared" ref="I2563:I2626" si="203">IF(F2563&gt;50000,"High Sales","Low Sales")</f>
        <v>Low Sales</v>
      </c>
      <c r="J2563" t="str">
        <f t="shared" ref="J2563:J2626" si="204">IF(AND(F2563&gt;30000,G2563&gt;5000),"Good Performance","Average Performance")</f>
        <v>Average Performance</v>
      </c>
      <c r="K2563">
        <f t="shared" ref="K2563:K2626" si="205">YEAR(A2563)</f>
        <v>2003</v>
      </c>
      <c r="L2563" t="str">
        <f t="shared" ref="L2563:L2626" si="206">TEXT(A2563,"mmmm")</f>
        <v>February</v>
      </c>
    </row>
    <row r="2564" spans="1:12" x14ac:dyDescent="0.25">
      <c r="A2564" t="s">
        <v>60</v>
      </c>
      <c r="B2564" t="s">
        <v>259</v>
      </c>
      <c r="C2564" t="s">
        <v>265</v>
      </c>
      <c r="D2564" t="str">
        <f t="shared" si="202"/>
        <v>Planes</v>
      </c>
      <c r="E2564" t="s">
        <v>367</v>
      </c>
      <c r="F2564" s="5">
        <v>2584.8000000000002</v>
      </c>
      <c r="G2564" s="5">
        <v>516.96</v>
      </c>
      <c r="I2564" t="str">
        <f t="shared" si="203"/>
        <v>Low Sales</v>
      </c>
      <c r="J2564" t="str">
        <f t="shared" si="204"/>
        <v>Average Performance</v>
      </c>
      <c r="K2564">
        <f t="shared" si="205"/>
        <v>2003</v>
      </c>
      <c r="L2564" t="str">
        <f t="shared" si="206"/>
        <v>April</v>
      </c>
    </row>
    <row r="2565" spans="1:12" x14ac:dyDescent="0.25">
      <c r="A2565" t="s">
        <v>193</v>
      </c>
      <c r="C2565" t="s">
        <v>265</v>
      </c>
      <c r="D2565" t="str">
        <f t="shared" si="202"/>
        <v>Planes</v>
      </c>
      <c r="E2565" t="s">
        <v>367</v>
      </c>
      <c r="F2565" s="5">
        <v>4427.6000000000004</v>
      </c>
      <c r="G2565" s="5">
        <v>885.5200000000001</v>
      </c>
      <c r="I2565" t="str">
        <f t="shared" si="203"/>
        <v>Low Sales</v>
      </c>
      <c r="J2565" t="str">
        <f t="shared" si="204"/>
        <v>Average Performance</v>
      </c>
      <c r="K2565">
        <f t="shared" si="205"/>
        <v>2003</v>
      </c>
      <c r="L2565" t="str">
        <f t="shared" si="206"/>
        <v>June</v>
      </c>
    </row>
    <row r="2566" spans="1:12" x14ac:dyDescent="0.25">
      <c r="A2566" t="s">
        <v>71</v>
      </c>
      <c r="C2566" t="s">
        <v>265</v>
      </c>
      <c r="D2566" t="str">
        <f t="shared" si="202"/>
        <v>Planes</v>
      </c>
      <c r="E2566" t="s">
        <v>367</v>
      </c>
      <c r="F2566" s="5">
        <v>2152.02</v>
      </c>
      <c r="G2566" s="5">
        <v>430.404</v>
      </c>
      <c r="I2566" t="str">
        <f t="shared" si="203"/>
        <v>Low Sales</v>
      </c>
      <c r="J2566" t="str">
        <f t="shared" si="204"/>
        <v>Average Performance</v>
      </c>
      <c r="K2566">
        <f t="shared" si="205"/>
        <v>2003</v>
      </c>
      <c r="L2566" t="str">
        <f t="shared" si="206"/>
        <v>August</v>
      </c>
    </row>
    <row r="2567" spans="1:12" x14ac:dyDescent="0.25">
      <c r="A2567" t="s">
        <v>72</v>
      </c>
      <c r="B2567" t="s">
        <v>258</v>
      </c>
      <c r="C2567" t="s">
        <v>265</v>
      </c>
      <c r="D2567" t="str">
        <f t="shared" si="202"/>
        <v>Planes</v>
      </c>
      <c r="E2567" t="s">
        <v>367</v>
      </c>
      <c r="F2567" s="5">
        <v>2353.4</v>
      </c>
      <c r="G2567" s="5">
        <v>470.68000000000012</v>
      </c>
      <c r="I2567" t="str">
        <f t="shared" si="203"/>
        <v>Low Sales</v>
      </c>
      <c r="J2567" t="str">
        <f t="shared" si="204"/>
        <v>Average Performance</v>
      </c>
      <c r="K2567">
        <f t="shared" si="205"/>
        <v>2003</v>
      </c>
      <c r="L2567" t="str">
        <f t="shared" si="206"/>
        <v>October</v>
      </c>
    </row>
    <row r="2568" spans="1:12" x14ac:dyDescent="0.25">
      <c r="A2568" t="s">
        <v>11</v>
      </c>
      <c r="C2568" t="s">
        <v>265</v>
      </c>
      <c r="D2568" t="str">
        <f t="shared" si="202"/>
        <v>Planes</v>
      </c>
      <c r="E2568" t="s">
        <v>367</v>
      </c>
      <c r="F2568" s="5">
        <v>3431.39</v>
      </c>
      <c r="G2568" s="5">
        <v>686.27800000000002</v>
      </c>
      <c r="I2568" t="str">
        <f t="shared" si="203"/>
        <v>Low Sales</v>
      </c>
      <c r="J2568" t="str">
        <f t="shared" si="204"/>
        <v>Average Performance</v>
      </c>
      <c r="K2568">
        <f t="shared" si="205"/>
        <v>2003</v>
      </c>
      <c r="L2568" t="str">
        <f t="shared" si="206"/>
        <v>October</v>
      </c>
    </row>
    <row r="2569" spans="1:12" x14ac:dyDescent="0.25">
      <c r="A2569" t="s">
        <v>74</v>
      </c>
      <c r="B2569" t="s">
        <v>258</v>
      </c>
      <c r="C2569" t="s">
        <v>265</v>
      </c>
      <c r="D2569" t="str">
        <f t="shared" si="202"/>
        <v>Planes</v>
      </c>
      <c r="E2569" t="s">
        <v>367</v>
      </c>
      <c r="F2569" s="5">
        <v>1930.5</v>
      </c>
      <c r="G2569" s="5">
        <v>386.1</v>
      </c>
      <c r="I2569" t="str">
        <f t="shared" si="203"/>
        <v>Low Sales</v>
      </c>
      <c r="J2569" t="str">
        <f t="shared" si="204"/>
        <v>Average Performance</v>
      </c>
      <c r="K2569">
        <f t="shared" si="205"/>
        <v>2003</v>
      </c>
      <c r="L2569" t="str">
        <f t="shared" si="206"/>
        <v>November</v>
      </c>
    </row>
    <row r="2570" spans="1:12" x14ac:dyDescent="0.25">
      <c r="A2570" t="s">
        <v>194</v>
      </c>
      <c r="B2570" t="s">
        <v>260</v>
      </c>
      <c r="C2570" t="s">
        <v>265</v>
      </c>
      <c r="D2570" t="str">
        <f t="shared" si="202"/>
        <v>Planes</v>
      </c>
      <c r="E2570" t="s">
        <v>367</v>
      </c>
      <c r="F2570" s="5">
        <v>4774.5600000000004</v>
      </c>
      <c r="G2570" s="5">
        <v>954.91200000000015</v>
      </c>
      <c r="I2570" t="str">
        <f t="shared" si="203"/>
        <v>Low Sales</v>
      </c>
      <c r="J2570" t="str">
        <f t="shared" si="204"/>
        <v>Average Performance</v>
      </c>
      <c r="K2570">
        <f t="shared" si="205"/>
        <v>2003</v>
      </c>
      <c r="L2570" t="str">
        <f t="shared" si="206"/>
        <v>November</v>
      </c>
    </row>
    <row r="2571" spans="1:12" x14ac:dyDescent="0.25">
      <c r="A2571" t="s">
        <v>61</v>
      </c>
      <c r="B2571" t="s">
        <v>260</v>
      </c>
      <c r="C2571" t="s">
        <v>265</v>
      </c>
      <c r="D2571" t="str">
        <f t="shared" si="202"/>
        <v>Planes</v>
      </c>
      <c r="E2571" t="s">
        <v>367</v>
      </c>
      <c r="F2571" s="5">
        <v>2592.7199999999998</v>
      </c>
      <c r="G2571" s="5">
        <v>518.54399999999998</v>
      </c>
      <c r="I2571" t="str">
        <f t="shared" si="203"/>
        <v>Low Sales</v>
      </c>
      <c r="J2571" t="str">
        <f t="shared" si="204"/>
        <v>Average Performance</v>
      </c>
      <c r="K2571">
        <f t="shared" si="205"/>
        <v>2004</v>
      </c>
      <c r="L2571" t="str">
        <f t="shared" si="206"/>
        <v>January</v>
      </c>
    </row>
    <row r="2572" spans="1:12" x14ac:dyDescent="0.25">
      <c r="A2572" t="s">
        <v>78</v>
      </c>
      <c r="C2572" t="s">
        <v>265</v>
      </c>
      <c r="D2572" t="str">
        <f t="shared" si="202"/>
        <v>Planes</v>
      </c>
      <c r="E2572" t="s">
        <v>367</v>
      </c>
      <c r="F2572" s="5">
        <v>3246.75</v>
      </c>
      <c r="G2572" s="5">
        <v>649.35</v>
      </c>
      <c r="I2572" t="str">
        <f t="shared" si="203"/>
        <v>Low Sales</v>
      </c>
      <c r="J2572" t="str">
        <f t="shared" si="204"/>
        <v>Average Performance</v>
      </c>
      <c r="K2572">
        <f t="shared" si="205"/>
        <v>2004</v>
      </c>
      <c r="L2572" t="str">
        <f t="shared" si="206"/>
        <v>February</v>
      </c>
    </row>
    <row r="2573" spans="1:12" x14ac:dyDescent="0.25">
      <c r="A2573" t="s">
        <v>216</v>
      </c>
      <c r="C2573" t="s">
        <v>265</v>
      </c>
      <c r="D2573" t="str">
        <f t="shared" si="202"/>
        <v>Planes</v>
      </c>
      <c r="E2573" t="s">
        <v>367</v>
      </c>
      <c r="F2573" s="5">
        <v>3372.5</v>
      </c>
      <c r="G2573" s="5">
        <v>674.5</v>
      </c>
      <c r="I2573" t="str">
        <f t="shared" si="203"/>
        <v>Low Sales</v>
      </c>
      <c r="J2573" t="str">
        <f t="shared" si="204"/>
        <v>Average Performance</v>
      </c>
      <c r="K2573">
        <f t="shared" si="205"/>
        <v>2004</v>
      </c>
      <c r="L2573" t="str">
        <f t="shared" si="206"/>
        <v>April</v>
      </c>
    </row>
    <row r="2574" spans="1:12" x14ac:dyDescent="0.25">
      <c r="A2574" t="s">
        <v>195</v>
      </c>
      <c r="C2574" t="s">
        <v>265</v>
      </c>
      <c r="D2574" t="str">
        <f t="shared" si="202"/>
        <v>Planes</v>
      </c>
      <c r="E2574" t="s">
        <v>367</v>
      </c>
      <c r="F2574" s="5">
        <v>3909.15</v>
      </c>
      <c r="G2574" s="5">
        <v>781.83</v>
      </c>
      <c r="I2574" t="str">
        <f t="shared" si="203"/>
        <v>Low Sales</v>
      </c>
      <c r="J2574" t="str">
        <f t="shared" si="204"/>
        <v>Average Performance</v>
      </c>
      <c r="K2574">
        <f t="shared" si="205"/>
        <v>2004</v>
      </c>
      <c r="L2574" t="str">
        <f t="shared" si="206"/>
        <v>May</v>
      </c>
    </row>
    <row r="2575" spans="1:12" x14ac:dyDescent="0.25">
      <c r="A2575" t="s">
        <v>196</v>
      </c>
      <c r="B2575" t="s">
        <v>258</v>
      </c>
      <c r="C2575" t="s">
        <v>265</v>
      </c>
      <c r="D2575" t="str">
        <f t="shared" si="202"/>
        <v>Planes</v>
      </c>
      <c r="E2575" t="s">
        <v>367</v>
      </c>
      <c r="F2575" s="5">
        <v>2994.75</v>
      </c>
      <c r="G2575" s="5">
        <v>598.95000000000005</v>
      </c>
      <c r="I2575" t="str">
        <f t="shared" si="203"/>
        <v>Low Sales</v>
      </c>
      <c r="J2575" t="str">
        <f t="shared" si="204"/>
        <v>Average Performance</v>
      </c>
      <c r="K2575">
        <f t="shared" si="205"/>
        <v>2004</v>
      </c>
      <c r="L2575" t="str">
        <f t="shared" si="206"/>
        <v>June</v>
      </c>
    </row>
    <row r="2576" spans="1:12" x14ac:dyDescent="0.25">
      <c r="A2576" t="s">
        <v>20</v>
      </c>
      <c r="B2576" t="s">
        <v>258</v>
      </c>
      <c r="C2576" t="s">
        <v>265</v>
      </c>
      <c r="D2576" t="str">
        <f t="shared" si="202"/>
        <v>Planes</v>
      </c>
      <c r="E2576" t="s">
        <v>367</v>
      </c>
      <c r="F2576" s="5">
        <v>4472.5200000000004</v>
      </c>
      <c r="G2576" s="5">
        <v>894.50400000000013</v>
      </c>
      <c r="I2576" t="str">
        <f t="shared" si="203"/>
        <v>Low Sales</v>
      </c>
      <c r="J2576" t="str">
        <f t="shared" si="204"/>
        <v>Average Performance</v>
      </c>
      <c r="K2576">
        <f t="shared" si="205"/>
        <v>2004</v>
      </c>
      <c r="L2576" t="str">
        <f t="shared" si="206"/>
        <v>July</v>
      </c>
    </row>
    <row r="2577" spans="1:12" x14ac:dyDescent="0.25">
      <c r="A2577" t="s">
        <v>197</v>
      </c>
      <c r="B2577" t="s">
        <v>258</v>
      </c>
      <c r="C2577" t="s">
        <v>265</v>
      </c>
      <c r="D2577" t="str">
        <f t="shared" si="202"/>
        <v>Planes</v>
      </c>
      <c r="E2577" t="s">
        <v>367</v>
      </c>
      <c r="F2577" s="5">
        <v>4576.95</v>
      </c>
      <c r="G2577" s="5">
        <v>915.39</v>
      </c>
      <c r="I2577" t="str">
        <f t="shared" si="203"/>
        <v>Low Sales</v>
      </c>
      <c r="J2577" t="str">
        <f t="shared" si="204"/>
        <v>Average Performance</v>
      </c>
      <c r="K2577">
        <f t="shared" si="205"/>
        <v>2004</v>
      </c>
      <c r="L2577" t="str">
        <f t="shared" si="206"/>
        <v>August</v>
      </c>
    </row>
    <row r="2578" spans="1:12" x14ac:dyDescent="0.25">
      <c r="A2578" t="s">
        <v>198</v>
      </c>
      <c r="B2578" t="s">
        <v>258</v>
      </c>
      <c r="C2578" t="s">
        <v>265</v>
      </c>
      <c r="D2578" t="str">
        <f t="shared" ref="D2578:D2641" si="207">PROPER(TRIM(C2578))</f>
        <v>Planes</v>
      </c>
      <c r="E2578" t="s">
        <v>367</v>
      </c>
      <c r="F2578" s="5">
        <v>2441.04</v>
      </c>
      <c r="G2578" s="5">
        <v>488.20800000000003</v>
      </c>
      <c r="I2578" t="str">
        <f t="shared" si="203"/>
        <v>Low Sales</v>
      </c>
      <c r="J2578" t="str">
        <f t="shared" si="204"/>
        <v>Average Performance</v>
      </c>
      <c r="K2578">
        <f t="shared" si="205"/>
        <v>2004</v>
      </c>
      <c r="L2578" t="str">
        <f t="shared" si="206"/>
        <v>September</v>
      </c>
    </row>
    <row r="2579" spans="1:12" x14ac:dyDescent="0.25">
      <c r="A2579" t="s">
        <v>23</v>
      </c>
      <c r="C2579" t="s">
        <v>265</v>
      </c>
      <c r="D2579" t="str">
        <f t="shared" si="207"/>
        <v>Planes</v>
      </c>
      <c r="E2579" t="s">
        <v>367</v>
      </c>
      <c r="F2579" s="5">
        <v>3106.25</v>
      </c>
      <c r="G2579" s="5">
        <v>621.25</v>
      </c>
      <c r="I2579" t="str">
        <f t="shared" si="203"/>
        <v>Low Sales</v>
      </c>
      <c r="J2579" t="str">
        <f t="shared" si="204"/>
        <v>Average Performance</v>
      </c>
      <c r="K2579">
        <f t="shared" si="205"/>
        <v>2004</v>
      </c>
      <c r="L2579" t="str">
        <f t="shared" si="206"/>
        <v>October</v>
      </c>
    </row>
    <row r="2580" spans="1:12" x14ac:dyDescent="0.25">
      <c r="A2580" t="s">
        <v>85</v>
      </c>
      <c r="B2580" t="s">
        <v>258</v>
      </c>
      <c r="C2580" t="s">
        <v>265</v>
      </c>
      <c r="D2580" t="str">
        <f t="shared" si="207"/>
        <v>Planes</v>
      </c>
      <c r="E2580" t="s">
        <v>367</v>
      </c>
      <c r="F2580" s="5">
        <v>2706.41</v>
      </c>
      <c r="G2580" s="5">
        <v>541.28200000000004</v>
      </c>
      <c r="I2580" t="str">
        <f t="shared" si="203"/>
        <v>Low Sales</v>
      </c>
      <c r="J2580" t="str">
        <f t="shared" si="204"/>
        <v>Average Performance</v>
      </c>
      <c r="K2580">
        <f t="shared" si="205"/>
        <v>2004</v>
      </c>
      <c r="L2580" t="str">
        <f t="shared" si="206"/>
        <v>November</v>
      </c>
    </row>
    <row r="2581" spans="1:12" x14ac:dyDescent="0.25">
      <c r="A2581" t="s">
        <v>239</v>
      </c>
      <c r="B2581" t="s">
        <v>258</v>
      </c>
      <c r="C2581" t="s">
        <v>265</v>
      </c>
      <c r="D2581" t="str">
        <f t="shared" si="207"/>
        <v>Planes</v>
      </c>
      <c r="E2581" t="s">
        <v>367</v>
      </c>
      <c r="F2581" s="5">
        <v>4021.53</v>
      </c>
      <c r="G2581" s="5">
        <v>804.30600000000004</v>
      </c>
      <c r="I2581" t="str">
        <f t="shared" si="203"/>
        <v>Low Sales</v>
      </c>
      <c r="J2581" t="str">
        <f t="shared" si="204"/>
        <v>Average Performance</v>
      </c>
      <c r="K2581">
        <f t="shared" si="205"/>
        <v>2004</v>
      </c>
      <c r="L2581" t="str">
        <f t="shared" si="206"/>
        <v>November</v>
      </c>
    </row>
    <row r="2582" spans="1:12" x14ac:dyDescent="0.25">
      <c r="A2582" t="s">
        <v>26</v>
      </c>
      <c r="B2582" t="s">
        <v>258</v>
      </c>
      <c r="C2582" t="s">
        <v>265</v>
      </c>
      <c r="D2582" t="str">
        <f t="shared" si="207"/>
        <v>Planes</v>
      </c>
      <c r="E2582" t="s">
        <v>367</v>
      </c>
      <c r="F2582" s="5">
        <v>4826.25</v>
      </c>
      <c r="G2582" s="5">
        <v>965.25</v>
      </c>
      <c r="I2582" t="str">
        <f t="shared" si="203"/>
        <v>Low Sales</v>
      </c>
      <c r="J2582" t="str">
        <f t="shared" si="204"/>
        <v>Average Performance</v>
      </c>
      <c r="K2582">
        <f t="shared" si="205"/>
        <v>2004</v>
      </c>
      <c r="L2582" t="str">
        <f t="shared" si="206"/>
        <v>November</v>
      </c>
    </row>
    <row r="2583" spans="1:12" x14ac:dyDescent="0.25">
      <c r="A2583" t="s">
        <v>201</v>
      </c>
      <c r="C2583" t="s">
        <v>265</v>
      </c>
      <c r="D2583" t="str">
        <f t="shared" si="207"/>
        <v>Planes</v>
      </c>
      <c r="E2583" t="s">
        <v>367</v>
      </c>
      <c r="F2583" s="5">
        <v>4935.28</v>
      </c>
      <c r="G2583" s="5">
        <v>987.05600000000004</v>
      </c>
      <c r="I2583" t="str">
        <f t="shared" si="203"/>
        <v>Low Sales</v>
      </c>
      <c r="J2583" t="str">
        <f t="shared" si="204"/>
        <v>Average Performance</v>
      </c>
      <c r="K2583">
        <f t="shared" si="205"/>
        <v>2004</v>
      </c>
      <c r="L2583" t="str">
        <f t="shared" si="206"/>
        <v>December</v>
      </c>
    </row>
    <row r="2584" spans="1:12" x14ac:dyDescent="0.25">
      <c r="A2584" t="s">
        <v>27</v>
      </c>
      <c r="B2584" t="s">
        <v>259</v>
      </c>
      <c r="C2584" t="s">
        <v>265</v>
      </c>
      <c r="D2584" t="str">
        <f t="shared" si="207"/>
        <v>Planes</v>
      </c>
      <c r="E2584" t="s">
        <v>367</v>
      </c>
      <c r="F2584" s="5">
        <v>2754.7</v>
      </c>
      <c r="G2584" s="5">
        <v>550.93999999999994</v>
      </c>
      <c r="I2584" t="str">
        <f t="shared" si="203"/>
        <v>Low Sales</v>
      </c>
      <c r="J2584" t="str">
        <f t="shared" si="204"/>
        <v>Average Performance</v>
      </c>
      <c r="K2584">
        <f t="shared" si="205"/>
        <v>2004</v>
      </c>
      <c r="L2584" t="str">
        <f t="shared" si="206"/>
        <v>December</v>
      </c>
    </row>
    <row r="2585" spans="1:12" x14ac:dyDescent="0.25">
      <c r="A2585" t="s">
        <v>28</v>
      </c>
      <c r="B2585" t="s">
        <v>258</v>
      </c>
      <c r="C2585" t="s">
        <v>265</v>
      </c>
      <c r="D2585" t="str">
        <f t="shared" si="207"/>
        <v>Planes</v>
      </c>
      <c r="E2585" t="s">
        <v>367</v>
      </c>
      <c r="F2585" s="5">
        <v>3856.71</v>
      </c>
      <c r="G2585" s="5">
        <v>771.3420000000001</v>
      </c>
      <c r="I2585" t="str">
        <f t="shared" si="203"/>
        <v>Low Sales</v>
      </c>
      <c r="J2585" t="str">
        <f t="shared" si="204"/>
        <v>Average Performance</v>
      </c>
      <c r="K2585">
        <f t="shared" si="205"/>
        <v>2005</v>
      </c>
      <c r="L2585" t="str">
        <f t="shared" si="206"/>
        <v>February</v>
      </c>
    </row>
    <row r="2586" spans="1:12" x14ac:dyDescent="0.25">
      <c r="A2586" t="s">
        <v>202</v>
      </c>
      <c r="B2586" t="s">
        <v>258</v>
      </c>
      <c r="C2586" t="s">
        <v>265</v>
      </c>
      <c r="D2586" t="str">
        <f t="shared" si="207"/>
        <v>Planes</v>
      </c>
      <c r="E2586" t="s">
        <v>367</v>
      </c>
      <c r="F2586" s="5">
        <v>3102.08</v>
      </c>
      <c r="G2586" s="5">
        <v>620.41600000000005</v>
      </c>
      <c r="I2586" t="str">
        <f t="shared" si="203"/>
        <v>Low Sales</v>
      </c>
      <c r="J2586" t="str">
        <f t="shared" si="204"/>
        <v>Average Performance</v>
      </c>
      <c r="K2586">
        <f t="shared" si="205"/>
        <v>2005</v>
      </c>
      <c r="L2586" t="str">
        <f t="shared" si="206"/>
        <v>March</v>
      </c>
    </row>
    <row r="2587" spans="1:12" x14ac:dyDescent="0.25">
      <c r="A2587" t="s">
        <v>203</v>
      </c>
      <c r="B2587" t="s">
        <v>258</v>
      </c>
      <c r="C2587" t="s">
        <v>265</v>
      </c>
      <c r="D2587" t="str">
        <f t="shared" si="207"/>
        <v>Planes</v>
      </c>
      <c r="E2587" t="s">
        <v>367</v>
      </c>
      <c r="F2587" s="5">
        <v>1908.72</v>
      </c>
      <c r="G2587" s="5">
        <v>381.74400000000003</v>
      </c>
      <c r="I2587" t="str">
        <f t="shared" si="203"/>
        <v>Low Sales</v>
      </c>
      <c r="J2587" t="str">
        <f t="shared" si="204"/>
        <v>Average Performance</v>
      </c>
      <c r="K2587">
        <f t="shared" si="205"/>
        <v>2005</v>
      </c>
      <c r="L2587" t="str">
        <f t="shared" si="206"/>
        <v>March</v>
      </c>
    </row>
    <row r="2588" spans="1:12" x14ac:dyDescent="0.25">
      <c r="A2588" t="s">
        <v>219</v>
      </c>
      <c r="C2588" t="s">
        <v>265</v>
      </c>
      <c r="D2588" t="str">
        <f t="shared" si="207"/>
        <v>Planes</v>
      </c>
      <c r="E2588" t="s">
        <v>367</v>
      </c>
      <c r="F2588" s="5">
        <v>7543.75</v>
      </c>
      <c r="G2588" s="5">
        <v>1508.75</v>
      </c>
      <c r="I2588" t="str">
        <f t="shared" si="203"/>
        <v>Low Sales</v>
      </c>
      <c r="J2588" t="str">
        <f t="shared" si="204"/>
        <v>Average Performance</v>
      </c>
      <c r="K2588">
        <f t="shared" si="205"/>
        <v>2005</v>
      </c>
      <c r="L2588" t="str">
        <f t="shared" si="206"/>
        <v>April</v>
      </c>
    </row>
    <row r="2589" spans="1:12" x14ac:dyDescent="0.25">
      <c r="A2589" t="s">
        <v>204</v>
      </c>
      <c r="B2589" t="s">
        <v>258</v>
      </c>
      <c r="C2589" t="s">
        <v>265</v>
      </c>
      <c r="D2589" t="str">
        <f t="shared" si="207"/>
        <v>Planes</v>
      </c>
      <c r="E2589" t="s">
        <v>367</v>
      </c>
      <c r="F2589" s="5">
        <v>2457.1799999999998</v>
      </c>
      <c r="G2589" s="5">
        <v>491.43599999999998</v>
      </c>
      <c r="I2589" t="str">
        <f t="shared" si="203"/>
        <v>Low Sales</v>
      </c>
      <c r="J2589" t="str">
        <f t="shared" si="204"/>
        <v>Average Performance</v>
      </c>
      <c r="K2589">
        <f t="shared" si="205"/>
        <v>2005</v>
      </c>
      <c r="L2589" t="str">
        <f t="shared" si="206"/>
        <v>May</v>
      </c>
    </row>
    <row r="2590" spans="1:12" x14ac:dyDescent="0.25">
      <c r="A2590" t="s">
        <v>68</v>
      </c>
      <c r="B2590" t="s">
        <v>258</v>
      </c>
      <c r="C2590" t="s">
        <v>266</v>
      </c>
      <c r="D2590" t="str">
        <f t="shared" si="207"/>
        <v>Ships</v>
      </c>
      <c r="E2590" t="s">
        <v>368</v>
      </c>
      <c r="F2590" s="5">
        <v>2038.87</v>
      </c>
      <c r="G2590" s="5">
        <v>407.774</v>
      </c>
      <c r="I2590" t="str">
        <f t="shared" si="203"/>
        <v>Low Sales</v>
      </c>
      <c r="J2590" t="str">
        <f t="shared" si="204"/>
        <v>Average Performance</v>
      </c>
      <c r="K2590">
        <f t="shared" si="205"/>
        <v>2003</v>
      </c>
      <c r="L2590" t="str">
        <f t="shared" si="206"/>
        <v>February</v>
      </c>
    </row>
    <row r="2591" spans="1:12" x14ac:dyDescent="0.25">
      <c r="A2591" t="s">
        <v>69</v>
      </c>
      <c r="B2591" t="s">
        <v>258</v>
      </c>
      <c r="C2591" t="s">
        <v>266</v>
      </c>
      <c r="D2591" t="str">
        <f t="shared" si="207"/>
        <v>Ships</v>
      </c>
      <c r="E2591" t="s">
        <v>368</v>
      </c>
      <c r="F2591" s="5">
        <v>2499.2600000000002</v>
      </c>
      <c r="G2591" s="5">
        <v>499.85200000000009</v>
      </c>
      <c r="I2591" t="str">
        <f t="shared" si="203"/>
        <v>Low Sales</v>
      </c>
      <c r="J2591" t="str">
        <f t="shared" si="204"/>
        <v>Average Performance</v>
      </c>
      <c r="K2591">
        <f t="shared" si="205"/>
        <v>2003</v>
      </c>
      <c r="L2591" t="str">
        <f t="shared" si="206"/>
        <v>April</v>
      </c>
    </row>
    <row r="2592" spans="1:12" x14ac:dyDescent="0.25">
      <c r="A2592" t="s">
        <v>70</v>
      </c>
      <c r="B2592" t="s">
        <v>258</v>
      </c>
      <c r="C2592" t="s">
        <v>266</v>
      </c>
      <c r="D2592" t="str">
        <f t="shared" si="207"/>
        <v>Ships</v>
      </c>
      <c r="E2592" t="s">
        <v>368</v>
      </c>
      <c r="F2592" s="5">
        <v>3838.05</v>
      </c>
      <c r="G2592" s="5">
        <v>767.61000000000013</v>
      </c>
      <c r="I2592" t="str">
        <f t="shared" si="203"/>
        <v>Low Sales</v>
      </c>
      <c r="J2592" t="str">
        <f t="shared" si="204"/>
        <v>Average Performance</v>
      </c>
      <c r="K2592">
        <f t="shared" si="205"/>
        <v>2003</v>
      </c>
      <c r="L2592" t="str">
        <f t="shared" si="206"/>
        <v>June</v>
      </c>
    </row>
    <row r="2593" spans="1:12" x14ac:dyDescent="0.25">
      <c r="A2593" t="s">
        <v>71</v>
      </c>
      <c r="C2593" t="s">
        <v>266</v>
      </c>
      <c r="D2593" t="str">
        <f t="shared" si="207"/>
        <v>Ships</v>
      </c>
      <c r="E2593" t="s">
        <v>368</v>
      </c>
      <c r="F2593" s="5">
        <v>2643.99</v>
      </c>
      <c r="G2593" s="5">
        <v>528.798</v>
      </c>
      <c r="I2593" t="str">
        <f t="shared" si="203"/>
        <v>Low Sales</v>
      </c>
      <c r="J2593" t="str">
        <f t="shared" si="204"/>
        <v>Average Performance</v>
      </c>
      <c r="K2593">
        <f t="shared" si="205"/>
        <v>2003</v>
      </c>
      <c r="L2593" t="str">
        <f t="shared" si="206"/>
        <v>August</v>
      </c>
    </row>
    <row r="2594" spans="1:12" x14ac:dyDescent="0.25">
      <c r="A2594" t="s">
        <v>248</v>
      </c>
      <c r="C2594" t="s">
        <v>266</v>
      </c>
      <c r="D2594" t="str">
        <f t="shared" si="207"/>
        <v>Ships</v>
      </c>
      <c r="E2594" t="s">
        <v>368</v>
      </c>
      <c r="F2594" s="5">
        <v>2315.88</v>
      </c>
      <c r="G2594" s="5">
        <v>463.17599999999999</v>
      </c>
      <c r="I2594" t="str">
        <f t="shared" si="203"/>
        <v>Low Sales</v>
      </c>
      <c r="J2594" t="str">
        <f t="shared" si="204"/>
        <v>Average Performance</v>
      </c>
      <c r="K2594">
        <f t="shared" si="205"/>
        <v>2003</v>
      </c>
      <c r="L2594" t="str">
        <f t="shared" si="206"/>
        <v>October</v>
      </c>
    </row>
    <row r="2595" spans="1:12" x14ac:dyDescent="0.25">
      <c r="A2595" t="s">
        <v>73</v>
      </c>
      <c r="B2595" t="s">
        <v>258</v>
      </c>
      <c r="C2595" t="s">
        <v>266</v>
      </c>
      <c r="D2595" t="str">
        <f t="shared" si="207"/>
        <v>Ships</v>
      </c>
      <c r="E2595" t="s">
        <v>368</v>
      </c>
      <c r="F2595" s="5">
        <v>3225.06</v>
      </c>
      <c r="G2595" s="5">
        <v>645.01200000000006</v>
      </c>
      <c r="I2595" t="str">
        <f t="shared" si="203"/>
        <v>Low Sales</v>
      </c>
      <c r="J2595" t="str">
        <f t="shared" si="204"/>
        <v>Average Performance</v>
      </c>
      <c r="K2595">
        <f t="shared" si="205"/>
        <v>2003</v>
      </c>
      <c r="L2595" t="str">
        <f t="shared" si="206"/>
        <v>October</v>
      </c>
    </row>
    <row r="2596" spans="1:12" x14ac:dyDescent="0.25">
      <c r="A2596" t="s">
        <v>225</v>
      </c>
      <c r="B2596" t="s">
        <v>258</v>
      </c>
      <c r="C2596" t="s">
        <v>266</v>
      </c>
      <c r="D2596" t="str">
        <f t="shared" si="207"/>
        <v>Ships</v>
      </c>
      <c r="E2596" t="s">
        <v>368</v>
      </c>
      <c r="F2596" s="5">
        <v>2451.84</v>
      </c>
      <c r="G2596" s="5">
        <v>490.36800000000011</v>
      </c>
      <c r="I2596" t="str">
        <f t="shared" si="203"/>
        <v>Low Sales</v>
      </c>
      <c r="J2596" t="str">
        <f t="shared" si="204"/>
        <v>Average Performance</v>
      </c>
      <c r="K2596">
        <f t="shared" si="205"/>
        <v>2003</v>
      </c>
      <c r="L2596" t="str">
        <f t="shared" si="206"/>
        <v>November</v>
      </c>
    </row>
    <row r="2597" spans="1:12" x14ac:dyDescent="0.25">
      <c r="A2597" t="s">
        <v>75</v>
      </c>
      <c r="C2597" t="s">
        <v>266</v>
      </c>
      <c r="D2597" t="str">
        <f t="shared" si="207"/>
        <v>Ships</v>
      </c>
      <c r="E2597" t="s">
        <v>368</v>
      </c>
      <c r="F2597" s="5">
        <v>2254.98</v>
      </c>
      <c r="G2597" s="5">
        <v>450.99599999999998</v>
      </c>
      <c r="I2597" t="str">
        <f t="shared" si="203"/>
        <v>Low Sales</v>
      </c>
      <c r="J2597" t="str">
        <f t="shared" si="204"/>
        <v>Average Performance</v>
      </c>
      <c r="K2597">
        <f t="shared" si="205"/>
        <v>2003</v>
      </c>
      <c r="L2597" t="str">
        <f t="shared" si="206"/>
        <v>November</v>
      </c>
    </row>
    <row r="2598" spans="1:12" x14ac:dyDescent="0.25">
      <c r="A2598" t="s">
        <v>76</v>
      </c>
      <c r="B2598" t="s">
        <v>258</v>
      </c>
      <c r="C2598" t="s">
        <v>266</v>
      </c>
      <c r="D2598" t="str">
        <f t="shared" si="207"/>
        <v>Ships</v>
      </c>
      <c r="E2598" t="s">
        <v>368</v>
      </c>
      <c r="F2598" s="5">
        <v>3939.5</v>
      </c>
      <c r="G2598" s="5">
        <v>787.90000000000009</v>
      </c>
      <c r="I2598" t="str">
        <f t="shared" si="203"/>
        <v>Low Sales</v>
      </c>
      <c r="J2598" t="str">
        <f t="shared" si="204"/>
        <v>Average Performance</v>
      </c>
      <c r="K2598">
        <f t="shared" si="205"/>
        <v>2003</v>
      </c>
      <c r="L2598" t="str">
        <f t="shared" si="206"/>
        <v>November</v>
      </c>
    </row>
    <row r="2599" spans="1:12" x14ac:dyDescent="0.25">
      <c r="A2599" t="s">
        <v>128</v>
      </c>
      <c r="B2599" t="s">
        <v>258</v>
      </c>
      <c r="C2599" t="s">
        <v>266</v>
      </c>
      <c r="D2599" t="str">
        <f t="shared" si="207"/>
        <v>Ships</v>
      </c>
      <c r="E2599" t="s">
        <v>368</v>
      </c>
      <c r="F2599" s="5">
        <v>3424.7</v>
      </c>
      <c r="G2599" s="5">
        <v>684.94</v>
      </c>
      <c r="I2599" t="str">
        <f t="shared" si="203"/>
        <v>Low Sales</v>
      </c>
      <c r="J2599" t="str">
        <f t="shared" si="204"/>
        <v>Average Performance</v>
      </c>
      <c r="K2599">
        <f t="shared" si="205"/>
        <v>2004</v>
      </c>
      <c r="L2599" t="str">
        <f t="shared" si="206"/>
        <v>January</v>
      </c>
    </row>
    <row r="2600" spans="1:12" x14ac:dyDescent="0.25">
      <c r="A2600" t="s">
        <v>78</v>
      </c>
      <c r="C2600" t="s">
        <v>266</v>
      </c>
      <c r="D2600" t="str">
        <f t="shared" si="207"/>
        <v>Ships</v>
      </c>
      <c r="E2600" t="s">
        <v>368</v>
      </c>
      <c r="F2600" s="5">
        <v>2914.2</v>
      </c>
      <c r="G2600" s="5">
        <v>582.84</v>
      </c>
      <c r="I2600" t="str">
        <f t="shared" si="203"/>
        <v>Low Sales</v>
      </c>
      <c r="J2600" t="str">
        <f t="shared" si="204"/>
        <v>Average Performance</v>
      </c>
      <c r="K2600">
        <f t="shared" si="205"/>
        <v>2004</v>
      </c>
      <c r="L2600" t="str">
        <f t="shared" si="206"/>
        <v>February</v>
      </c>
    </row>
    <row r="2601" spans="1:12" x14ac:dyDescent="0.25">
      <c r="A2601" t="s">
        <v>249</v>
      </c>
      <c r="C2601" t="s">
        <v>266</v>
      </c>
      <c r="D2601" t="str">
        <f t="shared" si="207"/>
        <v>Ships</v>
      </c>
      <c r="E2601" t="s">
        <v>368</v>
      </c>
      <c r="F2601" s="5">
        <v>2389.6</v>
      </c>
      <c r="G2601" s="5">
        <v>477.92</v>
      </c>
      <c r="I2601" t="str">
        <f t="shared" si="203"/>
        <v>Low Sales</v>
      </c>
      <c r="J2601" t="str">
        <f t="shared" si="204"/>
        <v>Average Performance</v>
      </c>
      <c r="K2601">
        <f t="shared" si="205"/>
        <v>2004</v>
      </c>
      <c r="L2601" t="str">
        <f t="shared" si="206"/>
        <v>March</v>
      </c>
    </row>
    <row r="2602" spans="1:12" x14ac:dyDescent="0.25">
      <c r="A2602" t="s">
        <v>79</v>
      </c>
      <c r="C2602" t="s">
        <v>266</v>
      </c>
      <c r="D2602" t="str">
        <f t="shared" si="207"/>
        <v>Ships</v>
      </c>
      <c r="E2602" t="s">
        <v>368</v>
      </c>
      <c r="F2602" s="5">
        <v>2428.48</v>
      </c>
      <c r="G2602" s="5">
        <v>485.69600000000003</v>
      </c>
      <c r="I2602" t="str">
        <f t="shared" si="203"/>
        <v>Low Sales</v>
      </c>
      <c r="J2602" t="str">
        <f t="shared" si="204"/>
        <v>Average Performance</v>
      </c>
      <c r="K2602">
        <f t="shared" si="205"/>
        <v>2004</v>
      </c>
      <c r="L2602" t="str">
        <f t="shared" si="206"/>
        <v>May</v>
      </c>
    </row>
    <row r="2603" spans="1:12" x14ac:dyDescent="0.25">
      <c r="A2603" t="s">
        <v>80</v>
      </c>
      <c r="C2603" t="s">
        <v>266</v>
      </c>
      <c r="D2603" t="str">
        <f t="shared" si="207"/>
        <v>Ships</v>
      </c>
      <c r="E2603" t="s">
        <v>368</v>
      </c>
      <c r="F2603" s="5">
        <v>3021.48</v>
      </c>
      <c r="G2603" s="5">
        <v>604.29600000000005</v>
      </c>
      <c r="I2603" t="str">
        <f t="shared" si="203"/>
        <v>Low Sales</v>
      </c>
      <c r="J2603" t="str">
        <f t="shared" si="204"/>
        <v>Average Performance</v>
      </c>
      <c r="K2603">
        <f t="shared" si="205"/>
        <v>2004</v>
      </c>
      <c r="L2603" t="str">
        <f t="shared" si="206"/>
        <v>June</v>
      </c>
    </row>
    <row r="2604" spans="1:12" x14ac:dyDescent="0.25">
      <c r="A2604" t="s">
        <v>81</v>
      </c>
      <c r="B2604" t="s">
        <v>258</v>
      </c>
      <c r="C2604" t="s">
        <v>266</v>
      </c>
      <c r="D2604" t="str">
        <f t="shared" si="207"/>
        <v>Ships</v>
      </c>
      <c r="E2604" t="s">
        <v>368</v>
      </c>
      <c r="F2604" s="5">
        <v>2610.7199999999998</v>
      </c>
      <c r="G2604" s="5">
        <v>522.14400000000001</v>
      </c>
      <c r="I2604" t="str">
        <f t="shared" si="203"/>
        <v>Low Sales</v>
      </c>
      <c r="J2604" t="str">
        <f t="shared" si="204"/>
        <v>Average Performance</v>
      </c>
      <c r="K2604">
        <f t="shared" si="205"/>
        <v>2004</v>
      </c>
      <c r="L2604" t="str">
        <f t="shared" si="206"/>
        <v>July</v>
      </c>
    </row>
    <row r="2605" spans="1:12" x14ac:dyDescent="0.25">
      <c r="A2605" t="s">
        <v>82</v>
      </c>
      <c r="C2605" t="s">
        <v>266</v>
      </c>
      <c r="D2605" t="str">
        <f t="shared" si="207"/>
        <v>Ships</v>
      </c>
      <c r="E2605" t="s">
        <v>368</v>
      </c>
      <c r="F2605" s="5">
        <v>3091.19</v>
      </c>
      <c r="G2605" s="5">
        <v>618.23800000000006</v>
      </c>
      <c r="I2605" t="str">
        <f t="shared" si="203"/>
        <v>Low Sales</v>
      </c>
      <c r="J2605" t="str">
        <f t="shared" si="204"/>
        <v>Average Performance</v>
      </c>
      <c r="K2605">
        <f t="shared" si="205"/>
        <v>2004</v>
      </c>
      <c r="L2605" t="str">
        <f t="shared" si="206"/>
        <v>August</v>
      </c>
    </row>
    <row r="2606" spans="1:12" x14ac:dyDescent="0.25">
      <c r="A2606" t="s">
        <v>83</v>
      </c>
      <c r="C2606" t="s">
        <v>266</v>
      </c>
      <c r="D2606" t="str">
        <f t="shared" si="207"/>
        <v>Ships</v>
      </c>
      <c r="E2606" t="s">
        <v>368</v>
      </c>
      <c r="F2606" s="5">
        <v>2576.1999999999998</v>
      </c>
      <c r="G2606" s="5">
        <v>515.24</v>
      </c>
      <c r="I2606" t="str">
        <f t="shared" si="203"/>
        <v>Low Sales</v>
      </c>
      <c r="J2606" t="str">
        <f t="shared" si="204"/>
        <v>Average Performance</v>
      </c>
      <c r="K2606">
        <f t="shared" si="205"/>
        <v>2004</v>
      </c>
      <c r="L2606" t="str">
        <f t="shared" si="206"/>
        <v>September</v>
      </c>
    </row>
    <row r="2607" spans="1:12" x14ac:dyDescent="0.25">
      <c r="A2607" t="s">
        <v>84</v>
      </c>
      <c r="B2607" t="s">
        <v>258</v>
      </c>
      <c r="C2607" t="s">
        <v>266</v>
      </c>
      <c r="D2607" t="str">
        <f t="shared" si="207"/>
        <v>Ships</v>
      </c>
      <c r="E2607" t="s">
        <v>368</v>
      </c>
      <c r="F2607" s="5">
        <v>3232.31</v>
      </c>
      <c r="G2607" s="5">
        <v>646.46199999999999</v>
      </c>
      <c r="I2607" t="str">
        <f t="shared" si="203"/>
        <v>Low Sales</v>
      </c>
      <c r="J2607" t="str">
        <f t="shared" si="204"/>
        <v>Average Performance</v>
      </c>
      <c r="K2607">
        <f t="shared" si="205"/>
        <v>2004</v>
      </c>
      <c r="L2607" t="str">
        <f t="shared" si="206"/>
        <v>October</v>
      </c>
    </row>
    <row r="2608" spans="1:12" x14ac:dyDescent="0.25">
      <c r="A2608" t="s">
        <v>85</v>
      </c>
      <c r="B2608" t="s">
        <v>258</v>
      </c>
      <c r="C2608" t="s">
        <v>266</v>
      </c>
      <c r="D2608" t="str">
        <f t="shared" si="207"/>
        <v>Ships</v>
      </c>
      <c r="E2608" t="s">
        <v>368</v>
      </c>
      <c r="F2608" s="5">
        <v>3573.6</v>
      </c>
      <c r="G2608" s="5">
        <v>714.72</v>
      </c>
      <c r="I2608" t="str">
        <f t="shared" si="203"/>
        <v>Low Sales</v>
      </c>
      <c r="J2608" t="str">
        <f t="shared" si="204"/>
        <v>Average Performance</v>
      </c>
      <c r="K2608">
        <f t="shared" si="205"/>
        <v>2004</v>
      </c>
      <c r="L2608" t="str">
        <f t="shared" si="206"/>
        <v>November</v>
      </c>
    </row>
    <row r="2609" spans="1:12" x14ac:dyDescent="0.25">
      <c r="A2609" t="s">
        <v>199</v>
      </c>
      <c r="B2609" t="s">
        <v>258</v>
      </c>
      <c r="C2609" t="s">
        <v>266</v>
      </c>
      <c r="D2609" t="str">
        <f t="shared" si="207"/>
        <v>Ships</v>
      </c>
      <c r="E2609" t="s">
        <v>368</v>
      </c>
      <c r="F2609" s="5">
        <v>2022.51</v>
      </c>
      <c r="G2609" s="5">
        <v>404.50200000000001</v>
      </c>
      <c r="I2609" t="str">
        <f t="shared" si="203"/>
        <v>Low Sales</v>
      </c>
      <c r="J2609" t="str">
        <f t="shared" si="204"/>
        <v>Average Performance</v>
      </c>
      <c r="K2609">
        <f t="shared" si="205"/>
        <v>2004</v>
      </c>
      <c r="L2609" t="str">
        <f t="shared" si="206"/>
        <v>November</v>
      </c>
    </row>
    <row r="2610" spans="1:12" x14ac:dyDescent="0.25">
      <c r="A2610" t="s">
        <v>64</v>
      </c>
      <c r="B2610" t="s">
        <v>260</v>
      </c>
      <c r="C2610" t="s">
        <v>266</v>
      </c>
      <c r="D2610" t="str">
        <f t="shared" si="207"/>
        <v>Ships</v>
      </c>
      <c r="E2610" t="s">
        <v>368</v>
      </c>
      <c r="F2610" s="5">
        <v>3717.5</v>
      </c>
      <c r="G2610" s="5">
        <v>743.5</v>
      </c>
      <c r="I2610" t="str">
        <f t="shared" si="203"/>
        <v>Low Sales</v>
      </c>
      <c r="J2610" t="str">
        <f t="shared" si="204"/>
        <v>Average Performance</v>
      </c>
      <c r="K2610">
        <f t="shared" si="205"/>
        <v>2004</v>
      </c>
      <c r="L2610" t="str">
        <f t="shared" si="206"/>
        <v>November</v>
      </c>
    </row>
    <row r="2611" spans="1:12" x14ac:dyDescent="0.25">
      <c r="A2611" t="s">
        <v>88</v>
      </c>
      <c r="B2611" t="s">
        <v>258</v>
      </c>
      <c r="C2611" t="s">
        <v>266</v>
      </c>
      <c r="D2611" t="str">
        <f t="shared" si="207"/>
        <v>Ships</v>
      </c>
      <c r="E2611" t="s">
        <v>368</v>
      </c>
      <c r="F2611" s="5">
        <v>2185.15</v>
      </c>
      <c r="G2611" s="5">
        <v>437.03</v>
      </c>
      <c r="I2611" t="str">
        <f t="shared" si="203"/>
        <v>Low Sales</v>
      </c>
      <c r="J2611" t="str">
        <f t="shared" si="204"/>
        <v>Average Performance</v>
      </c>
      <c r="K2611">
        <f t="shared" si="205"/>
        <v>2004</v>
      </c>
      <c r="L2611" t="str">
        <f t="shared" si="206"/>
        <v>December</v>
      </c>
    </row>
    <row r="2612" spans="1:12" x14ac:dyDescent="0.25">
      <c r="A2612" t="s">
        <v>90</v>
      </c>
      <c r="B2612" t="s">
        <v>258</v>
      </c>
      <c r="C2612" t="s">
        <v>266</v>
      </c>
      <c r="D2612" t="str">
        <f t="shared" si="207"/>
        <v>Ships</v>
      </c>
      <c r="E2612" t="s">
        <v>368</v>
      </c>
      <c r="F2612" s="5">
        <v>2883.53</v>
      </c>
      <c r="G2612" s="5">
        <v>576.70600000000002</v>
      </c>
      <c r="I2612" t="str">
        <f t="shared" si="203"/>
        <v>Low Sales</v>
      </c>
      <c r="J2612" t="str">
        <f t="shared" si="204"/>
        <v>Average Performance</v>
      </c>
      <c r="K2612">
        <f t="shared" si="205"/>
        <v>2005</v>
      </c>
      <c r="L2612" t="str">
        <f t="shared" si="206"/>
        <v>January</v>
      </c>
    </row>
    <row r="2613" spans="1:12" x14ac:dyDescent="0.25">
      <c r="A2613" t="s">
        <v>202</v>
      </c>
      <c r="B2613" t="s">
        <v>258</v>
      </c>
      <c r="C2613" t="s">
        <v>266</v>
      </c>
      <c r="D2613" t="str">
        <f t="shared" si="207"/>
        <v>Ships</v>
      </c>
      <c r="E2613" t="s">
        <v>368</v>
      </c>
      <c r="F2613" s="5">
        <v>5017.57</v>
      </c>
      <c r="G2613" s="5">
        <v>1003.514</v>
      </c>
      <c r="I2613" t="str">
        <f t="shared" si="203"/>
        <v>Low Sales</v>
      </c>
      <c r="J2613" t="str">
        <f t="shared" si="204"/>
        <v>Average Performance</v>
      </c>
      <c r="K2613">
        <f t="shared" si="205"/>
        <v>2005</v>
      </c>
      <c r="L2613" t="str">
        <f t="shared" si="206"/>
        <v>March</v>
      </c>
    </row>
    <row r="2614" spans="1:12" x14ac:dyDescent="0.25">
      <c r="A2614" t="s">
        <v>256</v>
      </c>
      <c r="B2614" t="s">
        <v>258</v>
      </c>
      <c r="C2614" t="s">
        <v>266</v>
      </c>
      <c r="D2614" t="str">
        <f t="shared" si="207"/>
        <v>Ships</v>
      </c>
      <c r="E2614" t="s">
        <v>368</v>
      </c>
      <c r="F2614" s="5">
        <v>1463</v>
      </c>
      <c r="G2614" s="5">
        <v>292.60000000000002</v>
      </c>
      <c r="I2614" t="str">
        <f t="shared" si="203"/>
        <v>Low Sales</v>
      </c>
      <c r="J2614" t="str">
        <f t="shared" si="204"/>
        <v>Average Performance</v>
      </c>
      <c r="K2614">
        <f t="shared" si="205"/>
        <v>2005</v>
      </c>
      <c r="L2614" t="str">
        <f t="shared" si="206"/>
        <v>March</v>
      </c>
    </row>
    <row r="2615" spans="1:12" x14ac:dyDescent="0.25">
      <c r="A2615" t="s">
        <v>94</v>
      </c>
      <c r="C2615" t="s">
        <v>266</v>
      </c>
      <c r="D2615" t="str">
        <f t="shared" si="207"/>
        <v>Ships</v>
      </c>
      <c r="E2615" t="s">
        <v>368</v>
      </c>
      <c r="F2615" s="5">
        <v>2352.59</v>
      </c>
      <c r="G2615" s="5">
        <v>470.51799999999997</v>
      </c>
      <c r="I2615" t="str">
        <f t="shared" si="203"/>
        <v>Low Sales</v>
      </c>
      <c r="J2615" t="str">
        <f t="shared" si="204"/>
        <v>Average Performance</v>
      </c>
      <c r="K2615">
        <f t="shared" si="205"/>
        <v>2005</v>
      </c>
      <c r="L2615" t="str">
        <f t="shared" si="206"/>
        <v>May</v>
      </c>
    </row>
    <row r="2616" spans="1:12" x14ac:dyDescent="0.25">
      <c r="A2616" t="s">
        <v>32</v>
      </c>
      <c r="B2616" t="s">
        <v>258</v>
      </c>
      <c r="C2616" t="s">
        <v>262</v>
      </c>
      <c r="D2616" t="str">
        <f t="shared" si="207"/>
        <v>Classic Cars</v>
      </c>
      <c r="E2616" t="s">
        <v>369</v>
      </c>
      <c r="F2616" s="5">
        <v>4460.82</v>
      </c>
      <c r="G2616" s="5">
        <v>892.16399999999999</v>
      </c>
      <c r="I2616" t="str">
        <f t="shared" si="203"/>
        <v>Low Sales</v>
      </c>
      <c r="J2616" t="str">
        <f t="shared" si="204"/>
        <v>Average Performance</v>
      </c>
      <c r="K2616">
        <f t="shared" si="205"/>
        <v>2003</v>
      </c>
      <c r="L2616" t="str">
        <f t="shared" si="206"/>
        <v>January</v>
      </c>
    </row>
    <row r="2617" spans="1:12" x14ac:dyDescent="0.25">
      <c r="A2617" t="s">
        <v>95</v>
      </c>
      <c r="B2617" t="s">
        <v>258</v>
      </c>
      <c r="C2617" t="s">
        <v>262</v>
      </c>
      <c r="D2617" t="str">
        <f t="shared" si="207"/>
        <v>Classic Cars</v>
      </c>
      <c r="E2617" t="s">
        <v>369</v>
      </c>
      <c r="F2617" s="5">
        <v>4758.18</v>
      </c>
      <c r="G2617" s="5">
        <v>951.63600000000008</v>
      </c>
      <c r="I2617" t="str">
        <f t="shared" si="203"/>
        <v>Low Sales</v>
      </c>
      <c r="J2617" t="str">
        <f t="shared" si="204"/>
        <v>Average Performance</v>
      </c>
      <c r="K2617">
        <f t="shared" si="205"/>
        <v>2003</v>
      </c>
      <c r="L2617" t="str">
        <f t="shared" si="206"/>
        <v>April</v>
      </c>
    </row>
    <row r="2618" spans="1:12" x14ac:dyDescent="0.25">
      <c r="A2618" t="s">
        <v>34</v>
      </c>
      <c r="B2618" t="s">
        <v>258</v>
      </c>
      <c r="C2618" t="s">
        <v>262</v>
      </c>
      <c r="D2618" t="str">
        <f t="shared" si="207"/>
        <v>Classic Cars</v>
      </c>
      <c r="E2618" t="s">
        <v>369</v>
      </c>
      <c r="F2618" s="5">
        <v>4597.2</v>
      </c>
      <c r="G2618" s="5">
        <v>919.44</v>
      </c>
      <c r="I2618" t="str">
        <f t="shared" si="203"/>
        <v>Low Sales</v>
      </c>
      <c r="J2618" t="str">
        <f t="shared" si="204"/>
        <v>Average Performance</v>
      </c>
      <c r="K2618">
        <f t="shared" si="205"/>
        <v>2003</v>
      </c>
      <c r="L2618" t="str">
        <f t="shared" si="206"/>
        <v>May</v>
      </c>
    </row>
    <row r="2619" spans="1:12" x14ac:dyDescent="0.25">
      <c r="A2619" t="s">
        <v>35</v>
      </c>
      <c r="C2619" t="s">
        <v>262</v>
      </c>
      <c r="D2619" t="str">
        <f t="shared" si="207"/>
        <v>Classic Cars</v>
      </c>
      <c r="E2619" t="s">
        <v>369</v>
      </c>
      <c r="F2619" s="5">
        <v>4114.8</v>
      </c>
      <c r="G2619" s="5">
        <v>822.96</v>
      </c>
      <c r="I2619" t="str">
        <f t="shared" si="203"/>
        <v>Low Sales</v>
      </c>
      <c r="J2619" t="str">
        <f t="shared" si="204"/>
        <v>Average Performance</v>
      </c>
      <c r="K2619">
        <f t="shared" si="205"/>
        <v>2003</v>
      </c>
      <c r="L2619" t="str">
        <f t="shared" si="206"/>
        <v>July</v>
      </c>
    </row>
    <row r="2620" spans="1:12" x14ac:dyDescent="0.25">
      <c r="A2620" t="s">
        <v>36</v>
      </c>
      <c r="B2620" t="s">
        <v>260</v>
      </c>
      <c r="C2620" t="s">
        <v>262</v>
      </c>
      <c r="D2620" t="str">
        <f t="shared" si="207"/>
        <v>Classic Cars</v>
      </c>
      <c r="E2620" t="s">
        <v>369</v>
      </c>
      <c r="F2620" s="5">
        <v>2104</v>
      </c>
      <c r="G2620" s="5">
        <v>420.8</v>
      </c>
      <c r="I2620" t="str">
        <f t="shared" si="203"/>
        <v>Low Sales</v>
      </c>
      <c r="J2620" t="str">
        <f t="shared" si="204"/>
        <v>Average Performance</v>
      </c>
      <c r="K2620">
        <f t="shared" si="205"/>
        <v>2003</v>
      </c>
      <c r="L2620" t="str">
        <f t="shared" si="206"/>
        <v>September</v>
      </c>
    </row>
    <row r="2621" spans="1:12" x14ac:dyDescent="0.25">
      <c r="A2621" t="s">
        <v>96</v>
      </c>
      <c r="B2621" t="s">
        <v>258</v>
      </c>
      <c r="C2621" t="s">
        <v>262</v>
      </c>
      <c r="D2621" t="str">
        <f t="shared" si="207"/>
        <v>Classic Cars</v>
      </c>
      <c r="E2621" t="s">
        <v>369</v>
      </c>
      <c r="F2621" s="5">
        <v>3195.27</v>
      </c>
      <c r="G2621" s="5">
        <v>639.05400000000009</v>
      </c>
      <c r="I2621" t="str">
        <f t="shared" si="203"/>
        <v>Low Sales</v>
      </c>
      <c r="J2621" t="str">
        <f t="shared" si="204"/>
        <v>Average Performance</v>
      </c>
      <c r="K2621">
        <f t="shared" si="205"/>
        <v>2003</v>
      </c>
      <c r="L2621" t="str">
        <f t="shared" si="206"/>
        <v>October</v>
      </c>
    </row>
    <row r="2622" spans="1:12" x14ac:dyDescent="0.25">
      <c r="A2622" t="s">
        <v>38</v>
      </c>
      <c r="B2622" t="s">
        <v>258</v>
      </c>
      <c r="C2622" t="s">
        <v>262</v>
      </c>
      <c r="D2622" t="str">
        <f t="shared" si="207"/>
        <v>Classic Cars</v>
      </c>
      <c r="E2622" t="s">
        <v>369</v>
      </c>
      <c r="F2622" s="5">
        <v>3611.16</v>
      </c>
      <c r="G2622" s="5">
        <v>722.23199999999997</v>
      </c>
      <c r="I2622" t="str">
        <f t="shared" si="203"/>
        <v>Low Sales</v>
      </c>
      <c r="J2622" t="str">
        <f t="shared" si="204"/>
        <v>Average Performance</v>
      </c>
      <c r="K2622">
        <f t="shared" si="205"/>
        <v>2003</v>
      </c>
      <c r="L2622" t="str">
        <f t="shared" si="206"/>
        <v>November</v>
      </c>
    </row>
    <row r="2623" spans="1:12" x14ac:dyDescent="0.25">
      <c r="A2623" t="s">
        <v>39</v>
      </c>
      <c r="C2623" t="s">
        <v>262</v>
      </c>
      <c r="D2623" t="str">
        <f t="shared" si="207"/>
        <v>Classic Cars</v>
      </c>
      <c r="E2623" t="s">
        <v>369</v>
      </c>
      <c r="F2623" s="5">
        <v>2000.77</v>
      </c>
      <c r="G2623" s="5">
        <v>400.154</v>
      </c>
      <c r="I2623" t="str">
        <f t="shared" si="203"/>
        <v>Low Sales</v>
      </c>
      <c r="J2623" t="str">
        <f t="shared" si="204"/>
        <v>Average Performance</v>
      </c>
      <c r="K2623">
        <f t="shared" si="205"/>
        <v>2003</v>
      </c>
      <c r="L2623" t="str">
        <f t="shared" si="206"/>
        <v>November</v>
      </c>
    </row>
    <row r="2624" spans="1:12" x14ac:dyDescent="0.25">
      <c r="A2624" t="s">
        <v>40</v>
      </c>
      <c r="B2624" t="s">
        <v>258</v>
      </c>
      <c r="C2624" t="s">
        <v>262</v>
      </c>
      <c r="D2624" t="str">
        <f t="shared" si="207"/>
        <v>Classic Cars</v>
      </c>
      <c r="E2624" t="s">
        <v>369</v>
      </c>
      <c r="F2624" s="5">
        <v>2314.2600000000002</v>
      </c>
      <c r="G2624" s="5">
        <v>462.85200000000009</v>
      </c>
      <c r="I2624" t="str">
        <f t="shared" si="203"/>
        <v>Low Sales</v>
      </c>
      <c r="J2624" t="str">
        <f t="shared" si="204"/>
        <v>Average Performance</v>
      </c>
      <c r="K2624">
        <f t="shared" si="205"/>
        <v>2003</v>
      </c>
      <c r="L2624" t="str">
        <f t="shared" si="206"/>
        <v>November</v>
      </c>
    </row>
    <row r="2625" spans="1:12" x14ac:dyDescent="0.25">
      <c r="A2625" t="s">
        <v>41</v>
      </c>
      <c r="C2625" t="s">
        <v>262</v>
      </c>
      <c r="D2625" t="str">
        <f t="shared" si="207"/>
        <v>Classic Cars</v>
      </c>
      <c r="E2625" t="s">
        <v>369</v>
      </c>
      <c r="F2625" s="5">
        <v>3871.89</v>
      </c>
      <c r="G2625" s="5">
        <v>774.37800000000004</v>
      </c>
      <c r="I2625" t="str">
        <f t="shared" si="203"/>
        <v>Low Sales</v>
      </c>
      <c r="J2625" t="str">
        <f t="shared" si="204"/>
        <v>Average Performance</v>
      </c>
      <c r="K2625">
        <f t="shared" si="205"/>
        <v>2003</v>
      </c>
      <c r="L2625" t="str">
        <f t="shared" si="206"/>
        <v>December</v>
      </c>
    </row>
    <row r="2626" spans="1:12" x14ac:dyDescent="0.25">
      <c r="A2626" t="s">
        <v>98</v>
      </c>
      <c r="B2626" t="s">
        <v>259</v>
      </c>
      <c r="C2626" t="s">
        <v>262</v>
      </c>
      <c r="D2626" t="str">
        <f t="shared" si="207"/>
        <v>Classic Cars</v>
      </c>
      <c r="E2626" t="s">
        <v>369</v>
      </c>
      <c r="F2626" s="5">
        <v>2728</v>
      </c>
      <c r="G2626" s="5">
        <v>545.6</v>
      </c>
      <c r="I2626" t="str">
        <f t="shared" si="203"/>
        <v>Low Sales</v>
      </c>
      <c r="J2626" t="str">
        <f t="shared" si="204"/>
        <v>Average Performance</v>
      </c>
      <c r="K2626">
        <f t="shared" si="205"/>
        <v>2004</v>
      </c>
      <c r="L2626" t="str">
        <f t="shared" si="206"/>
        <v>February</v>
      </c>
    </row>
    <row r="2627" spans="1:12" x14ac:dyDescent="0.25">
      <c r="A2627" t="s">
        <v>99</v>
      </c>
      <c r="C2627" t="s">
        <v>262</v>
      </c>
      <c r="D2627" t="str">
        <f t="shared" si="207"/>
        <v>Classic Cars</v>
      </c>
      <c r="E2627" t="s">
        <v>369</v>
      </c>
      <c r="F2627" s="5">
        <v>5614</v>
      </c>
      <c r="G2627" s="5">
        <v>1122.8</v>
      </c>
      <c r="I2627" t="str">
        <f t="shared" ref="I2627:I2690" si="208">IF(F2627&gt;50000,"High Sales","Low Sales")</f>
        <v>Low Sales</v>
      </c>
      <c r="J2627" t="str">
        <f t="shared" ref="J2627:J2690" si="209">IF(AND(F2627&gt;30000,G2627&gt;5000),"Good Performance","Average Performance")</f>
        <v>Average Performance</v>
      </c>
      <c r="K2627">
        <f t="shared" ref="K2627:K2690" si="210">YEAR(A2627)</f>
        <v>2004</v>
      </c>
      <c r="L2627" t="str">
        <f t="shared" ref="L2627:L2690" si="211">TEXT(A2627,"mmmm")</f>
        <v>March</v>
      </c>
    </row>
    <row r="2628" spans="1:12" x14ac:dyDescent="0.25">
      <c r="A2628" t="s">
        <v>44</v>
      </c>
      <c r="C2628" t="s">
        <v>262</v>
      </c>
      <c r="D2628" t="str">
        <f t="shared" si="207"/>
        <v>Classic Cars</v>
      </c>
      <c r="E2628" t="s">
        <v>369</v>
      </c>
      <c r="F2628" s="5">
        <v>4628.8</v>
      </c>
      <c r="G2628" s="5">
        <v>925.7600000000001</v>
      </c>
      <c r="I2628" t="str">
        <f t="shared" si="208"/>
        <v>Low Sales</v>
      </c>
      <c r="J2628" t="str">
        <f t="shared" si="209"/>
        <v>Average Performance</v>
      </c>
      <c r="K2628">
        <f t="shared" si="210"/>
        <v>2004</v>
      </c>
      <c r="L2628" t="str">
        <f t="shared" si="211"/>
        <v>May</v>
      </c>
    </row>
    <row r="2629" spans="1:12" x14ac:dyDescent="0.25">
      <c r="A2629" t="s">
        <v>45</v>
      </c>
      <c r="B2629" t="s">
        <v>260</v>
      </c>
      <c r="C2629" t="s">
        <v>262</v>
      </c>
      <c r="D2629" t="str">
        <f t="shared" si="207"/>
        <v>Classic Cars</v>
      </c>
      <c r="E2629" t="s">
        <v>369</v>
      </c>
      <c r="F2629" s="5">
        <v>3641.4</v>
      </c>
      <c r="G2629" s="5">
        <v>728.28000000000009</v>
      </c>
      <c r="I2629" t="str">
        <f t="shared" si="208"/>
        <v>Low Sales</v>
      </c>
      <c r="J2629" t="str">
        <f t="shared" si="209"/>
        <v>Average Performance</v>
      </c>
      <c r="K2629">
        <f t="shared" si="210"/>
        <v>2004</v>
      </c>
      <c r="L2629" t="str">
        <f t="shared" si="211"/>
        <v>June</v>
      </c>
    </row>
    <row r="2630" spans="1:12" x14ac:dyDescent="0.25">
      <c r="A2630" t="s">
        <v>46</v>
      </c>
      <c r="B2630" t="s">
        <v>259</v>
      </c>
      <c r="C2630" t="s">
        <v>262</v>
      </c>
      <c r="D2630" t="str">
        <f t="shared" si="207"/>
        <v>Classic Cars</v>
      </c>
      <c r="E2630" t="s">
        <v>369</v>
      </c>
      <c r="F2630" s="5">
        <v>4048</v>
      </c>
      <c r="G2630" s="5">
        <v>809.6</v>
      </c>
      <c r="I2630" t="str">
        <f t="shared" si="208"/>
        <v>Low Sales</v>
      </c>
      <c r="J2630" t="str">
        <f t="shared" si="209"/>
        <v>Average Performance</v>
      </c>
      <c r="K2630">
        <f t="shared" si="210"/>
        <v>2004</v>
      </c>
      <c r="L2630" t="str">
        <f t="shared" si="211"/>
        <v>July</v>
      </c>
    </row>
    <row r="2631" spans="1:12" x14ac:dyDescent="0.25">
      <c r="A2631" t="s">
        <v>100</v>
      </c>
      <c r="C2631" t="s">
        <v>262</v>
      </c>
      <c r="D2631" t="str">
        <f t="shared" si="207"/>
        <v>Classic Cars</v>
      </c>
      <c r="E2631" t="s">
        <v>369</v>
      </c>
      <c r="F2631" s="5">
        <v>2321.46</v>
      </c>
      <c r="G2631" s="5">
        <v>464.29199999999997</v>
      </c>
      <c r="I2631" t="str">
        <f t="shared" si="208"/>
        <v>Low Sales</v>
      </c>
      <c r="J2631" t="str">
        <f t="shared" si="209"/>
        <v>Average Performance</v>
      </c>
      <c r="K2631">
        <f t="shared" si="210"/>
        <v>2004</v>
      </c>
      <c r="L2631" t="str">
        <f t="shared" si="211"/>
        <v>August</v>
      </c>
    </row>
    <row r="2632" spans="1:12" x14ac:dyDescent="0.25">
      <c r="A2632" t="s">
        <v>48</v>
      </c>
      <c r="B2632" t="s">
        <v>258</v>
      </c>
      <c r="C2632" t="s">
        <v>262</v>
      </c>
      <c r="D2632" t="str">
        <f t="shared" si="207"/>
        <v>Classic Cars</v>
      </c>
      <c r="E2632" t="s">
        <v>369</v>
      </c>
      <c r="F2632" s="5">
        <v>3256.96</v>
      </c>
      <c r="G2632" s="5">
        <v>651.39200000000005</v>
      </c>
      <c r="I2632" t="str">
        <f t="shared" si="208"/>
        <v>Low Sales</v>
      </c>
      <c r="J2632" t="str">
        <f t="shared" si="209"/>
        <v>Average Performance</v>
      </c>
      <c r="K2632">
        <f t="shared" si="210"/>
        <v>2004</v>
      </c>
      <c r="L2632" t="str">
        <f t="shared" si="211"/>
        <v>September</v>
      </c>
    </row>
    <row r="2633" spans="1:12" x14ac:dyDescent="0.25">
      <c r="A2633" t="s">
        <v>49</v>
      </c>
      <c r="B2633" t="s">
        <v>258</v>
      </c>
      <c r="C2633" t="s">
        <v>262</v>
      </c>
      <c r="D2633" t="str">
        <f t="shared" si="207"/>
        <v>Classic Cars</v>
      </c>
      <c r="E2633" t="s">
        <v>369</v>
      </c>
      <c r="F2633" s="5">
        <v>4208</v>
      </c>
      <c r="G2633" s="5">
        <v>841.6</v>
      </c>
      <c r="I2633" t="str">
        <f t="shared" si="208"/>
        <v>Low Sales</v>
      </c>
      <c r="J2633" t="str">
        <f t="shared" si="209"/>
        <v>Average Performance</v>
      </c>
      <c r="K2633">
        <f t="shared" si="210"/>
        <v>2004</v>
      </c>
      <c r="L2633" t="str">
        <f t="shared" si="211"/>
        <v>October</v>
      </c>
    </row>
    <row r="2634" spans="1:12" x14ac:dyDescent="0.25">
      <c r="A2634" t="s">
        <v>102</v>
      </c>
      <c r="C2634" t="s">
        <v>262</v>
      </c>
      <c r="D2634" t="str">
        <f t="shared" si="207"/>
        <v>Classic Cars</v>
      </c>
      <c r="E2634" t="s">
        <v>369</v>
      </c>
      <c r="F2634" s="5">
        <v>2973.9</v>
      </c>
      <c r="G2634" s="5">
        <v>594.78000000000009</v>
      </c>
      <c r="I2634" t="str">
        <f t="shared" si="208"/>
        <v>Low Sales</v>
      </c>
      <c r="J2634" t="str">
        <f t="shared" si="209"/>
        <v>Average Performance</v>
      </c>
      <c r="K2634">
        <f t="shared" si="210"/>
        <v>2004</v>
      </c>
      <c r="L2634" t="str">
        <f t="shared" si="211"/>
        <v>October</v>
      </c>
    </row>
    <row r="2635" spans="1:12" x14ac:dyDescent="0.25">
      <c r="A2635" t="s">
        <v>86</v>
      </c>
      <c r="C2635" t="s">
        <v>262</v>
      </c>
      <c r="D2635" t="str">
        <f t="shared" si="207"/>
        <v>Classic Cars</v>
      </c>
      <c r="E2635" t="s">
        <v>369</v>
      </c>
      <c r="F2635" s="5">
        <v>4248.3</v>
      </c>
      <c r="G2635" s="5">
        <v>849.66000000000008</v>
      </c>
      <c r="I2635" t="str">
        <f t="shared" si="208"/>
        <v>Low Sales</v>
      </c>
      <c r="J2635" t="str">
        <f t="shared" si="209"/>
        <v>Average Performance</v>
      </c>
      <c r="K2635">
        <f t="shared" si="210"/>
        <v>2004</v>
      </c>
      <c r="L2635" t="str">
        <f t="shared" si="211"/>
        <v>November</v>
      </c>
    </row>
    <row r="2636" spans="1:12" x14ac:dyDescent="0.25">
      <c r="A2636" t="s">
        <v>134</v>
      </c>
      <c r="B2636" t="s">
        <v>258</v>
      </c>
      <c r="C2636" t="s">
        <v>262</v>
      </c>
      <c r="D2636" t="str">
        <f t="shared" si="207"/>
        <v>Classic Cars</v>
      </c>
      <c r="E2636" t="s">
        <v>369</v>
      </c>
      <c r="F2636" s="5">
        <v>9558.7999999999993</v>
      </c>
      <c r="G2636" s="5">
        <v>1911.76</v>
      </c>
      <c r="I2636" t="str">
        <f t="shared" si="208"/>
        <v>Low Sales</v>
      </c>
      <c r="J2636" t="str">
        <f t="shared" si="209"/>
        <v>Average Performance</v>
      </c>
      <c r="K2636">
        <f t="shared" si="210"/>
        <v>2004</v>
      </c>
      <c r="L2636" t="str">
        <f t="shared" si="211"/>
        <v>November</v>
      </c>
    </row>
    <row r="2637" spans="1:12" x14ac:dyDescent="0.25">
      <c r="A2637" t="s">
        <v>85</v>
      </c>
      <c r="B2637" t="s">
        <v>258</v>
      </c>
      <c r="C2637" t="s">
        <v>262</v>
      </c>
      <c r="D2637" t="str">
        <f t="shared" si="207"/>
        <v>Classic Cars</v>
      </c>
      <c r="E2637" t="s">
        <v>369</v>
      </c>
      <c r="F2637" s="5">
        <v>2650.56</v>
      </c>
      <c r="G2637" s="5">
        <v>530.11199999999997</v>
      </c>
      <c r="I2637" t="str">
        <f t="shared" si="208"/>
        <v>Low Sales</v>
      </c>
      <c r="J2637" t="str">
        <f t="shared" si="209"/>
        <v>Average Performance</v>
      </c>
      <c r="K2637">
        <f t="shared" si="210"/>
        <v>2004</v>
      </c>
      <c r="L2637" t="str">
        <f t="shared" si="211"/>
        <v>November</v>
      </c>
    </row>
    <row r="2638" spans="1:12" x14ac:dyDescent="0.25">
      <c r="A2638" t="s">
        <v>54</v>
      </c>
      <c r="B2638" t="s">
        <v>258</v>
      </c>
      <c r="C2638" t="s">
        <v>262</v>
      </c>
      <c r="D2638" t="str">
        <f t="shared" si="207"/>
        <v>Classic Cars</v>
      </c>
      <c r="E2638" t="s">
        <v>369</v>
      </c>
      <c r="F2638" s="5">
        <v>3761.37</v>
      </c>
      <c r="G2638" s="5">
        <v>752.274</v>
      </c>
      <c r="I2638" t="str">
        <f t="shared" si="208"/>
        <v>Low Sales</v>
      </c>
      <c r="J2638" t="str">
        <f t="shared" si="209"/>
        <v>Average Performance</v>
      </c>
      <c r="K2638">
        <f t="shared" si="210"/>
        <v>2004</v>
      </c>
      <c r="L2638" t="str">
        <f t="shared" si="211"/>
        <v>December</v>
      </c>
    </row>
    <row r="2639" spans="1:12" x14ac:dyDescent="0.25">
      <c r="A2639" t="s">
        <v>135</v>
      </c>
      <c r="C2639" t="s">
        <v>262</v>
      </c>
      <c r="D2639" t="str">
        <f t="shared" si="207"/>
        <v>Classic Cars</v>
      </c>
      <c r="E2639" t="s">
        <v>369</v>
      </c>
      <c r="F2639" s="5">
        <v>4301.34</v>
      </c>
      <c r="G2639" s="5">
        <v>860.26800000000003</v>
      </c>
      <c r="I2639" t="str">
        <f t="shared" si="208"/>
        <v>Low Sales</v>
      </c>
      <c r="J2639" t="str">
        <f t="shared" si="209"/>
        <v>Average Performance</v>
      </c>
      <c r="K2639">
        <f t="shared" si="210"/>
        <v>2005</v>
      </c>
      <c r="L2639" t="str">
        <f t="shared" si="211"/>
        <v>January</v>
      </c>
    </row>
    <row r="2640" spans="1:12" x14ac:dyDescent="0.25">
      <c r="A2640" t="s">
        <v>56</v>
      </c>
      <c r="C2640" t="s">
        <v>262</v>
      </c>
      <c r="D2640" t="str">
        <f t="shared" si="207"/>
        <v>Classic Cars</v>
      </c>
      <c r="E2640" t="s">
        <v>369</v>
      </c>
      <c r="F2640" s="5">
        <v>1864.56</v>
      </c>
      <c r="G2640" s="5">
        <v>372.91199999999998</v>
      </c>
      <c r="I2640" t="str">
        <f t="shared" si="208"/>
        <v>Low Sales</v>
      </c>
      <c r="J2640" t="str">
        <f t="shared" si="209"/>
        <v>Average Performance</v>
      </c>
      <c r="K2640">
        <f t="shared" si="210"/>
        <v>2005</v>
      </c>
      <c r="L2640" t="str">
        <f t="shared" si="211"/>
        <v>February</v>
      </c>
    </row>
    <row r="2641" spans="1:12" x14ac:dyDescent="0.25">
      <c r="A2641" t="s">
        <v>58</v>
      </c>
      <c r="C2641" t="s">
        <v>262</v>
      </c>
      <c r="D2641" t="str">
        <f t="shared" si="207"/>
        <v>Classic Cars</v>
      </c>
      <c r="E2641" t="s">
        <v>369</v>
      </c>
      <c r="F2641" s="5">
        <v>3576.8</v>
      </c>
      <c r="G2641" s="5">
        <v>715.36000000000013</v>
      </c>
      <c r="I2641" t="str">
        <f t="shared" si="208"/>
        <v>Low Sales</v>
      </c>
      <c r="J2641" t="str">
        <f t="shared" si="209"/>
        <v>Average Performance</v>
      </c>
      <c r="K2641">
        <f t="shared" si="210"/>
        <v>2005</v>
      </c>
      <c r="L2641" t="str">
        <f t="shared" si="211"/>
        <v>May</v>
      </c>
    </row>
    <row r="2642" spans="1:12" x14ac:dyDescent="0.25">
      <c r="A2642" t="s">
        <v>59</v>
      </c>
      <c r="B2642" t="s">
        <v>258</v>
      </c>
      <c r="C2642" t="s">
        <v>262</v>
      </c>
      <c r="D2642" t="str">
        <f t="shared" ref="D2642:D2705" si="212">PROPER(TRIM(C2642))</f>
        <v>Classic Cars</v>
      </c>
      <c r="E2642" t="s">
        <v>369</v>
      </c>
      <c r="F2642" s="5">
        <v>3722.32</v>
      </c>
      <c r="G2642" s="5">
        <v>744.46400000000006</v>
      </c>
      <c r="I2642" t="str">
        <f t="shared" si="208"/>
        <v>Low Sales</v>
      </c>
      <c r="J2642" t="str">
        <f t="shared" si="209"/>
        <v>Average Performance</v>
      </c>
      <c r="K2642">
        <f t="shared" si="210"/>
        <v>2005</v>
      </c>
      <c r="L2642" t="str">
        <f t="shared" si="211"/>
        <v>May</v>
      </c>
    </row>
    <row r="2643" spans="1:12" x14ac:dyDescent="0.25">
      <c r="A2643" t="s">
        <v>192</v>
      </c>
      <c r="B2643" t="s">
        <v>258</v>
      </c>
      <c r="C2643" t="s">
        <v>265</v>
      </c>
      <c r="D2643" t="str">
        <f t="shared" si="212"/>
        <v>Planes</v>
      </c>
      <c r="E2643" t="s">
        <v>370</v>
      </c>
      <c r="F2643" s="5">
        <v>3986.56</v>
      </c>
      <c r="G2643" s="5">
        <v>797.31200000000001</v>
      </c>
      <c r="I2643" t="str">
        <f t="shared" si="208"/>
        <v>Low Sales</v>
      </c>
      <c r="J2643" t="str">
        <f t="shared" si="209"/>
        <v>Average Performance</v>
      </c>
      <c r="K2643">
        <f t="shared" si="210"/>
        <v>2003</v>
      </c>
      <c r="L2643" t="str">
        <f t="shared" si="211"/>
        <v>February</v>
      </c>
    </row>
    <row r="2644" spans="1:12" x14ac:dyDescent="0.25">
      <c r="A2644" t="s">
        <v>60</v>
      </c>
      <c r="B2644" t="s">
        <v>259</v>
      </c>
      <c r="C2644" t="s">
        <v>265</v>
      </c>
      <c r="D2644" t="str">
        <f t="shared" si="212"/>
        <v>Planes</v>
      </c>
      <c r="E2644" t="s">
        <v>370</v>
      </c>
      <c r="F2644" s="5">
        <v>3417.12</v>
      </c>
      <c r="G2644" s="5">
        <v>683.42399999999998</v>
      </c>
      <c r="I2644" t="str">
        <f t="shared" si="208"/>
        <v>Low Sales</v>
      </c>
      <c r="J2644" t="str">
        <f t="shared" si="209"/>
        <v>Average Performance</v>
      </c>
      <c r="K2644">
        <f t="shared" si="210"/>
        <v>2003</v>
      </c>
      <c r="L2644" t="str">
        <f t="shared" si="211"/>
        <v>April</v>
      </c>
    </row>
    <row r="2645" spans="1:12" x14ac:dyDescent="0.25">
      <c r="A2645" t="s">
        <v>215</v>
      </c>
      <c r="B2645" t="s">
        <v>258</v>
      </c>
      <c r="C2645" t="s">
        <v>265</v>
      </c>
      <c r="D2645" t="str">
        <f t="shared" si="212"/>
        <v>Planes</v>
      </c>
      <c r="E2645" t="s">
        <v>370</v>
      </c>
      <c r="F2645" s="5">
        <v>2691.09</v>
      </c>
      <c r="G2645" s="5">
        <v>538.21800000000007</v>
      </c>
      <c r="I2645" t="str">
        <f t="shared" si="208"/>
        <v>Low Sales</v>
      </c>
      <c r="J2645" t="str">
        <f t="shared" si="209"/>
        <v>Average Performance</v>
      </c>
      <c r="K2645">
        <f t="shared" si="210"/>
        <v>2003</v>
      </c>
      <c r="L2645" t="str">
        <f t="shared" si="211"/>
        <v>June</v>
      </c>
    </row>
    <row r="2646" spans="1:12" x14ac:dyDescent="0.25">
      <c r="A2646" t="s">
        <v>9</v>
      </c>
      <c r="C2646" t="s">
        <v>265</v>
      </c>
      <c r="D2646" t="str">
        <f t="shared" si="212"/>
        <v>Planes</v>
      </c>
      <c r="E2646" t="s">
        <v>370</v>
      </c>
      <c r="F2646" s="5">
        <v>2752.6</v>
      </c>
      <c r="G2646" s="5">
        <v>550.52</v>
      </c>
      <c r="I2646" t="str">
        <f t="shared" si="208"/>
        <v>Low Sales</v>
      </c>
      <c r="J2646" t="str">
        <f t="shared" si="209"/>
        <v>Average Performance</v>
      </c>
      <c r="K2646">
        <f t="shared" si="210"/>
        <v>2003</v>
      </c>
      <c r="L2646" t="str">
        <f t="shared" si="211"/>
        <v>August</v>
      </c>
    </row>
    <row r="2647" spans="1:12" x14ac:dyDescent="0.25">
      <c r="A2647" t="s">
        <v>11</v>
      </c>
      <c r="C2647" t="s">
        <v>265</v>
      </c>
      <c r="D2647" t="str">
        <f t="shared" si="212"/>
        <v>Planes</v>
      </c>
      <c r="E2647" t="s">
        <v>370</v>
      </c>
      <c r="F2647" s="5">
        <v>4527.72</v>
      </c>
      <c r="G2647" s="5">
        <v>905.5440000000001</v>
      </c>
      <c r="I2647" t="str">
        <f t="shared" si="208"/>
        <v>Low Sales</v>
      </c>
      <c r="J2647" t="str">
        <f t="shared" si="209"/>
        <v>Average Performance</v>
      </c>
      <c r="K2647">
        <f t="shared" si="210"/>
        <v>2003</v>
      </c>
      <c r="L2647" t="str">
        <f t="shared" si="211"/>
        <v>October</v>
      </c>
    </row>
    <row r="2648" spans="1:12" x14ac:dyDescent="0.25">
      <c r="A2648" t="s">
        <v>13</v>
      </c>
      <c r="B2648" t="s">
        <v>258</v>
      </c>
      <c r="C2648" t="s">
        <v>265</v>
      </c>
      <c r="D2648" t="str">
        <f t="shared" si="212"/>
        <v>Planes</v>
      </c>
      <c r="E2648" t="s">
        <v>370</v>
      </c>
      <c r="F2648" s="5">
        <v>3957.05</v>
      </c>
      <c r="G2648" s="5">
        <v>791.41000000000008</v>
      </c>
      <c r="I2648" t="str">
        <f t="shared" si="208"/>
        <v>Low Sales</v>
      </c>
      <c r="J2648" t="str">
        <f t="shared" si="209"/>
        <v>Average Performance</v>
      </c>
      <c r="K2648">
        <f t="shared" si="210"/>
        <v>2003</v>
      </c>
      <c r="L2648" t="str">
        <f t="shared" si="211"/>
        <v>November</v>
      </c>
    </row>
    <row r="2649" spans="1:12" x14ac:dyDescent="0.25">
      <c r="A2649" t="s">
        <v>61</v>
      </c>
      <c r="B2649" t="s">
        <v>260</v>
      </c>
      <c r="C2649" t="s">
        <v>265</v>
      </c>
      <c r="D2649" t="str">
        <f t="shared" si="212"/>
        <v>Planes</v>
      </c>
      <c r="E2649" t="s">
        <v>370</v>
      </c>
      <c r="F2649" s="5">
        <v>2818</v>
      </c>
      <c r="G2649" s="5">
        <v>563.6</v>
      </c>
      <c r="I2649" t="str">
        <f t="shared" si="208"/>
        <v>Low Sales</v>
      </c>
      <c r="J2649" t="str">
        <f t="shared" si="209"/>
        <v>Average Performance</v>
      </c>
      <c r="K2649">
        <f t="shared" si="210"/>
        <v>2004</v>
      </c>
      <c r="L2649" t="str">
        <f t="shared" si="211"/>
        <v>January</v>
      </c>
    </row>
    <row r="2650" spans="1:12" x14ac:dyDescent="0.25">
      <c r="A2650" t="s">
        <v>16</v>
      </c>
      <c r="B2650" t="s">
        <v>259</v>
      </c>
      <c r="C2650" t="s">
        <v>265</v>
      </c>
      <c r="D2650" t="str">
        <f t="shared" si="212"/>
        <v>Planes</v>
      </c>
      <c r="E2650" t="s">
        <v>370</v>
      </c>
      <c r="F2650" s="5">
        <v>3199.86</v>
      </c>
      <c r="G2650" s="5">
        <v>639.97200000000009</v>
      </c>
      <c r="I2650" t="str">
        <f t="shared" si="208"/>
        <v>Low Sales</v>
      </c>
      <c r="J2650" t="str">
        <f t="shared" si="209"/>
        <v>Average Performance</v>
      </c>
      <c r="K2650">
        <f t="shared" si="210"/>
        <v>2004</v>
      </c>
      <c r="L2650" t="str">
        <f t="shared" si="211"/>
        <v>February</v>
      </c>
    </row>
    <row r="2651" spans="1:12" x14ac:dyDescent="0.25">
      <c r="A2651" t="s">
        <v>216</v>
      </c>
      <c r="C2651" t="s">
        <v>265</v>
      </c>
      <c r="D2651" t="str">
        <f t="shared" si="212"/>
        <v>Planes</v>
      </c>
      <c r="E2651" t="s">
        <v>370</v>
      </c>
      <c r="F2651" s="5">
        <v>2402.75</v>
      </c>
      <c r="G2651" s="5">
        <v>480.55</v>
      </c>
      <c r="I2651" t="str">
        <f t="shared" si="208"/>
        <v>Low Sales</v>
      </c>
      <c r="J2651" t="str">
        <f t="shared" si="209"/>
        <v>Average Performance</v>
      </c>
      <c r="K2651">
        <f t="shared" si="210"/>
        <v>2004</v>
      </c>
      <c r="L2651" t="str">
        <f t="shared" si="211"/>
        <v>April</v>
      </c>
    </row>
    <row r="2652" spans="1:12" x14ac:dyDescent="0.25">
      <c r="A2652" t="s">
        <v>195</v>
      </c>
      <c r="C2652" t="s">
        <v>265</v>
      </c>
      <c r="D2652" t="str">
        <f t="shared" si="212"/>
        <v>Planes</v>
      </c>
      <c r="E2652" t="s">
        <v>370</v>
      </c>
      <c r="F2652" s="5">
        <v>6055.72</v>
      </c>
      <c r="G2652" s="5">
        <v>1211.144</v>
      </c>
      <c r="I2652" t="str">
        <f t="shared" si="208"/>
        <v>Low Sales</v>
      </c>
      <c r="J2652" t="str">
        <f t="shared" si="209"/>
        <v>Average Performance</v>
      </c>
      <c r="K2652">
        <f t="shared" si="210"/>
        <v>2004</v>
      </c>
      <c r="L2652" t="str">
        <f t="shared" si="211"/>
        <v>May</v>
      </c>
    </row>
    <row r="2653" spans="1:12" x14ac:dyDescent="0.25">
      <c r="A2653" t="s">
        <v>19</v>
      </c>
      <c r="C2653" t="s">
        <v>265</v>
      </c>
      <c r="D2653" t="str">
        <f t="shared" si="212"/>
        <v>Planes</v>
      </c>
      <c r="E2653" t="s">
        <v>370</v>
      </c>
      <c r="F2653" s="5">
        <v>5465.16</v>
      </c>
      <c r="G2653" s="5">
        <v>1093.0319999999999</v>
      </c>
      <c r="I2653" t="str">
        <f t="shared" si="208"/>
        <v>Low Sales</v>
      </c>
      <c r="J2653" t="str">
        <f t="shared" si="209"/>
        <v>Average Performance</v>
      </c>
      <c r="K2653">
        <f t="shared" si="210"/>
        <v>2004</v>
      </c>
      <c r="L2653" t="str">
        <f t="shared" si="211"/>
        <v>June</v>
      </c>
    </row>
    <row r="2654" spans="1:12" x14ac:dyDescent="0.25">
      <c r="A2654" t="s">
        <v>20</v>
      </c>
      <c r="B2654" t="s">
        <v>258</v>
      </c>
      <c r="C2654" t="s">
        <v>265</v>
      </c>
      <c r="D2654" t="str">
        <f t="shared" si="212"/>
        <v>Planes</v>
      </c>
      <c r="E2654" t="s">
        <v>370</v>
      </c>
      <c r="F2654" s="5">
        <v>6378.72</v>
      </c>
      <c r="G2654" s="5">
        <v>1275.7439999999999</v>
      </c>
      <c r="I2654" t="str">
        <f t="shared" si="208"/>
        <v>Low Sales</v>
      </c>
      <c r="J2654" t="str">
        <f t="shared" si="209"/>
        <v>Average Performance</v>
      </c>
      <c r="K2654">
        <f t="shared" si="210"/>
        <v>2004</v>
      </c>
      <c r="L2654" t="str">
        <f t="shared" si="211"/>
        <v>July</v>
      </c>
    </row>
    <row r="2655" spans="1:12" x14ac:dyDescent="0.25">
      <c r="A2655" t="s">
        <v>21</v>
      </c>
      <c r="C2655" t="s">
        <v>265</v>
      </c>
      <c r="D2655" t="str">
        <f t="shared" si="212"/>
        <v>Planes</v>
      </c>
      <c r="E2655" t="s">
        <v>370</v>
      </c>
      <c r="F2655" s="5">
        <v>5392.8</v>
      </c>
      <c r="G2655" s="5">
        <v>1078.56</v>
      </c>
      <c r="I2655" t="str">
        <f t="shared" si="208"/>
        <v>Low Sales</v>
      </c>
      <c r="J2655" t="str">
        <f t="shared" si="209"/>
        <v>Average Performance</v>
      </c>
      <c r="K2655">
        <f t="shared" si="210"/>
        <v>2004</v>
      </c>
      <c r="L2655" t="str">
        <f t="shared" si="211"/>
        <v>August</v>
      </c>
    </row>
    <row r="2656" spans="1:12" x14ac:dyDescent="0.25">
      <c r="A2656" t="s">
        <v>217</v>
      </c>
      <c r="B2656" t="s">
        <v>258</v>
      </c>
      <c r="C2656" t="s">
        <v>265</v>
      </c>
      <c r="D2656" t="str">
        <f t="shared" si="212"/>
        <v>Planes</v>
      </c>
      <c r="E2656" t="s">
        <v>370</v>
      </c>
      <c r="F2656" s="5">
        <v>3986.5</v>
      </c>
      <c r="G2656" s="5">
        <v>797.30000000000007</v>
      </c>
      <c r="I2656" t="str">
        <f t="shared" si="208"/>
        <v>Low Sales</v>
      </c>
      <c r="J2656" t="str">
        <f t="shared" si="209"/>
        <v>Average Performance</v>
      </c>
      <c r="K2656">
        <f t="shared" si="210"/>
        <v>2004</v>
      </c>
      <c r="L2656" t="str">
        <f t="shared" si="211"/>
        <v>September</v>
      </c>
    </row>
    <row r="2657" spans="1:12" x14ac:dyDescent="0.25">
      <c r="A2657" t="s">
        <v>23</v>
      </c>
      <c r="C2657" t="s">
        <v>265</v>
      </c>
      <c r="D2657" t="str">
        <f t="shared" si="212"/>
        <v>Planes</v>
      </c>
      <c r="E2657" t="s">
        <v>370</v>
      </c>
      <c r="F2657" s="5">
        <v>4009.23</v>
      </c>
      <c r="G2657" s="5">
        <v>801.846</v>
      </c>
      <c r="I2657" t="str">
        <f t="shared" si="208"/>
        <v>Low Sales</v>
      </c>
      <c r="J2657" t="str">
        <f t="shared" si="209"/>
        <v>Average Performance</v>
      </c>
      <c r="K2657">
        <f t="shared" si="210"/>
        <v>2004</v>
      </c>
      <c r="L2657" t="str">
        <f t="shared" si="211"/>
        <v>October</v>
      </c>
    </row>
    <row r="2658" spans="1:12" x14ac:dyDescent="0.25">
      <c r="A2658" t="s">
        <v>24</v>
      </c>
      <c r="C2658" t="s">
        <v>265</v>
      </c>
      <c r="D2658" t="str">
        <f t="shared" si="212"/>
        <v>Planes</v>
      </c>
      <c r="E2658" t="s">
        <v>370</v>
      </c>
      <c r="F2658" s="5">
        <v>7119</v>
      </c>
      <c r="G2658" s="5">
        <v>1423.8</v>
      </c>
      <c r="I2658" t="str">
        <f t="shared" si="208"/>
        <v>Low Sales</v>
      </c>
      <c r="J2658" t="str">
        <f t="shared" si="209"/>
        <v>Average Performance</v>
      </c>
      <c r="K2658">
        <f t="shared" si="210"/>
        <v>2004</v>
      </c>
      <c r="L2658" t="str">
        <f t="shared" si="211"/>
        <v>November</v>
      </c>
    </row>
    <row r="2659" spans="1:12" x14ac:dyDescent="0.25">
      <c r="A2659" t="s">
        <v>239</v>
      </c>
      <c r="B2659" t="s">
        <v>258</v>
      </c>
      <c r="C2659" t="s">
        <v>265</v>
      </c>
      <c r="D2659" t="str">
        <f t="shared" si="212"/>
        <v>Planes</v>
      </c>
      <c r="E2659" t="s">
        <v>370</v>
      </c>
      <c r="F2659" s="5">
        <v>4072.2</v>
      </c>
      <c r="G2659" s="5">
        <v>814.44</v>
      </c>
      <c r="I2659" t="str">
        <f t="shared" si="208"/>
        <v>Low Sales</v>
      </c>
      <c r="J2659" t="str">
        <f t="shared" si="209"/>
        <v>Average Performance</v>
      </c>
      <c r="K2659">
        <f t="shared" si="210"/>
        <v>2004</v>
      </c>
      <c r="L2659" t="str">
        <f t="shared" si="211"/>
        <v>November</v>
      </c>
    </row>
    <row r="2660" spans="1:12" x14ac:dyDescent="0.25">
      <c r="A2660" t="s">
        <v>26</v>
      </c>
      <c r="B2660" t="s">
        <v>258</v>
      </c>
      <c r="C2660" t="s">
        <v>265</v>
      </c>
      <c r="D2660" t="str">
        <f t="shared" si="212"/>
        <v>Planes</v>
      </c>
      <c r="E2660" t="s">
        <v>370</v>
      </c>
      <c r="F2660" s="5">
        <v>4094.51</v>
      </c>
      <c r="G2660" s="5">
        <v>818.90200000000004</v>
      </c>
      <c r="I2660" t="str">
        <f t="shared" si="208"/>
        <v>Low Sales</v>
      </c>
      <c r="J2660" t="str">
        <f t="shared" si="209"/>
        <v>Average Performance</v>
      </c>
      <c r="K2660">
        <f t="shared" si="210"/>
        <v>2004</v>
      </c>
      <c r="L2660" t="str">
        <f t="shared" si="211"/>
        <v>November</v>
      </c>
    </row>
    <row r="2661" spans="1:12" x14ac:dyDescent="0.25">
      <c r="A2661" t="s">
        <v>218</v>
      </c>
      <c r="C2661" t="s">
        <v>265</v>
      </c>
      <c r="D2661" t="str">
        <f t="shared" si="212"/>
        <v>Planes</v>
      </c>
      <c r="E2661" t="s">
        <v>370</v>
      </c>
      <c r="F2661" s="5">
        <v>3302.4</v>
      </c>
      <c r="G2661" s="5">
        <v>660.48</v>
      </c>
      <c r="I2661" t="str">
        <f t="shared" si="208"/>
        <v>Low Sales</v>
      </c>
      <c r="J2661" t="str">
        <f t="shared" si="209"/>
        <v>Average Performance</v>
      </c>
      <c r="K2661">
        <f t="shared" si="210"/>
        <v>2004</v>
      </c>
      <c r="L2661" t="str">
        <f t="shared" si="211"/>
        <v>December</v>
      </c>
    </row>
    <row r="2662" spans="1:12" x14ac:dyDescent="0.25">
      <c r="A2662" t="s">
        <v>27</v>
      </c>
      <c r="B2662" t="s">
        <v>259</v>
      </c>
      <c r="C2662" t="s">
        <v>265</v>
      </c>
      <c r="D2662" t="str">
        <f t="shared" si="212"/>
        <v>Planes</v>
      </c>
      <c r="E2662" t="s">
        <v>370</v>
      </c>
      <c r="F2662" s="5">
        <v>3186.48</v>
      </c>
      <c r="G2662" s="5">
        <v>637.29600000000005</v>
      </c>
      <c r="I2662" t="str">
        <f t="shared" si="208"/>
        <v>Low Sales</v>
      </c>
      <c r="J2662" t="str">
        <f t="shared" si="209"/>
        <v>Average Performance</v>
      </c>
      <c r="K2662">
        <f t="shared" si="210"/>
        <v>2004</v>
      </c>
      <c r="L2662" t="str">
        <f t="shared" si="211"/>
        <v>December</v>
      </c>
    </row>
    <row r="2663" spans="1:12" x14ac:dyDescent="0.25">
      <c r="A2663" t="s">
        <v>28</v>
      </c>
      <c r="B2663" t="s">
        <v>258</v>
      </c>
      <c r="C2663" t="s">
        <v>265</v>
      </c>
      <c r="D2663" t="str">
        <f t="shared" si="212"/>
        <v>Planes</v>
      </c>
      <c r="E2663" t="s">
        <v>370</v>
      </c>
      <c r="F2663" s="5">
        <v>1668.25</v>
      </c>
      <c r="G2663" s="5">
        <v>333.65</v>
      </c>
      <c r="I2663" t="str">
        <f t="shared" si="208"/>
        <v>Low Sales</v>
      </c>
      <c r="J2663" t="str">
        <f t="shared" si="209"/>
        <v>Average Performance</v>
      </c>
      <c r="K2663">
        <f t="shared" si="210"/>
        <v>2005</v>
      </c>
      <c r="L2663" t="str">
        <f t="shared" si="211"/>
        <v>February</v>
      </c>
    </row>
    <row r="2664" spans="1:12" x14ac:dyDescent="0.25">
      <c r="A2664" t="s">
        <v>29</v>
      </c>
      <c r="C2664" t="s">
        <v>265</v>
      </c>
      <c r="D2664" t="str">
        <f t="shared" si="212"/>
        <v>Planes</v>
      </c>
      <c r="E2664" t="s">
        <v>370</v>
      </c>
      <c r="F2664" s="5">
        <v>7154.5</v>
      </c>
      <c r="G2664" s="5">
        <v>1430.9</v>
      </c>
      <c r="I2664" t="str">
        <f t="shared" si="208"/>
        <v>Low Sales</v>
      </c>
      <c r="J2664" t="str">
        <f t="shared" si="209"/>
        <v>Average Performance</v>
      </c>
      <c r="K2664">
        <f t="shared" si="210"/>
        <v>2005</v>
      </c>
      <c r="L2664" t="str">
        <f t="shared" si="211"/>
        <v>March</v>
      </c>
    </row>
    <row r="2665" spans="1:12" x14ac:dyDescent="0.25">
      <c r="A2665" t="s">
        <v>203</v>
      </c>
      <c r="B2665" t="s">
        <v>258</v>
      </c>
      <c r="C2665" t="s">
        <v>265</v>
      </c>
      <c r="D2665" t="str">
        <f t="shared" si="212"/>
        <v>Planes</v>
      </c>
      <c r="E2665" t="s">
        <v>370</v>
      </c>
      <c r="F2665" s="5">
        <v>2810.83</v>
      </c>
      <c r="G2665" s="5">
        <v>562.16600000000005</v>
      </c>
      <c r="I2665" t="str">
        <f t="shared" si="208"/>
        <v>Low Sales</v>
      </c>
      <c r="J2665" t="str">
        <f t="shared" si="209"/>
        <v>Average Performance</v>
      </c>
      <c r="K2665">
        <f t="shared" si="210"/>
        <v>2005</v>
      </c>
      <c r="L2665" t="str">
        <f t="shared" si="211"/>
        <v>March</v>
      </c>
    </row>
    <row r="2666" spans="1:12" x14ac:dyDescent="0.25">
      <c r="A2666" t="s">
        <v>219</v>
      </c>
      <c r="C2666" t="s">
        <v>265</v>
      </c>
      <c r="D2666" t="str">
        <f t="shared" si="212"/>
        <v>Planes</v>
      </c>
      <c r="E2666" t="s">
        <v>370</v>
      </c>
      <c r="F2666" s="5">
        <v>2018.31</v>
      </c>
      <c r="G2666" s="5">
        <v>403.66199999999998</v>
      </c>
      <c r="I2666" t="str">
        <f t="shared" si="208"/>
        <v>Low Sales</v>
      </c>
      <c r="J2666" t="str">
        <f t="shared" si="209"/>
        <v>Average Performance</v>
      </c>
      <c r="K2666">
        <f t="shared" si="210"/>
        <v>2005</v>
      </c>
      <c r="L2666" t="str">
        <f t="shared" si="211"/>
        <v>April</v>
      </c>
    </row>
    <row r="2667" spans="1:12" x14ac:dyDescent="0.25">
      <c r="A2667" t="s">
        <v>204</v>
      </c>
      <c r="B2667" t="s">
        <v>258</v>
      </c>
      <c r="C2667" t="s">
        <v>265</v>
      </c>
      <c r="D2667" t="str">
        <f t="shared" si="212"/>
        <v>Planes</v>
      </c>
      <c r="E2667" t="s">
        <v>370</v>
      </c>
      <c r="F2667" s="5">
        <v>5642.83</v>
      </c>
      <c r="G2667" s="5">
        <v>1128.566</v>
      </c>
      <c r="I2667" t="str">
        <f t="shared" si="208"/>
        <v>Low Sales</v>
      </c>
      <c r="J2667" t="str">
        <f t="shared" si="209"/>
        <v>Average Performance</v>
      </c>
      <c r="K2667">
        <f t="shared" si="210"/>
        <v>2005</v>
      </c>
      <c r="L2667" t="str">
        <f t="shared" si="211"/>
        <v>May</v>
      </c>
    </row>
    <row r="2668" spans="1:12" x14ac:dyDescent="0.25">
      <c r="A2668" t="s">
        <v>192</v>
      </c>
      <c r="B2668" t="s">
        <v>258</v>
      </c>
      <c r="C2668" t="s">
        <v>265</v>
      </c>
      <c r="D2668" t="str">
        <f t="shared" si="212"/>
        <v>Planes</v>
      </c>
      <c r="E2668" t="s">
        <v>371</v>
      </c>
      <c r="F2668" s="5">
        <v>3273.6</v>
      </c>
      <c r="G2668" s="5">
        <v>654.72</v>
      </c>
      <c r="I2668" t="str">
        <f t="shared" si="208"/>
        <v>Low Sales</v>
      </c>
      <c r="J2668" t="str">
        <f t="shared" si="209"/>
        <v>Average Performance</v>
      </c>
      <c r="K2668">
        <f t="shared" si="210"/>
        <v>2003</v>
      </c>
      <c r="L2668" t="str">
        <f t="shared" si="211"/>
        <v>February</v>
      </c>
    </row>
    <row r="2669" spans="1:12" x14ac:dyDescent="0.25">
      <c r="A2669" t="s">
        <v>60</v>
      </c>
      <c r="B2669" t="s">
        <v>259</v>
      </c>
      <c r="C2669" t="s">
        <v>265</v>
      </c>
      <c r="D2669" t="str">
        <f t="shared" si="212"/>
        <v>Planes</v>
      </c>
      <c r="E2669" t="s">
        <v>371</v>
      </c>
      <c r="F2669" s="5">
        <v>3268</v>
      </c>
      <c r="G2669" s="5">
        <v>653.6</v>
      </c>
      <c r="I2669" t="str">
        <f t="shared" si="208"/>
        <v>Low Sales</v>
      </c>
      <c r="J2669" t="str">
        <f t="shared" si="209"/>
        <v>Average Performance</v>
      </c>
      <c r="K2669">
        <f t="shared" si="210"/>
        <v>2003</v>
      </c>
      <c r="L2669" t="str">
        <f t="shared" si="211"/>
        <v>April</v>
      </c>
    </row>
    <row r="2670" spans="1:12" x14ac:dyDescent="0.25">
      <c r="A2670" t="s">
        <v>71</v>
      </c>
      <c r="C2670" t="s">
        <v>265</v>
      </c>
      <c r="D2670" t="str">
        <f t="shared" si="212"/>
        <v>Planes</v>
      </c>
      <c r="E2670" t="s">
        <v>371</v>
      </c>
      <c r="F2670" s="5">
        <v>2688</v>
      </c>
      <c r="G2670" s="5">
        <v>537.6</v>
      </c>
      <c r="I2670" t="str">
        <f t="shared" si="208"/>
        <v>Low Sales</v>
      </c>
      <c r="J2670" t="str">
        <f t="shared" si="209"/>
        <v>Average Performance</v>
      </c>
      <c r="K2670">
        <f t="shared" si="210"/>
        <v>2003</v>
      </c>
      <c r="L2670" t="str">
        <f t="shared" si="211"/>
        <v>August</v>
      </c>
    </row>
    <row r="2671" spans="1:12" x14ac:dyDescent="0.25">
      <c r="A2671" t="s">
        <v>72</v>
      </c>
      <c r="B2671" t="s">
        <v>258</v>
      </c>
      <c r="C2671" t="s">
        <v>265</v>
      </c>
      <c r="D2671" t="str">
        <f t="shared" si="212"/>
        <v>Planes</v>
      </c>
      <c r="E2671" t="s">
        <v>371</v>
      </c>
      <c r="F2671" s="5">
        <v>3715.2</v>
      </c>
      <c r="G2671" s="5">
        <v>743.04</v>
      </c>
      <c r="I2671" t="str">
        <f t="shared" si="208"/>
        <v>Low Sales</v>
      </c>
      <c r="J2671" t="str">
        <f t="shared" si="209"/>
        <v>Average Performance</v>
      </c>
      <c r="K2671">
        <f t="shared" si="210"/>
        <v>2003</v>
      </c>
      <c r="L2671" t="str">
        <f t="shared" si="211"/>
        <v>October</v>
      </c>
    </row>
    <row r="2672" spans="1:12" x14ac:dyDescent="0.25">
      <c r="A2672" t="s">
        <v>11</v>
      </c>
      <c r="C2672" t="s">
        <v>265</v>
      </c>
      <c r="D2672" t="str">
        <f t="shared" si="212"/>
        <v>Planes</v>
      </c>
      <c r="E2672" t="s">
        <v>371</v>
      </c>
      <c r="F2672" s="5">
        <v>4608</v>
      </c>
      <c r="G2672" s="5">
        <v>921.6</v>
      </c>
      <c r="I2672" t="str">
        <f t="shared" si="208"/>
        <v>Low Sales</v>
      </c>
      <c r="J2672" t="str">
        <f t="shared" si="209"/>
        <v>Average Performance</v>
      </c>
      <c r="K2672">
        <f t="shared" si="210"/>
        <v>2003</v>
      </c>
      <c r="L2672" t="str">
        <f t="shared" si="211"/>
        <v>October</v>
      </c>
    </row>
    <row r="2673" spans="1:12" x14ac:dyDescent="0.25">
      <c r="A2673" t="s">
        <v>14</v>
      </c>
      <c r="C2673" t="s">
        <v>265</v>
      </c>
      <c r="D2673" t="str">
        <f t="shared" si="212"/>
        <v>Planes</v>
      </c>
      <c r="E2673" t="s">
        <v>371</v>
      </c>
      <c r="F2673" s="5">
        <v>3131.2</v>
      </c>
      <c r="G2673" s="5">
        <v>626.24</v>
      </c>
      <c r="I2673" t="str">
        <f t="shared" si="208"/>
        <v>Low Sales</v>
      </c>
      <c r="J2673" t="str">
        <f t="shared" si="209"/>
        <v>Average Performance</v>
      </c>
      <c r="K2673">
        <f t="shared" si="210"/>
        <v>2003</v>
      </c>
      <c r="L2673" t="str">
        <f t="shared" si="211"/>
        <v>December</v>
      </c>
    </row>
    <row r="2674" spans="1:12" x14ac:dyDescent="0.25">
      <c r="A2674" t="s">
        <v>61</v>
      </c>
      <c r="B2674" t="s">
        <v>260</v>
      </c>
      <c r="C2674" t="s">
        <v>265</v>
      </c>
      <c r="D2674" t="str">
        <f t="shared" si="212"/>
        <v>Planes</v>
      </c>
      <c r="E2674" t="s">
        <v>371</v>
      </c>
      <c r="F2674" s="5">
        <v>2678.4</v>
      </c>
      <c r="G2674" s="5">
        <v>535.68000000000006</v>
      </c>
      <c r="I2674" t="str">
        <f t="shared" si="208"/>
        <v>Low Sales</v>
      </c>
      <c r="J2674" t="str">
        <f t="shared" si="209"/>
        <v>Average Performance</v>
      </c>
      <c r="K2674">
        <f t="shared" si="210"/>
        <v>2004</v>
      </c>
      <c r="L2674" t="str">
        <f t="shared" si="211"/>
        <v>January</v>
      </c>
    </row>
    <row r="2675" spans="1:12" x14ac:dyDescent="0.25">
      <c r="A2675" t="s">
        <v>16</v>
      </c>
      <c r="B2675" t="s">
        <v>259</v>
      </c>
      <c r="C2675" t="s">
        <v>265</v>
      </c>
      <c r="D2675" t="str">
        <f t="shared" si="212"/>
        <v>Planes</v>
      </c>
      <c r="E2675" t="s">
        <v>371</v>
      </c>
      <c r="F2675" s="5">
        <v>1747.2</v>
      </c>
      <c r="G2675" s="5">
        <v>349.44000000000011</v>
      </c>
      <c r="I2675" t="str">
        <f t="shared" si="208"/>
        <v>Low Sales</v>
      </c>
      <c r="J2675" t="str">
        <f t="shared" si="209"/>
        <v>Average Performance</v>
      </c>
      <c r="K2675">
        <f t="shared" si="210"/>
        <v>2004</v>
      </c>
      <c r="L2675" t="str">
        <f t="shared" si="211"/>
        <v>February</v>
      </c>
    </row>
    <row r="2676" spans="1:12" x14ac:dyDescent="0.25">
      <c r="A2676" t="s">
        <v>216</v>
      </c>
      <c r="C2676" t="s">
        <v>265</v>
      </c>
      <c r="D2676" t="str">
        <f t="shared" si="212"/>
        <v>Planes</v>
      </c>
      <c r="E2676" t="s">
        <v>371</v>
      </c>
      <c r="F2676" s="5">
        <v>2944</v>
      </c>
      <c r="G2676" s="5">
        <v>588.80000000000007</v>
      </c>
      <c r="I2676" t="str">
        <f t="shared" si="208"/>
        <v>Low Sales</v>
      </c>
      <c r="J2676" t="str">
        <f t="shared" si="209"/>
        <v>Average Performance</v>
      </c>
      <c r="K2676">
        <f t="shared" si="210"/>
        <v>2004</v>
      </c>
      <c r="L2676" t="str">
        <f t="shared" si="211"/>
        <v>April</v>
      </c>
    </row>
    <row r="2677" spans="1:12" x14ac:dyDescent="0.25">
      <c r="A2677" t="s">
        <v>195</v>
      </c>
      <c r="C2677" t="s">
        <v>265</v>
      </c>
      <c r="D2677" t="str">
        <f t="shared" si="212"/>
        <v>Planes</v>
      </c>
      <c r="E2677" t="s">
        <v>371</v>
      </c>
      <c r="F2677" s="5">
        <v>2956.8</v>
      </c>
      <c r="G2677" s="5">
        <v>591.36</v>
      </c>
      <c r="I2677" t="str">
        <f t="shared" si="208"/>
        <v>Low Sales</v>
      </c>
      <c r="J2677" t="str">
        <f t="shared" si="209"/>
        <v>Average Performance</v>
      </c>
      <c r="K2677">
        <f t="shared" si="210"/>
        <v>2004</v>
      </c>
      <c r="L2677" t="str">
        <f t="shared" si="211"/>
        <v>May</v>
      </c>
    </row>
    <row r="2678" spans="1:12" x14ac:dyDescent="0.25">
      <c r="A2678" t="s">
        <v>196</v>
      </c>
      <c r="B2678" t="s">
        <v>258</v>
      </c>
      <c r="C2678" t="s">
        <v>265</v>
      </c>
      <c r="D2678" t="str">
        <f t="shared" si="212"/>
        <v>Planes</v>
      </c>
      <c r="E2678" t="s">
        <v>371</v>
      </c>
      <c r="F2678" s="5">
        <v>2052</v>
      </c>
      <c r="G2678" s="5">
        <v>410.4</v>
      </c>
      <c r="I2678" t="str">
        <f t="shared" si="208"/>
        <v>Low Sales</v>
      </c>
      <c r="J2678" t="str">
        <f t="shared" si="209"/>
        <v>Average Performance</v>
      </c>
      <c r="K2678">
        <f t="shared" si="210"/>
        <v>2004</v>
      </c>
      <c r="L2678" t="str">
        <f t="shared" si="211"/>
        <v>June</v>
      </c>
    </row>
    <row r="2679" spans="1:12" x14ac:dyDescent="0.25">
      <c r="A2679" t="s">
        <v>20</v>
      </c>
      <c r="B2679" t="s">
        <v>258</v>
      </c>
      <c r="C2679" t="s">
        <v>265</v>
      </c>
      <c r="D2679" t="str">
        <f t="shared" si="212"/>
        <v>Planes</v>
      </c>
      <c r="E2679" t="s">
        <v>371</v>
      </c>
      <c r="F2679" s="5">
        <v>3164.8</v>
      </c>
      <c r="G2679" s="5">
        <v>632.96</v>
      </c>
      <c r="I2679" t="str">
        <f t="shared" si="208"/>
        <v>Low Sales</v>
      </c>
      <c r="J2679" t="str">
        <f t="shared" si="209"/>
        <v>Average Performance</v>
      </c>
      <c r="K2679">
        <f t="shared" si="210"/>
        <v>2004</v>
      </c>
      <c r="L2679" t="str">
        <f t="shared" si="211"/>
        <v>July</v>
      </c>
    </row>
    <row r="2680" spans="1:12" x14ac:dyDescent="0.25">
      <c r="A2680" t="s">
        <v>197</v>
      </c>
      <c r="B2680" t="s">
        <v>258</v>
      </c>
      <c r="C2680" t="s">
        <v>265</v>
      </c>
      <c r="D2680" t="str">
        <f t="shared" si="212"/>
        <v>Planes</v>
      </c>
      <c r="E2680" t="s">
        <v>371</v>
      </c>
      <c r="F2680" s="5">
        <v>1740</v>
      </c>
      <c r="G2680" s="5">
        <v>348</v>
      </c>
      <c r="I2680" t="str">
        <f t="shared" si="208"/>
        <v>Low Sales</v>
      </c>
      <c r="J2680" t="str">
        <f t="shared" si="209"/>
        <v>Average Performance</v>
      </c>
      <c r="K2680">
        <f t="shared" si="210"/>
        <v>2004</v>
      </c>
      <c r="L2680" t="str">
        <f t="shared" si="211"/>
        <v>August</v>
      </c>
    </row>
    <row r="2681" spans="1:12" x14ac:dyDescent="0.25">
      <c r="A2681" t="s">
        <v>198</v>
      </c>
      <c r="B2681" t="s">
        <v>258</v>
      </c>
      <c r="C2681" t="s">
        <v>265</v>
      </c>
      <c r="D2681" t="str">
        <f t="shared" si="212"/>
        <v>Planes</v>
      </c>
      <c r="E2681" t="s">
        <v>371</v>
      </c>
      <c r="F2681" s="5">
        <v>1777.6</v>
      </c>
      <c r="G2681" s="5">
        <v>355.52</v>
      </c>
      <c r="I2681" t="str">
        <f t="shared" si="208"/>
        <v>Low Sales</v>
      </c>
      <c r="J2681" t="str">
        <f t="shared" si="209"/>
        <v>Average Performance</v>
      </c>
      <c r="K2681">
        <f t="shared" si="210"/>
        <v>2004</v>
      </c>
      <c r="L2681" t="str">
        <f t="shared" si="211"/>
        <v>September</v>
      </c>
    </row>
    <row r="2682" spans="1:12" x14ac:dyDescent="0.25">
      <c r="A2682" t="s">
        <v>23</v>
      </c>
      <c r="C2682" t="s">
        <v>265</v>
      </c>
      <c r="D2682" t="str">
        <f t="shared" si="212"/>
        <v>Planes</v>
      </c>
      <c r="E2682" t="s">
        <v>371</v>
      </c>
      <c r="F2682" s="5">
        <v>1831.2</v>
      </c>
      <c r="G2682" s="5">
        <v>366.24</v>
      </c>
      <c r="I2682" t="str">
        <f t="shared" si="208"/>
        <v>Low Sales</v>
      </c>
      <c r="J2682" t="str">
        <f t="shared" si="209"/>
        <v>Average Performance</v>
      </c>
      <c r="K2682">
        <f t="shared" si="210"/>
        <v>2004</v>
      </c>
      <c r="L2682" t="str">
        <f t="shared" si="211"/>
        <v>October</v>
      </c>
    </row>
    <row r="2683" spans="1:12" x14ac:dyDescent="0.25">
      <c r="A2683" t="s">
        <v>85</v>
      </c>
      <c r="B2683" t="s">
        <v>258</v>
      </c>
      <c r="C2683" t="s">
        <v>265</v>
      </c>
      <c r="D2683" t="str">
        <f t="shared" si="212"/>
        <v>Planes</v>
      </c>
      <c r="E2683" t="s">
        <v>371</v>
      </c>
      <c r="F2683" s="5">
        <v>3609.6</v>
      </c>
      <c r="G2683" s="5">
        <v>721.92000000000007</v>
      </c>
      <c r="I2683" t="str">
        <f t="shared" si="208"/>
        <v>Low Sales</v>
      </c>
      <c r="J2683" t="str">
        <f t="shared" si="209"/>
        <v>Average Performance</v>
      </c>
      <c r="K2683">
        <f t="shared" si="210"/>
        <v>2004</v>
      </c>
      <c r="L2683" t="str">
        <f t="shared" si="211"/>
        <v>November</v>
      </c>
    </row>
    <row r="2684" spans="1:12" x14ac:dyDescent="0.25">
      <c r="A2684" t="s">
        <v>239</v>
      </c>
      <c r="B2684" t="s">
        <v>258</v>
      </c>
      <c r="C2684" t="s">
        <v>265</v>
      </c>
      <c r="D2684" t="str">
        <f t="shared" si="212"/>
        <v>Planes</v>
      </c>
      <c r="E2684" t="s">
        <v>371</v>
      </c>
      <c r="F2684" s="5">
        <v>2112</v>
      </c>
      <c r="G2684" s="5">
        <v>422.4</v>
      </c>
      <c r="I2684" t="str">
        <f t="shared" si="208"/>
        <v>Low Sales</v>
      </c>
      <c r="J2684" t="str">
        <f t="shared" si="209"/>
        <v>Average Performance</v>
      </c>
      <c r="K2684">
        <f t="shared" si="210"/>
        <v>2004</v>
      </c>
      <c r="L2684" t="str">
        <f t="shared" si="211"/>
        <v>November</v>
      </c>
    </row>
    <row r="2685" spans="1:12" x14ac:dyDescent="0.25">
      <c r="A2685" t="s">
        <v>26</v>
      </c>
      <c r="B2685" t="s">
        <v>258</v>
      </c>
      <c r="C2685" t="s">
        <v>265</v>
      </c>
      <c r="D2685" t="str">
        <f t="shared" si="212"/>
        <v>Planes</v>
      </c>
      <c r="E2685" t="s">
        <v>371</v>
      </c>
      <c r="F2685" s="5">
        <v>3644.12</v>
      </c>
      <c r="G2685" s="5">
        <v>728.82400000000007</v>
      </c>
      <c r="I2685" t="str">
        <f t="shared" si="208"/>
        <v>Low Sales</v>
      </c>
      <c r="J2685" t="str">
        <f t="shared" si="209"/>
        <v>Average Performance</v>
      </c>
      <c r="K2685">
        <f t="shared" si="210"/>
        <v>2004</v>
      </c>
      <c r="L2685" t="str">
        <f t="shared" si="211"/>
        <v>November</v>
      </c>
    </row>
    <row r="2686" spans="1:12" x14ac:dyDescent="0.25">
      <c r="A2686" t="s">
        <v>218</v>
      </c>
      <c r="C2686" t="s">
        <v>265</v>
      </c>
      <c r="D2686" t="str">
        <f t="shared" si="212"/>
        <v>Planes</v>
      </c>
      <c r="E2686" t="s">
        <v>371</v>
      </c>
      <c r="F2686" s="5">
        <v>3523.85</v>
      </c>
      <c r="G2686" s="5">
        <v>704.77</v>
      </c>
      <c r="I2686" t="str">
        <f t="shared" si="208"/>
        <v>Low Sales</v>
      </c>
      <c r="J2686" t="str">
        <f t="shared" si="209"/>
        <v>Average Performance</v>
      </c>
      <c r="K2686">
        <f t="shared" si="210"/>
        <v>2004</v>
      </c>
      <c r="L2686" t="str">
        <f t="shared" si="211"/>
        <v>December</v>
      </c>
    </row>
    <row r="2687" spans="1:12" x14ac:dyDescent="0.25">
      <c r="A2687" t="s">
        <v>27</v>
      </c>
      <c r="B2687" t="s">
        <v>259</v>
      </c>
      <c r="C2687" t="s">
        <v>265</v>
      </c>
      <c r="D2687" t="str">
        <f t="shared" si="212"/>
        <v>Planes</v>
      </c>
      <c r="E2687" t="s">
        <v>371</v>
      </c>
      <c r="F2687" s="5">
        <v>5001.92</v>
      </c>
      <c r="G2687" s="5">
        <v>1000.384</v>
      </c>
      <c r="I2687" t="str">
        <f t="shared" si="208"/>
        <v>Low Sales</v>
      </c>
      <c r="J2687" t="str">
        <f t="shared" si="209"/>
        <v>Average Performance</v>
      </c>
      <c r="K2687">
        <f t="shared" si="210"/>
        <v>2004</v>
      </c>
      <c r="L2687" t="str">
        <f t="shared" si="211"/>
        <v>December</v>
      </c>
    </row>
    <row r="2688" spans="1:12" x14ac:dyDescent="0.25">
      <c r="A2688" t="s">
        <v>28</v>
      </c>
      <c r="B2688" t="s">
        <v>258</v>
      </c>
      <c r="C2688" t="s">
        <v>265</v>
      </c>
      <c r="D2688" t="str">
        <f t="shared" si="212"/>
        <v>Planes</v>
      </c>
      <c r="E2688" t="s">
        <v>371</v>
      </c>
      <c r="F2688" s="5">
        <v>5208.72</v>
      </c>
      <c r="G2688" s="5">
        <v>1041.7439999999999</v>
      </c>
      <c r="I2688" t="str">
        <f t="shared" si="208"/>
        <v>Low Sales</v>
      </c>
      <c r="J2688" t="str">
        <f t="shared" si="209"/>
        <v>Average Performance</v>
      </c>
      <c r="K2688">
        <f t="shared" si="210"/>
        <v>2005</v>
      </c>
      <c r="L2688" t="str">
        <f t="shared" si="211"/>
        <v>February</v>
      </c>
    </row>
    <row r="2689" spans="1:12" x14ac:dyDescent="0.25">
      <c r="A2689" t="s">
        <v>202</v>
      </c>
      <c r="B2689" t="s">
        <v>258</v>
      </c>
      <c r="C2689" t="s">
        <v>265</v>
      </c>
      <c r="D2689" t="str">
        <f t="shared" si="212"/>
        <v>Planes</v>
      </c>
      <c r="E2689" t="s">
        <v>371</v>
      </c>
      <c r="F2689" s="5">
        <v>3018.88</v>
      </c>
      <c r="G2689" s="5">
        <v>603.77600000000007</v>
      </c>
      <c r="I2689" t="str">
        <f t="shared" si="208"/>
        <v>Low Sales</v>
      </c>
      <c r="J2689" t="str">
        <f t="shared" si="209"/>
        <v>Average Performance</v>
      </c>
      <c r="K2689">
        <f t="shared" si="210"/>
        <v>2005</v>
      </c>
      <c r="L2689" t="str">
        <f t="shared" si="211"/>
        <v>March</v>
      </c>
    </row>
    <row r="2690" spans="1:12" x14ac:dyDescent="0.25">
      <c r="A2690" t="s">
        <v>203</v>
      </c>
      <c r="B2690" t="s">
        <v>258</v>
      </c>
      <c r="C2690" t="s">
        <v>265</v>
      </c>
      <c r="D2690" t="str">
        <f t="shared" si="212"/>
        <v>Planes</v>
      </c>
      <c r="E2690" t="s">
        <v>371</v>
      </c>
      <c r="F2690" s="5">
        <v>1902.4</v>
      </c>
      <c r="G2690" s="5">
        <v>380.48</v>
      </c>
      <c r="I2690" t="str">
        <f t="shared" si="208"/>
        <v>Low Sales</v>
      </c>
      <c r="J2690" t="str">
        <f t="shared" si="209"/>
        <v>Average Performance</v>
      </c>
      <c r="K2690">
        <f t="shared" si="210"/>
        <v>2005</v>
      </c>
      <c r="L2690" t="str">
        <f t="shared" si="211"/>
        <v>March</v>
      </c>
    </row>
    <row r="2691" spans="1:12" x14ac:dyDescent="0.25">
      <c r="A2691" t="s">
        <v>219</v>
      </c>
      <c r="C2691" t="s">
        <v>265</v>
      </c>
      <c r="D2691" t="str">
        <f t="shared" si="212"/>
        <v>Planes</v>
      </c>
      <c r="E2691" t="s">
        <v>371</v>
      </c>
      <c r="F2691" s="5">
        <v>7084</v>
      </c>
      <c r="G2691" s="5">
        <v>1416.8</v>
      </c>
      <c r="I2691" t="str">
        <f t="shared" ref="I2691:I2754" si="213">IF(F2691&gt;50000,"High Sales","Low Sales")</f>
        <v>Low Sales</v>
      </c>
      <c r="J2691" t="str">
        <f t="shared" ref="J2691:J2754" si="214">IF(AND(F2691&gt;30000,G2691&gt;5000),"Good Performance","Average Performance")</f>
        <v>Average Performance</v>
      </c>
      <c r="K2691">
        <f t="shared" ref="K2691:K2754" si="215">YEAR(A2691)</f>
        <v>2005</v>
      </c>
      <c r="L2691" t="str">
        <f t="shared" ref="L2691:L2754" si="216">TEXT(A2691,"mmmm")</f>
        <v>April</v>
      </c>
    </row>
    <row r="2692" spans="1:12" x14ac:dyDescent="0.25">
      <c r="A2692" t="s">
        <v>204</v>
      </c>
      <c r="B2692" t="s">
        <v>258</v>
      </c>
      <c r="C2692" t="s">
        <v>265</v>
      </c>
      <c r="D2692" t="str">
        <f t="shared" si="212"/>
        <v>Planes</v>
      </c>
      <c r="E2692" t="s">
        <v>371</v>
      </c>
      <c r="F2692" s="5">
        <v>2620.8000000000002</v>
      </c>
      <c r="G2692" s="5">
        <v>524.16000000000008</v>
      </c>
      <c r="I2692" t="str">
        <f t="shared" si="213"/>
        <v>Low Sales</v>
      </c>
      <c r="J2692" t="str">
        <f t="shared" si="214"/>
        <v>Average Performance</v>
      </c>
      <c r="K2692">
        <f t="shared" si="215"/>
        <v>2005</v>
      </c>
      <c r="L2692" t="str">
        <f t="shared" si="216"/>
        <v>May</v>
      </c>
    </row>
    <row r="2693" spans="1:12" x14ac:dyDescent="0.25">
      <c r="A2693" t="s">
        <v>68</v>
      </c>
      <c r="B2693" t="s">
        <v>258</v>
      </c>
      <c r="C2693" t="s">
        <v>266</v>
      </c>
      <c r="D2693" t="str">
        <f t="shared" si="212"/>
        <v>Ships</v>
      </c>
      <c r="E2693" t="s">
        <v>372</v>
      </c>
      <c r="F2693" s="5">
        <v>3164.46</v>
      </c>
      <c r="G2693" s="5">
        <v>632.89200000000005</v>
      </c>
      <c r="I2693" t="str">
        <f t="shared" si="213"/>
        <v>Low Sales</v>
      </c>
      <c r="J2693" t="str">
        <f t="shared" si="214"/>
        <v>Average Performance</v>
      </c>
      <c r="K2693">
        <f t="shared" si="215"/>
        <v>2003</v>
      </c>
      <c r="L2693" t="str">
        <f t="shared" si="216"/>
        <v>February</v>
      </c>
    </row>
    <row r="2694" spans="1:12" x14ac:dyDescent="0.25">
      <c r="A2694" t="s">
        <v>257</v>
      </c>
      <c r="B2694" t="s">
        <v>258</v>
      </c>
      <c r="C2694" t="s">
        <v>266</v>
      </c>
      <c r="D2694" t="str">
        <f t="shared" si="212"/>
        <v>Ships</v>
      </c>
      <c r="E2694" t="s">
        <v>372</v>
      </c>
      <c r="F2694" s="5">
        <v>4219.2</v>
      </c>
      <c r="G2694" s="5">
        <v>843.84</v>
      </c>
      <c r="I2694" t="str">
        <f t="shared" si="213"/>
        <v>Low Sales</v>
      </c>
      <c r="J2694" t="str">
        <f t="shared" si="214"/>
        <v>Average Performance</v>
      </c>
      <c r="K2694">
        <f t="shared" si="215"/>
        <v>2003</v>
      </c>
      <c r="L2694" t="str">
        <f t="shared" si="216"/>
        <v>April</v>
      </c>
    </row>
    <row r="2695" spans="1:12" x14ac:dyDescent="0.25">
      <c r="A2695" t="s">
        <v>70</v>
      </c>
      <c r="B2695" t="s">
        <v>258</v>
      </c>
      <c r="C2695" t="s">
        <v>266</v>
      </c>
      <c r="D2695" t="str">
        <f t="shared" si="212"/>
        <v>Ships</v>
      </c>
      <c r="E2695" t="s">
        <v>372</v>
      </c>
      <c r="F2695" s="5">
        <v>3828.3</v>
      </c>
      <c r="G2695" s="5">
        <v>765.66000000000008</v>
      </c>
      <c r="I2695" t="str">
        <f t="shared" si="213"/>
        <v>Low Sales</v>
      </c>
      <c r="J2695" t="str">
        <f t="shared" si="214"/>
        <v>Average Performance</v>
      </c>
      <c r="K2695">
        <f t="shared" si="215"/>
        <v>2003</v>
      </c>
      <c r="L2695" t="str">
        <f t="shared" si="216"/>
        <v>June</v>
      </c>
    </row>
    <row r="2696" spans="1:12" x14ac:dyDescent="0.25">
      <c r="A2696" t="s">
        <v>125</v>
      </c>
      <c r="C2696" t="s">
        <v>266</v>
      </c>
      <c r="D2696" t="str">
        <f t="shared" si="212"/>
        <v>Ships</v>
      </c>
      <c r="E2696" t="s">
        <v>372</v>
      </c>
      <c r="F2696" s="5">
        <v>2334.9899999999998</v>
      </c>
      <c r="G2696" s="5">
        <v>466.99799999999999</v>
      </c>
      <c r="I2696" t="str">
        <f t="shared" si="213"/>
        <v>Low Sales</v>
      </c>
      <c r="J2696" t="str">
        <f t="shared" si="214"/>
        <v>Average Performance</v>
      </c>
      <c r="K2696">
        <f t="shared" si="215"/>
        <v>2003</v>
      </c>
      <c r="L2696" t="str">
        <f t="shared" si="216"/>
        <v>August</v>
      </c>
    </row>
    <row r="2697" spans="1:12" x14ac:dyDescent="0.25">
      <c r="A2697" t="s">
        <v>126</v>
      </c>
      <c r="B2697" t="s">
        <v>258</v>
      </c>
      <c r="C2697" t="s">
        <v>266</v>
      </c>
      <c r="D2697" t="str">
        <f t="shared" si="212"/>
        <v>Ships</v>
      </c>
      <c r="E2697" t="s">
        <v>372</v>
      </c>
      <c r="F2697" s="5">
        <v>4407.5</v>
      </c>
      <c r="G2697" s="5">
        <v>881.5</v>
      </c>
      <c r="I2697" t="str">
        <f t="shared" si="213"/>
        <v>Low Sales</v>
      </c>
      <c r="J2697" t="str">
        <f t="shared" si="214"/>
        <v>Average Performance</v>
      </c>
      <c r="K2697">
        <f t="shared" si="215"/>
        <v>2003</v>
      </c>
      <c r="L2697" t="str">
        <f t="shared" si="216"/>
        <v>September</v>
      </c>
    </row>
    <row r="2698" spans="1:12" x14ac:dyDescent="0.25">
      <c r="A2698" t="s">
        <v>73</v>
      </c>
      <c r="B2698" t="s">
        <v>258</v>
      </c>
      <c r="C2698" t="s">
        <v>266</v>
      </c>
      <c r="D2698" t="str">
        <f t="shared" si="212"/>
        <v>Ships</v>
      </c>
      <c r="E2698" t="s">
        <v>372</v>
      </c>
      <c r="F2698" s="5">
        <v>2812.8</v>
      </c>
      <c r="G2698" s="5">
        <v>562.56000000000006</v>
      </c>
      <c r="I2698" t="str">
        <f t="shared" si="213"/>
        <v>Low Sales</v>
      </c>
      <c r="J2698" t="str">
        <f t="shared" si="214"/>
        <v>Average Performance</v>
      </c>
      <c r="K2698">
        <f t="shared" si="215"/>
        <v>2003</v>
      </c>
      <c r="L2698" t="str">
        <f t="shared" si="216"/>
        <v>October</v>
      </c>
    </row>
    <row r="2699" spans="1:12" x14ac:dyDescent="0.25">
      <c r="A2699" t="s">
        <v>225</v>
      </c>
      <c r="B2699" t="s">
        <v>258</v>
      </c>
      <c r="C2699" t="s">
        <v>266</v>
      </c>
      <c r="D2699" t="str">
        <f t="shared" si="212"/>
        <v>Ships</v>
      </c>
      <c r="E2699" t="s">
        <v>372</v>
      </c>
      <c r="F2699" s="5">
        <v>4055.04</v>
      </c>
      <c r="G2699" s="5">
        <v>811.00800000000004</v>
      </c>
      <c r="I2699" t="str">
        <f t="shared" si="213"/>
        <v>Low Sales</v>
      </c>
      <c r="J2699" t="str">
        <f t="shared" si="214"/>
        <v>Average Performance</v>
      </c>
      <c r="K2699">
        <f t="shared" si="215"/>
        <v>2003</v>
      </c>
      <c r="L2699" t="str">
        <f t="shared" si="216"/>
        <v>November</v>
      </c>
    </row>
    <row r="2700" spans="1:12" x14ac:dyDescent="0.25">
      <c r="A2700" t="s">
        <v>75</v>
      </c>
      <c r="C2700" t="s">
        <v>266</v>
      </c>
      <c r="D2700" t="str">
        <f t="shared" si="212"/>
        <v>Ships</v>
      </c>
      <c r="E2700" t="s">
        <v>372</v>
      </c>
      <c r="F2700" s="5">
        <v>3891.66</v>
      </c>
      <c r="G2700" s="5">
        <v>778.33199999999999</v>
      </c>
      <c r="I2700" t="str">
        <f t="shared" si="213"/>
        <v>Low Sales</v>
      </c>
      <c r="J2700" t="str">
        <f t="shared" si="214"/>
        <v>Average Performance</v>
      </c>
      <c r="K2700">
        <f t="shared" si="215"/>
        <v>2003</v>
      </c>
      <c r="L2700" t="str">
        <f t="shared" si="216"/>
        <v>November</v>
      </c>
    </row>
    <row r="2701" spans="1:12" x14ac:dyDescent="0.25">
      <c r="A2701" t="s">
        <v>76</v>
      </c>
      <c r="B2701" t="s">
        <v>258</v>
      </c>
      <c r="C2701" t="s">
        <v>266</v>
      </c>
      <c r="D2701" t="str">
        <f t="shared" si="212"/>
        <v>Ships</v>
      </c>
      <c r="E2701" t="s">
        <v>372</v>
      </c>
      <c r="F2701" s="5">
        <v>2488.3200000000002</v>
      </c>
      <c r="G2701" s="5">
        <v>497.66399999999999</v>
      </c>
      <c r="I2701" t="str">
        <f t="shared" si="213"/>
        <v>Low Sales</v>
      </c>
      <c r="J2701" t="str">
        <f t="shared" si="214"/>
        <v>Average Performance</v>
      </c>
      <c r="K2701">
        <f t="shared" si="215"/>
        <v>2003</v>
      </c>
      <c r="L2701" t="str">
        <f t="shared" si="216"/>
        <v>November</v>
      </c>
    </row>
    <row r="2702" spans="1:12" x14ac:dyDescent="0.25">
      <c r="A2702" t="s">
        <v>128</v>
      </c>
      <c r="B2702" t="s">
        <v>258</v>
      </c>
      <c r="C2702" t="s">
        <v>266</v>
      </c>
      <c r="D2702" t="str">
        <f t="shared" si="212"/>
        <v>Ships</v>
      </c>
      <c r="E2702" t="s">
        <v>372</v>
      </c>
      <c r="F2702" s="5">
        <v>4447.3999999999996</v>
      </c>
      <c r="G2702" s="5">
        <v>889.48</v>
      </c>
      <c r="I2702" t="str">
        <f t="shared" si="213"/>
        <v>Low Sales</v>
      </c>
      <c r="J2702" t="str">
        <f t="shared" si="214"/>
        <v>Average Performance</v>
      </c>
      <c r="K2702">
        <f t="shared" si="215"/>
        <v>2004</v>
      </c>
      <c r="L2702" t="str">
        <f t="shared" si="216"/>
        <v>January</v>
      </c>
    </row>
    <row r="2703" spans="1:12" x14ac:dyDescent="0.25">
      <c r="A2703" t="s">
        <v>78</v>
      </c>
      <c r="C2703" t="s">
        <v>266</v>
      </c>
      <c r="D2703" t="str">
        <f t="shared" si="212"/>
        <v>Ships</v>
      </c>
      <c r="E2703" t="s">
        <v>372</v>
      </c>
      <c r="F2703" s="5">
        <v>4187.22</v>
      </c>
      <c r="G2703" s="5">
        <v>837.44400000000007</v>
      </c>
      <c r="I2703" t="str">
        <f t="shared" si="213"/>
        <v>Low Sales</v>
      </c>
      <c r="J2703" t="str">
        <f t="shared" si="214"/>
        <v>Average Performance</v>
      </c>
      <c r="K2703">
        <f t="shared" si="215"/>
        <v>2004</v>
      </c>
      <c r="L2703" t="str">
        <f t="shared" si="216"/>
        <v>February</v>
      </c>
    </row>
    <row r="2704" spans="1:12" x14ac:dyDescent="0.25">
      <c r="A2704" t="s">
        <v>227</v>
      </c>
      <c r="B2704" t="s">
        <v>258</v>
      </c>
      <c r="C2704" t="s">
        <v>266</v>
      </c>
      <c r="D2704" t="str">
        <f t="shared" si="212"/>
        <v>Ships</v>
      </c>
      <c r="E2704" t="s">
        <v>372</v>
      </c>
      <c r="F2704" s="5">
        <v>4615.68</v>
      </c>
      <c r="G2704" s="5">
        <v>923.13600000000008</v>
      </c>
      <c r="I2704" t="str">
        <f t="shared" si="213"/>
        <v>Low Sales</v>
      </c>
      <c r="J2704" t="str">
        <f t="shared" si="214"/>
        <v>Average Performance</v>
      </c>
      <c r="K2704">
        <f t="shared" si="215"/>
        <v>2004</v>
      </c>
      <c r="L2704" t="str">
        <f t="shared" si="216"/>
        <v>March</v>
      </c>
    </row>
    <row r="2705" spans="1:12" x14ac:dyDescent="0.25">
      <c r="A2705" t="s">
        <v>79</v>
      </c>
      <c r="C2705" t="s">
        <v>266</v>
      </c>
      <c r="D2705" t="str">
        <f t="shared" si="212"/>
        <v>Ships</v>
      </c>
      <c r="E2705" t="s">
        <v>372</v>
      </c>
      <c r="F2705" s="5">
        <v>3245.4</v>
      </c>
      <c r="G2705" s="5">
        <v>649.08000000000004</v>
      </c>
      <c r="I2705" t="str">
        <f t="shared" si="213"/>
        <v>Low Sales</v>
      </c>
      <c r="J2705" t="str">
        <f t="shared" si="214"/>
        <v>Average Performance</v>
      </c>
      <c r="K2705">
        <f t="shared" si="215"/>
        <v>2004</v>
      </c>
      <c r="L2705" t="str">
        <f t="shared" si="216"/>
        <v>May</v>
      </c>
    </row>
    <row r="2706" spans="1:12" x14ac:dyDescent="0.25">
      <c r="A2706" t="s">
        <v>80</v>
      </c>
      <c r="C2706" t="s">
        <v>266</v>
      </c>
      <c r="D2706" t="str">
        <f t="shared" ref="D2706:D2769" si="217">PROPER(TRIM(C2706))</f>
        <v>Ships</v>
      </c>
      <c r="E2706" t="s">
        <v>372</v>
      </c>
      <c r="F2706" s="5">
        <v>2203.75</v>
      </c>
      <c r="G2706" s="5">
        <v>440.75</v>
      </c>
      <c r="I2706" t="str">
        <f t="shared" si="213"/>
        <v>Low Sales</v>
      </c>
      <c r="J2706" t="str">
        <f t="shared" si="214"/>
        <v>Average Performance</v>
      </c>
      <c r="K2706">
        <f t="shared" si="215"/>
        <v>2004</v>
      </c>
      <c r="L2706" t="str">
        <f t="shared" si="216"/>
        <v>June</v>
      </c>
    </row>
    <row r="2707" spans="1:12" x14ac:dyDescent="0.25">
      <c r="A2707" t="s">
        <v>81</v>
      </c>
      <c r="B2707" t="s">
        <v>258</v>
      </c>
      <c r="C2707" t="s">
        <v>266</v>
      </c>
      <c r="D2707" t="str">
        <f t="shared" si="217"/>
        <v>Ships</v>
      </c>
      <c r="E2707" t="s">
        <v>372</v>
      </c>
      <c r="F2707" s="5">
        <v>3446</v>
      </c>
      <c r="G2707" s="5">
        <v>689.2</v>
      </c>
      <c r="I2707" t="str">
        <f t="shared" si="213"/>
        <v>Low Sales</v>
      </c>
      <c r="J2707" t="str">
        <f t="shared" si="214"/>
        <v>Average Performance</v>
      </c>
      <c r="K2707">
        <f t="shared" si="215"/>
        <v>2004</v>
      </c>
      <c r="L2707" t="str">
        <f t="shared" si="216"/>
        <v>July</v>
      </c>
    </row>
    <row r="2708" spans="1:12" x14ac:dyDescent="0.25">
      <c r="A2708" t="s">
        <v>82</v>
      </c>
      <c r="C2708" t="s">
        <v>266</v>
      </c>
      <c r="D2708" t="str">
        <f t="shared" si="217"/>
        <v>Ships</v>
      </c>
      <c r="E2708" t="s">
        <v>372</v>
      </c>
      <c r="F2708" s="5">
        <v>1939.3</v>
      </c>
      <c r="G2708" s="5">
        <v>387.86</v>
      </c>
      <c r="I2708" t="str">
        <f t="shared" si="213"/>
        <v>Low Sales</v>
      </c>
      <c r="J2708" t="str">
        <f t="shared" si="214"/>
        <v>Average Performance</v>
      </c>
      <c r="K2708">
        <f t="shared" si="215"/>
        <v>2004</v>
      </c>
      <c r="L2708" t="str">
        <f t="shared" si="216"/>
        <v>August</v>
      </c>
    </row>
    <row r="2709" spans="1:12" x14ac:dyDescent="0.25">
      <c r="A2709" t="s">
        <v>83</v>
      </c>
      <c r="C2709" t="s">
        <v>266</v>
      </c>
      <c r="D2709" t="str">
        <f t="shared" si="217"/>
        <v>Ships</v>
      </c>
      <c r="E2709" t="s">
        <v>372</v>
      </c>
      <c r="F2709" s="5">
        <v>3473.78</v>
      </c>
      <c r="G2709" s="5">
        <v>694.75600000000009</v>
      </c>
      <c r="I2709" t="str">
        <f t="shared" si="213"/>
        <v>Low Sales</v>
      </c>
      <c r="J2709" t="str">
        <f t="shared" si="214"/>
        <v>Average Performance</v>
      </c>
      <c r="K2709">
        <f t="shared" si="215"/>
        <v>2004</v>
      </c>
      <c r="L2709" t="str">
        <f t="shared" si="216"/>
        <v>September</v>
      </c>
    </row>
    <row r="2710" spans="1:12" x14ac:dyDescent="0.25">
      <c r="A2710" t="s">
        <v>84</v>
      </c>
      <c r="B2710" t="s">
        <v>258</v>
      </c>
      <c r="C2710" t="s">
        <v>266</v>
      </c>
      <c r="D2710" t="str">
        <f t="shared" si="217"/>
        <v>Ships</v>
      </c>
      <c r="E2710" t="s">
        <v>372</v>
      </c>
      <c r="F2710" s="5">
        <v>2884.8</v>
      </c>
      <c r="G2710" s="5">
        <v>576.96</v>
      </c>
      <c r="I2710" t="str">
        <f t="shared" si="213"/>
        <v>Low Sales</v>
      </c>
      <c r="J2710" t="str">
        <f t="shared" si="214"/>
        <v>Average Performance</v>
      </c>
      <c r="K2710">
        <f t="shared" si="215"/>
        <v>2004</v>
      </c>
      <c r="L2710" t="str">
        <f t="shared" si="216"/>
        <v>October</v>
      </c>
    </row>
    <row r="2711" spans="1:12" x14ac:dyDescent="0.25">
      <c r="A2711" t="s">
        <v>243</v>
      </c>
      <c r="B2711" t="s">
        <v>258</v>
      </c>
      <c r="C2711" t="s">
        <v>266</v>
      </c>
      <c r="D2711" t="str">
        <f t="shared" si="217"/>
        <v>Ships</v>
      </c>
      <c r="E2711" t="s">
        <v>372</v>
      </c>
      <c r="F2711" s="5">
        <v>2670.65</v>
      </c>
      <c r="G2711" s="5">
        <v>534.13</v>
      </c>
      <c r="I2711" t="str">
        <f t="shared" si="213"/>
        <v>Low Sales</v>
      </c>
      <c r="J2711" t="str">
        <f t="shared" si="214"/>
        <v>Average Performance</v>
      </c>
      <c r="K2711">
        <f t="shared" si="215"/>
        <v>2004</v>
      </c>
      <c r="L2711" t="str">
        <f t="shared" si="216"/>
        <v>October</v>
      </c>
    </row>
    <row r="2712" spans="1:12" x14ac:dyDescent="0.25">
      <c r="A2712" t="s">
        <v>199</v>
      </c>
      <c r="B2712" t="s">
        <v>258</v>
      </c>
      <c r="C2712" t="s">
        <v>266</v>
      </c>
      <c r="D2712" t="str">
        <f t="shared" si="217"/>
        <v>Ships</v>
      </c>
      <c r="E2712" t="s">
        <v>372</v>
      </c>
      <c r="F2712" s="5">
        <v>3440</v>
      </c>
      <c r="G2712" s="5">
        <v>688</v>
      </c>
      <c r="I2712" t="str">
        <f t="shared" si="213"/>
        <v>Low Sales</v>
      </c>
      <c r="J2712" t="str">
        <f t="shared" si="214"/>
        <v>Average Performance</v>
      </c>
      <c r="K2712">
        <f t="shared" si="215"/>
        <v>2004</v>
      </c>
      <c r="L2712" t="str">
        <f t="shared" si="216"/>
        <v>November</v>
      </c>
    </row>
    <row r="2713" spans="1:12" x14ac:dyDescent="0.25">
      <c r="A2713" t="s">
        <v>87</v>
      </c>
      <c r="C2713" t="s">
        <v>266</v>
      </c>
      <c r="D2713" t="str">
        <f t="shared" si="217"/>
        <v>Ships</v>
      </c>
      <c r="E2713" t="s">
        <v>372</v>
      </c>
      <c r="F2713" s="5">
        <v>2770.78</v>
      </c>
      <c r="G2713" s="5">
        <v>554.15600000000006</v>
      </c>
      <c r="I2713" t="str">
        <f t="shared" si="213"/>
        <v>Low Sales</v>
      </c>
      <c r="J2713" t="str">
        <f t="shared" si="214"/>
        <v>Average Performance</v>
      </c>
      <c r="K2713">
        <f t="shared" si="215"/>
        <v>2004</v>
      </c>
      <c r="L2713" t="str">
        <f t="shared" si="216"/>
        <v>November</v>
      </c>
    </row>
    <row r="2714" spans="1:12" x14ac:dyDescent="0.25">
      <c r="A2714" t="s">
        <v>88</v>
      </c>
      <c r="B2714" t="s">
        <v>258</v>
      </c>
      <c r="C2714" t="s">
        <v>266</v>
      </c>
      <c r="D2714" t="str">
        <f t="shared" si="217"/>
        <v>Ships</v>
      </c>
      <c r="E2714" t="s">
        <v>372</v>
      </c>
      <c r="F2714" s="5">
        <v>2397.54</v>
      </c>
      <c r="G2714" s="5">
        <v>479.50799999999998</v>
      </c>
      <c r="I2714" t="str">
        <f t="shared" si="213"/>
        <v>Low Sales</v>
      </c>
      <c r="J2714" t="str">
        <f t="shared" si="214"/>
        <v>Average Performance</v>
      </c>
      <c r="K2714">
        <f t="shared" si="215"/>
        <v>2004</v>
      </c>
      <c r="L2714" t="str">
        <f t="shared" si="216"/>
        <v>December</v>
      </c>
    </row>
    <row r="2715" spans="1:12" x14ac:dyDescent="0.25">
      <c r="A2715" t="s">
        <v>90</v>
      </c>
      <c r="B2715" t="s">
        <v>258</v>
      </c>
      <c r="C2715" t="s">
        <v>266</v>
      </c>
      <c r="D2715" t="str">
        <f t="shared" si="217"/>
        <v>Ships</v>
      </c>
      <c r="E2715" t="s">
        <v>372</v>
      </c>
      <c r="F2715" s="5">
        <v>3275.56</v>
      </c>
      <c r="G2715" s="5">
        <v>655.11200000000008</v>
      </c>
      <c r="I2715" t="str">
        <f t="shared" si="213"/>
        <v>Low Sales</v>
      </c>
      <c r="J2715" t="str">
        <f t="shared" si="214"/>
        <v>Average Performance</v>
      </c>
      <c r="K2715">
        <f t="shared" si="215"/>
        <v>2005</v>
      </c>
      <c r="L2715" t="str">
        <f t="shared" si="216"/>
        <v>January</v>
      </c>
    </row>
    <row r="2716" spans="1:12" x14ac:dyDescent="0.25">
      <c r="A2716" t="s">
        <v>202</v>
      </c>
      <c r="B2716" t="s">
        <v>258</v>
      </c>
      <c r="C2716" t="s">
        <v>266</v>
      </c>
      <c r="D2716" t="str">
        <f t="shared" si="217"/>
        <v>Ships</v>
      </c>
      <c r="E2716" t="s">
        <v>372</v>
      </c>
      <c r="F2716" s="5">
        <v>4143.6000000000004</v>
      </c>
      <c r="G2716" s="5">
        <v>828.72000000000014</v>
      </c>
      <c r="I2716" t="str">
        <f t="shared" si="213"/>
        <v>Low Sales</v>
      </c>
      <c r="J2716" t="str">
        <f t="shared" si="214"/>
        <v>Average Performance</v>
      </c>
      <c r="K2716">
        <f t="shared" si="215"/>
        <v>2005</v>
      </c>
      <c r="L2716" t="str">
        <f t="shared" si="216"/>
        <v>March</v>
      </c>
    </row>
    <row r="2717" spans="1:12" x14ac:dyDescent="0.25">
      <c r="A2717" t="s">
        <v>256</v>
      </c>
      <c r="B2717" t="s">
        <v>258</v>
      </c>
      <c r="C2717" t="s">
        <v>266</v>
      </c>
      <c r="D2717" t="str">
        <f t="shared" si="217"/>
        <v>Ships</v>
      </c>
      <c r="E2717" t="s">
        <v>372</v>
      </c>
      <c r="F2717" s="5">
        <v>5192.6400000000003</v>
      </c>
      <c r="G2717" s="5">
        <v>1038.528</v>
      </c>
      <c r="I2717" t="str">
        <f t="shared" si="213"/>
        <v>Low Sales</v>
      </c>
      <c r="J2717" t="str">
        <f t="shared" si="214"/>
        <v>Average Performance</v>
      </c>
      <c r="K2717">
        <f t="shared" si="215"/>
        <v>2005</v>
      </c>
      <c r="L2717" t="str">
        <f t="shared" si="216"/>
        <v>March</v>
      </c>
    </row>
    <row r="2718" spans="1:12" x14ac:dyDescent="0.25">
      <c r="A2718" t="s">
        <v>94</v>
      </c>
      <c r="C2718" t="s">
        <v>266</v>
      </c>
      <c r="D2718" t="str">
        <f t="shared" si="217"/>
        <v>Ships</v>
      </c>
      <c r="E2718" t="s">
        <v>372</v>
      </c>
      <c r="F2718" s="5">
        <v>3029.04</v>
      </c>
      <c r="G2718" s="5">
        <v>605.80799999999999</v>
      </c>
      <c r="I2718" t="str">
        <f t="shared" si="213"/>
        <v>Low Sales</v>
      </c>
      <c r="J2718" t="str">
        <f t="shared" si="214"/>
        <v>Average Performance</v>
      </c>
      <c r="K2718">
        <f t="shared" si="215"/>
        <v>2005</v>
      </c>
      <c r="L2718" t="str">
        <f t="shared" si="216"/>
        <v>May</v>
      </c>
    </row>
    <row r="2719" spans="1:12" x14ac:dyDescent="0.25">
      <c r="A2719" t="s">
        <v>68</v>
      </c>
      <c r="B2719" t="s">
        <v>258</v>
      </c>
      <c r="C2719" t="s">
        <v>266</v>
      </c>
      <c r="D2719" t="str">
        <f t="shared" si="217"/>
        <v>Ships</v>
      </c>
      <c r="E2719" t="s">
        <v>373</v>
      </c>
      <c r="F2719" s="5">
        <v>2556.1799999999998</v>
      </c>
      <c r="G2719" s="5">
        <v>511.23599999999999</v>
      </c>
      <c r="I2719" t="str">
        <f t="shared" si="213"/>
        <v>Low Sales</v>
      </c>
      <c r="J2719" t="str">
        <f t="shared" si="214"/>
        <v>Average Performance</v>
      </c>
      <c r="K2719">
        <f t="shared" si="215"/>
        <v>2003</v>
      </c>
      <c r="L2719" t="str">
        <f t="shared" si="216"/>
        <v>February</v>
      </c>
    </row>
    <row r="2720" spans="1:12" x14ac:dyDescent="0.25">
      <c r="A2720" t="s">
        <v>123</v>
      </c>
      <c r="B2720" t="s">
        <v>260</v>
      </c>
      <c r="C2720" t="s">
        <v>266</v>
      </c>
      <c r="D2720" t="str">
        <f t="shared" si="217"/>
        <v>Ships</v>
      </c>
      <c r="E2720" t="s">
        <v>373</v>
      </c>
      <c r="F2720" s="5">
        <v>3753.9</v>
      </c>
      <c r="G2720" s="5">
        <v>750.78000000000009</v>
      </c>
      <c r="I2720" t="str">
        <f t="shared" si="213"/>
        <v>Low Sales</v>
      </c>
      <c r="J2720" t="str">
        <f t="shared" si="214"/>
        <v>Average Performance</v>
      </c>
      <c r="K2720">
        <f t="shared" si="215"/>
        <v>2003</v>
      </c>
      <c r="L2720" t="str">
        <f t="shared" si="216"/>
        <v>April</v>
      </c>
    </row>
    <row r="2721" spans="1:12" x14ac:dyDescent="0.25">
      <c r="A2721" t="s">
        <v>70</v>
      </c>
      <c r="B2721" t="s">
        <v>258</v>
      </c>
      <c r="C2721" t="s">
        <v>266</v>
      </c>
      <c r="D2721" t="str">
        <f t="shared" si="217"/>
        <v>Ships</v>
      </c>
      <c r="E2721" t="s">
        <v>373</v>
      </c>
      <c r="F2721" s="5">
        <v>2562.3000000000002</v>
      </c>
      <c r="G2721" s="5">
        <v>512.46</v>
      </c>
      <c r="I2721" t="str">
        <f t="shared" si="213"/>
        <v>Low Sales</v>
      </c>
      <c r="J2721" t="str">
        <f t="shared" si="214"/>
        <v>Average Performance</v>
      </c>
      <c r="K2721">
        <f t="shared" si="215"/>
        <v>2003</v>
      </c>
      <c r="L2721" t="str">
        <f t="shared" si="216"/>
        <v>June</v>
      </c>
    </row>
    <row r="2722" spans="1:12" x14ac:dyDescent="0.25">
      <c r="A2722" t="s">
        <v>125</v>
      </c>
      <c r="C2722" t="s">
        <v>266</v>
      </c>
      <c r="D2722" t="str">
        <f t="shared" si="217"/>
        <v>Ships</v>
      </c>
      <c r="E2722" t="s">
        <v>373</v>
      </c>
      <c r="F2722" s="5">
        <v>3245.58</v>
      </c>
      <c r="G2722" s="5">
        <v>649.11599999999999</v>
      </c>
      <c r="I2722" t="str">
        <f t="shared" si="213"/>
        <v>Low Sales</v>
      </c>
      <c r="J2722" t="str">
        <f t="shared" si="214"/>
        <v>Average Performance</v>
      </c>
      <c r="K2722">
        <f t="shared" si="215"/>
        <v>2003</v>
      </c>
      <c r="L2722" t="str">
        <f t="shared" si="216"/>
        <v>August</v>
      </c>
    </row>
    <row r="2723" spans="1:12" x14ac:dyDescent="0.25">
      <c r="A2723" t="s">
        <v>126</v>
      </c>
      <c r="B2723" t="s">
        <v>258</v>
      </c>
      <c r="C2723" t="s">
        <v>266</v>
      </c>
      <c r="D2723" t="str">
        <f t="shared" si="217"/>
        <v>Ships</v>
      </c>
      <c r="E2723" t="s">
        <v>373</v>
      </c>
      <c r="F2723" s="5">
        <v>2204.6</v>
      </c>
      <c r="G2723" s="5">
        <v>440.92</v>
      </c>
      <c r="I2723" t="str">
        <f t="shared" si="213"/>
        <v>Low Sales</v>
      </c>
      <c r="J2723" t="str">
        <f t="shared" si="214"/>
        <v>Average Performance</v>
      </c>
      <c r="K2723">
        <f t="shared" si="215"/>
        <v>2003</v>
      </c>
      <c r="L2723" t="str">
        <f t="shared" si="216"/>
        <v>September</v>
      </c>
    </row>
    <row r="2724" spans="1:12" x14ac:dyDescent="0.25">
      <c r="A2724" t="s">
        <v>73</v>
      </c>
      <c r="B2724" t="s">
        <v>258</v>
      </c>
      <c r="C2724" t="s">
        <v>266</v>
      </c>
      <c r="D2724" t="str">
        <f t="shared" si="217"/>
        <v>Ships</v>
      </c>
      <c r="E2724" t="s">
        <v>373</v>
      </c>
      <c r="F2724" s="5">
        <v>3003</v>
      </c>
      <c r="G2724" s="5">
        <v>600.6</v>
      </c>
      <c r="I2724" t="str">
        <f t="shared" si="213"/>
        <v>Low Sales</v>
      </c>
      <c r="J2724" t="str">
        <f t="shared" si="214"/>
        <v>Average Performance</v>
      </c>
      <c r="K2724">
        <f t="shared" si="215"/>
        <v>2003</v>
      </c>
      <c r="L2724" t="str">
        <f t="shared" si="216"/>
        <v>October</v>
      </c>
    </row>
    <row r="2725" spans="1:12" x14ac:dyDescent="0.25">
      <c r="A2725" t="s">
        <v>225</v>
      </c>
      <c r="B2725" t="s">
        <v>258</v>
      </c>
      <c r="C2725" t="s">
        <v>266</v>
      </c>
      <c r="D2725" t="str">
        <f t="shared" si="217"/>
        <v>Ships</v>
      </c>
      <c r="E2725" t="s">
        <v>373</v>
      </c>
      <c r="F2725" s="5">
        <v>2526.48</v>
      </c>
      <c r="G2725" s="5">
        <v>505.29599999999999</v>
      </c>
      <c r="I2725" t="str">
        <f t="shared" si="213"/>
        <v>Low Sales</v>
      </c>
      <c r="J2725" t="str">
        <f t="shared" si="214"/>
        <v>Average Performance</v>
      </c>
      <c r="K2725">
        <f t="shared" si="215"/>
        <v>2003</v>
      </c>
      <c r="L2725" t="str">
        <f t="shared" si="216"/>
        <v>November</v>
      </c>
    </row>
    <row r="2726" spans="1:12" x14ac:dyDescent="0.25">
      <c r="A2726" t="s">
        <v>75</v>
      </c>
      <c r="C2726" t="s">
        <v>266</v>
      </c>
      <c r="D2726" t="str">
        <f t="shared" si="217"/>
        <v>Ships</v>
      </c>
      <c r="E2726" t="s">
        <v>373</v>
      </c>
      <c r="F2726" s="5">
        <v>1747.9</v>
      </c>
      <c r="G2726" s="5">
        <v>349.58</v>
      </c>
      <c r="I2726" t="str">
        <f t="shared" si="213"/>
        <v>Low Sales</v>
      </c>
      <c r="J2726" t="str">
        <f t="shared" si="214"/>
        <v>Average Performance</v>
      </c>
      <c r="K2726">
        <f t="shared" si="215"/>
        <v>2003</v>
      </c>
      <c r="L2726" t="str">
        <f t="shared" si="216"/>
        <v>November</v>
      </c>
    </row>
    <row r="2727" spans="1:12" x14ac:dyDescent="0.25">
      <c r="A2727" t="s">
        <v>76</v>
      </c>
      <c r="B2727" t="s">
        <v>258</v>
      </c>
      <c r="C2727" t="s">
        <v>266</v>
      </c>
      <c r="D2727" t="str">
        <f t="shared" si="217"/>
        <v>Ships</v>
      </c>
      <c r="E2727" t="s">
        <v>373</v>
      </c>
      <c r="F2727" s="5">
        <v>3267.25</v>
      </c>
      <c r="G2727" s="5">
        <v>653.45000000000005</v>
      </c>
      <c r="I2727" t="str">
        <f t="shared" si="213"/>
        <v>Low Sales</v>
      </c>
      <c r="J2727" t="str">
        <f t="shared" si="214"/>
        <v>Average Performance</v>
      </c>
      <c r="K2727">
        <f t="shared" si="215"/>
        <v>2003</v>
      </c>
      <c r="L2727" t="str">
        <f t="shared" si="216"/>
        <v>November</v>
      </c>
    </row>
    <row r="2728" spans="1:12" x14ac:dyDescent="0.25">
      <c r="A2728" t="s">
        <v>128</v>
      </c>
      <c r="B2728" t="s">
        <v>258</v>
      </c>
      <c r="C2728" t="s">
        <v>266</v>
      </c>
      <c r="D2728" t="str">
        <f t="shared" si="217"/>
        <v>Ships</v>
      </c>
      <c r="E2728" t="s">
        <v>373</v>
      </c>
      <c r="F2728" s="5">
        <v>2818.53</v>
      </c>
      <c r="G2728" s="5">
        <v>563.70600000000002</v>
      </c>
      <c r="I2728" t="str">
        <f t="shared" si="213"/>
        <v>Low Sales</v>
      </c>
      <c r="J2728" t="str">
        <f t="shared" si="214"/>
        <v>Average Performance</v>
      </c>
      <c r="K2728">
        <f t="shared" si="215"/>
        <v>2004</v>
      </c>
      <c r="L2728" t="str">
        <f t="shared" si="216"/>
        <v>January</v>
      </c>
    </row>
    <row r="2729" spans="1:12" x14ac:dyDescent="0.25">
      <c r="A2729" t="s">
        <v>78</v>
      </c>
      <c r="C2729" t="s">
        <v>266</v>
      </c>
      <c r="D2729" t="str">
        <f t="shared" si="217"/>
        <v>Ships</v>
      </c>
      <c r="E2729" t="s">
        <v>373</v>
      </c>
      <c r="F2729" s="5">
        <v>2955.54</v>
      </c>
      <c r="G2729" s="5">
        <v>591.10800000000006</v>
      </c>
      <c r="I2729" t="str">
        <f t="shared" si="213"/>
        <v>Low Sales</v>
      </c>
      <c r="J2729" t="str">
        <f t="shared" si="214"/>
        <v>Average Performance</v>
      </c>
      <c r="K2729">
        <f t="shared" si="215"/>
        <v>2004</v>
      </c>
      <c r="L2729" t="str">
        <f t="shared" si="216"/>
        <v>February</v>
      </c>
    </row>
    <row r="2730" spans="1:12" x14ac:dyDescent="0.25">
      <c r="A2730" t="s">
        <v>227</v>
      </c>
      <c r="B2730" t="s">
        <v>258</v>
      </c>
      <c r="C2730" t="s">
        <v>266</v>
      </c>
      <c r="D2730" t="str">
        <f t="shared" si="217"/>
        <v>Ships</v>
      </c>
      <c r="E2730" t="s">
        <v>373</v>
      </c>
      <c r="F2730" s="5">
        <v>2885.05</v>
      </c>
      <c r="G2730" s="5">
        <v>577.0100000000001</v>
      </c>
      <c r="I2730" t="str">
        <f t="shared" si="213"/>
        <v>Low Sales</v>
      </c>
      <c r="J2730" t="str">
        <f t="shared" si="214"/>
        <v>Average Performance</v>
      </c>
      <c r="K2730">
        <f t="shared" si="215"/>
        <v>2004</v>
      </c>
      <c r="L2730" t="str">
        <f t="shared" si="216"/>
        <v>March</v>
      </c>
    </row>
    <row r="2731" spans="1:12" x14ac:dyDescent="0.25">
      <c r="A2731" t="s">
        <v>79</v>
      </c>
      <c r="C2731" t="s">
        <v>266</v>
      </c>
      <c r="D2731" t="str">
        <f t="shared" si="217"/>
        <v>Ships</v>
      </c>
      <c r="E2731" t="s">
        <v>373</v>
      </c>
      <c r="F2731" s="5">
        <v>3162.95</v>
      </c>
      <c r="G2731" s="5">
        <v>632.59</v>
      </c>
      <c r="I2731" t="str">
        <f t="shared" si="213"/>
        <v>Low Sales</v>
      </c>
      <c r="J2731" t="str">
        <f t="shared" si="214"/>
        <v>Average Performance</v>
      </c>
      <c r="K2731">
        <f t="shared" si="215"/>
        <v>2004</v>
      </c>
      <c r="L2731" t="str">
        <f t="shared" si="216"/>
        <v>May</v>
      </c>
    </row>
    <row r="2732" spans="1:12" x14ac:dyDescent="0.25">
      <c r="A2732" t="s">
        <v>80</v>
      </c>
      <c r="C2732" t="s">
        <v>266</v>
      </c>
      <c r="D2732" t="str">
        <f t="shared" si="217"/>
        <v>Ships</v>
      </c>
      <c r="E2732" t="s">
        <v>373</v>
      </c>
      <c r="F2732" s="5">
        <v>4071.5</v>
      </c>
      <c r="G2732" s="5">
        <v>814.30000000000007</v>
      </c>
      <c r="I2732" t="str">
        <f t="shared" si="213"/>
        <v>Low Sales</v>
      </c>
      <c r="J2732" t="str">
        <f t="shared" si="214"/>
        <v>Average Performance</v>
      </c>
      <c r="K2732">
        <f t="shared" si="215"/>
        <v>2004</v>
      </c>
      <c r="L2732" t="str">
        <f t="shared" si="216"/>
        <v>June</v>
      </c>
    </row>
    <row r="2733" spans="1:12" x14ac:dyDescent="0.25">
      <c r="A2733" t="s">
        <v>81</v>
      </c>
      <c r="B2733" t="s">
        <v>258</v>
      </c>
      <c r="C2733" t="s">
        <v>266</v>
      </c>
      <c r="D2733" t="str">
        <f t="shared" si="217"/>
        <v>Ships</v>
      </c>
      <c r="E2733" t="s">
        <v>373</v>
      </c>
      <c r="F2733" s="5">
        <v>2969.46</v>
      </c>
      <c r="G2733" s="5">
        <v>593.89200000000005</v>
      </c>
      <c r="I2733" t="str">
        <f t="shared" si="213"/>
        <v>Low Sales</v>
      </c>
      <c r="J2733" t="str">
        <f t="shared" si="214"/>
        <v>Average Performance</v>
      </c>
      <c r="K2733">
        <f t="shared" si="215"/>
        <v>2004</v>
      </c>
      <c r="L2733" t="str">
        <f t="shared" si="216"/>
        <v>July</v>
      </c>
    </row>
    <row r="2734" spans="1:12" x14ac:dyDescent="0.25">
      <c r="A2734" t="s">
        <v>82</v>
      </c>
      <c r="C2734" t="s">
        <v>266</v>
      </c>
      <c r="D2734" t="str">
        <f t="shared" si="217"/>
        <v>Ships</v>
      </c>
      <c r="E2734" t="s">
        <v>373</v>
      </c>
      <c r="F2734" s="5">
        <v>3396.44</v>
      </c>
      <c r="G2734" s="5">
        <v>679.28800000000001</v>
      </c>
      <c r="I2734" t="str">
        <f t="shared" si="213"/>
        <v>Low Sales</v>
      </c>
      <c r="J2734" t="str">
        <f t="shared" si="214"/>
        <v>Average Performance</v>
      </c>
      <c r="K2734">
        <f t="shared" si="215"/>
        <v>2004</v>
      </c>
      <c r="L2734" t="str">
        <f t="shared" si="216"/>
        <v>August</v>
      </c>
    </row>
    <row r="2735" spans="1:12" x14ac:dyDescent="0.25">
      <c r="A2735" t="s">
        <v>83</v>
      </c>
      <c r="C2735" t="s">
        <v>266</v>
      </c>
      <c r="D2735" t="str">
        <f t="shared" si="217"/>
        <v>Ships</v>
      </c>
      <c r="E2735" t="s">
        <v>373</v>
      </c>
      <c r="F2735" s="5">
        <v>4692.6000000000004</v>
      </c>
      <c r="G2735" s="5">
        <v>938.5200000000001</v>
      </c>
      <c r="I2735" t="str">
        <f t="shared" si="213"/>
        <v>Low Sales</v>
      </c>
      <c r="J2735" t="str">
        <f t="shared" si="214"/>
        <v>Average Performance</v>
      </c>
      <c r="K2735">
        <f t="shared" si="215"/>
        <v>2004</v>
      </c>
      <c r="L2735" t="str">
        <f t="shared" si="216"/>
        <v>September</v>
      </c>
    </row>
    <row r="2736" spans="1:12" x14ac:dyDescent="0.25">
      <c r="A2736" t="s">
        <v>84</v>
      </c>
      <c r="B2736" t="s">
        <v>258</v>
      </c>
      <c r="C2736" t="s">
        <v>266</v>
      </c>
      <c r="D2736" t="str">
        <f t="shared" si="217"/>
        <v>Ships</v>
      </c>
      <c r="E2736" t="s">
        <v>373</v>
      </c>
      <c r="F2736" s="5">
        <v>3515.7</v>
      </c>
      <c r="G2736" s="5">
        <v>703.14</v>
      </c>
      <c r="I2736" t="str">
        <f t="shared" si="213"/>
        <v>Low Sales</v>
      </c>
      <c r="J2736" t="str">
        <f t="shared" si="214"/>
        <v>Average Performance</v>
      </c>
      <c r="K2736">
        <f t="shared" si="215"/>
        <v>2004</v>
      </c>
      <c r="L2736" t="str">
        <f t="shared" si="216"/>
        <v>October</v>
      </c>
    </row>
    <row r="2737" spans="1:12" x14ac:dyDescent="0.25">
      <c r="A2737" t="s">
        <v>243</v>
      </c>
      <c r="B2737" t="s">
        <v>258</v>
      </c>
      <c r="C2737" t="s">
        <v>266</v>
      </c>
      <c r="D2737" t="str">
        <f t="shared" si="217"/>
        <v>Ships</v>
      </c>
      <c r="E2737" t="s">
        <v>373</v>
      </c>
      <c r="F2737" s="5">
        <v>3380.69</v>
      </c>
      <c r="G2737" s="5">
        <v>676.13800000000003</v>
      </c>
      <c r="I2737" t="str">
        <f t="shared" si="213"/>
        <v>Low Sales</v>
      </c>
      <c r="J2737" t="str">
        <f t="shared" si="214"/>
        <v>Average Performance</v>
      </c>
      <c r="K2737">
        <f t="shared" si="215"/>
        <v>2004</v>
      </c>
      <c r="L2737" t="str">
        <f t="shared" si="216"/>
        <v>October</v>
      </c>
    </row>
    <row r="2738" spans="1:12" x14ac:dyDescent="0.25">
      <c r="A2738" t="s">
        <v>199</v>
      </c>
      <c r="B2738" t="s">
        <v>258</v>
      </c>
      <c r="C2738" t="s">
        <v>266</v>
      </c>
      <c r="D2738" t="str">
        <f t="shared" si="217"/>
        <v>Ships</v>
      </c>
      <c r="E2738" t="s">
        <v>373</v>
      </c>
      <c r="F2738" s="5">
        <v>3204.57</v>
      </c>
      <c r="G2738" s="5">
        <v>640.9140000000001</v>
      </c>
      <c r="I2738" t="str">
        <f t="shared" si="213"/>
        <v>Low Sales</v>
      </c>
      <c r="J2738" t="str">
        <f t="shared" si="214"/>
        <v>Average Performance</v>
      </c>
      <c r="K2738">
        <f t="shared" si="215"/>
        <v>2004</v>
      </c>
      <c r="L2738" t="str">
        <f t="shared" si="216"/>
        <v>November</v>
      </c>
    </row>
    <row r="2739" spans="1:12" x14ac:dyDescent="0.25">
      <c r="A2739" t="s">
        <v>87</v>
      </c>
      <c r="C2739" t="s">
        <v>266</v>
      </c>
      <c r="D2739" t="str">
        <f t="shared" si="217"/>
        <v>Ships</v>
      </c>
      <c r="E2739" t="s">
        <v>373</v>
      </c>
      <c r="F2739" s="5">
        <v>2588.04</v>
      </c>
      <c r="G2739" s="5">
        <v>517.60800000000006</v>
      </c>
      <c r="I2739" t="str">
        <f t="shared" si="213"/>
        <v>Low Sales</v>
      </c>
      <c r="J2739" t="str">
        <f t="shared" si="214"/>
        <v>Average Performance</v>
      </c>
      <c r="K2739">
        <f t="shared" si="215"/>
        <v>2004</v>
      </c>
      <c r="L2739" t="str">
        <f t="shared" si="216"/>
        <v>November</v>
      </c>
    </row>
    <row r="2740" spans="1:12" x14ac:dyDescent="0.25">
      <c r="A2740" t="s">
        <v>88</v>
      </c>
      <c r="B2740" t="s">
        <v>258</v>
      </c>
      <c r="C2740" t="s">
        <v>266</v>
      </c>
      <c r="D2740" t="str">
        <f t="shared" si="217"/>
        <v>Ships</v>
      </c>
      <c r="E2740" t="s">
        <v>373</v>
      </c>
      <c r="F2740" s="5">
        <v>2854.75</v>
      </c>
      <c r="G2740" s="5">
        <v>570.95000000000005</v>
      </c>
      <c r="I2740" t="str">
        <f t="shared" si="213"/>
        <v>Low Sales</v>
      </c>
      <c r="J2740" t="str">
        <f t="shared" si="214"/>
        <v>Average Performance</v>
      </c>
      <c r="K2740">
        <f t="shared" si="215"/>
        <v>2004</v>
      </c>
      <c r="L2740" t="str">
        <f t="shared" si="216"/>
        <v>December</v>
      </c>
    </row>
    <row r="2741" spans="1:12" x14ac:dyDescent="0.25">
      <c r="A2741" t="s">
        <v>90</v>
      </c>
      <c r="B2741" t="s">
        <v>258</v>
      </c>
      <c r="C2741" t="s">
        <v>266</v>
      </c>
      <c r="D2741" t="str">
        <f t="shared" si="217"/>
        <v>Ships</v>
      </c>
      <c r="E2741" t="s">
        <v>373</v>
      </c>
      <c r="F2741" s="5">
        <v>4025.6</v>
      </c>
      <c r="G2741" s="5">
        <v>805.12</v>
      </c>
      <c r="I2741" t="str">
        <f t="shared" si="213"/>
        <v>Low Sales</v>
      </c>
      <c r="J2741" t="str">
        <f t="shared" si="214"/>
        <v>Average Performance</v>
      </c>
      <c r="K2741">
        <f t="shared" si="215"/>
        <v>2005</v>
      </c>
      <c r="L2741" t="str">
        <f t="shared" si="216"/>
        <v>January</v>
      </c>
    </row>
    <row r="2742" spans="1:12" x14ac:dyDescent="0.25">
      <c r="A2742" t="s">
        <v>202</v>
      </c>
      <c r="B2742" t="s">
        <v>258</v>
      </c>
      <c r="C2742" t="s">
        <v>266</v>
      </c>
      <c r="D2742" t="str">
        <f t="shared" si="217"/>
        <v>Ships</v>
      </c>
      <c r="E2742" t="s">
        <v>373</v>
      </c>
      <c r="F2742" s="5">
        <v>2864.4</v>
      </c>
      <c r="G2742" s="5">
        <v>572.88</v>
      </c>
      <c r="I2742" t="str">
        <f t="shared" si="213"/>
        <v>Low Sales</v>
      </c>
      <c r="J2742" t="str">
        <f t="shared" si="214"/>
        <v>Average Performance</v>
      </c>
      <c r="K2742">
        <f t="shared" si="215"/>
        <v>2005</v>
      </c>
      <c r="L2742" t="str">
        <f t="shared" si="216"/>
        <v>March</v>
      </c>
    </row>
    <row r="2743" spans="1:12" x14ac:dyDescent="0.25">
      <c r="A2743" t="s">
        <v>256</v>
      </c>
      <c r="B2743" t="s">
        <v>258</v>
      </c>
      <c r="C2743" t="s">
        <v>266</v>
      </c>
      <c r="D2743" t="str">
        <f t="shared" si="217"/>
        <v>Ships</v>
      </c>
      <c r="E2743" t="s">
        <v>373</v>
      </c>
      <c r="F2743" s="5">
        <v>3789.72</v>
      </c>
      <c r="G2743" s="5">
        <v>757.94399999999996</v>
      </c>
      <c r="I2743" t="str">
        <f t="shared" si="213"/>
        <v>Low Sales</v>
      </c>
      <c r="J2743" t="str">
        <f t="shared" si="214"/>
        <v>Average Performance</v>
      </c>
      <c r="K2743">
        <f t="shared" si="215"/>
        <v>2005</v>
      </c>
      <c r="L2743" t="str">
        <f t="shared" si="216"/>
        <v>March</v>
      </c>
    </row>
    <row r="2744" spans="1:12" x14ac:dyDescent="0.25">
      <c r="A2744" t="s">
        <v>94</v>
      </c>
      <c r="C2744" t="s">
        <v>266</v>
      </c>
      <c r="D2744" t="str">
        <f t="shared" si="217"/>
        <v>Ships</v>
      </c>
      <c r="E2744" t="s">
        <v>373</v>
      </c>
      <c r="F2744" s="5">
        <v>2439.9899999999998</v>
      </c>
      <c r="G2744" s="5">
        <v>487.99799999999999</v>
      </c>
      <c r="I2744" t="str">
        <f t="shared" si="213"/>
        <v>Low Sales</v>
      </c>
      <c r="J2744" t="str">
        <f t="shared" si="214"/>
        <v>Average Performance</v>
      </c>
      <c r="K2744">
        <f t="shared" si="215"/>
        <v>2005</v>
      </c>
      <c r="L2744" t="str">
        <f t="shared" si="216"/>
        <v>May</v>
      </c>
    </row>
    <row r="2745" spans="1:12" x14ac:dyDescent="0.25">
      <c r="A2745" t="s">
        <v>192</v>
      </c>
      <c r="B2745" t="s">
        <v>258</v>
      </c>
      <c r="C2745" t="s">
        <v>265</v>
      </c>
      <c r="D2745" t="str">
        <f t="shared" si="217"/>
        <v>Planes</v>
      </c>
      <c r="E2745" t="s">
        <v>374</v>
      </c>
      <c r="F2745" s="5">
        <v>2949.12</v>
      </c>
      <c r="G2745" s="5">
        <v>589.82399999999996</v>
      </c>
      <c r="I2745" t="str">
        <f t="shared" si="213"/>
        <v>Low Sales</v>
      </c>
      <c r="J2745" t="str">
        <f t="shared" si="214"/>
        <v>Average Performance</v>
      </c>
      <c r="K2745">
        <f t="shared" si="215"/>
        <v>2003</v>
      </c>
      <c r="L2745" t="str">
        <f t="shared" si="216"/>
        <v>February</v>
      </c>
    </row>
    <row r="2746" spans="1:12" x14ac:dyDescent="0.25">
      <c r="A2746" t="s">
        <v>69</v>
      </c>
      <c r="B2746" t="s">
        <v>258</v>
      </c>
      <c r="C2746" t="s">
        <v>265</v>
      </c>
      <c r="D2746" t="str">
        <f t="shared" si="217"/>
        <v>Planes</v>
      </c>
      <c r="E2746" t="s">
        <v>374</v>
      </c>
      <c r="F2746" s="5">
        <v>1539.72</v>
      </c>
      <c r="G2746" s="5">
        <v>307.94400000000002</v>
      </c>
      <c r="I2746" t="str">
        <f t="shared" si="213"/>
        <v>Low Sales</v>
      </c>
      <c r="J2746" t="str">
        <f t="shared" si="214"/>
        <v>Average Performance</v>
      </c>
      <c r="K2746">
        <f t="shared" si="215"/>
        <v>2003</v>
      </c>
      <c r="L2746" t="str">
        <f t="shared" si="216"/>
        <v>April</v>
      </c>
    </row>
    <row r="2747" spans="1:12" x14ac:dyDescent="0.25">
      <c r="A2747" t="s">
        <v>193</v>
      </c>
      <c r="C2747" t="s">
        <v>265</v>
      </c>
      <c r="D2747" t="str">
        <f t="shared" si="217"/>
        <v>Planes</v>
      </c>
      <c r="E2747" t="s">
        <v>374</v>
      </c>
      <c r="F2747" s="5">
        <v>2213.38</v>
      </c>
      <c r="G2747" s="5">
        <v>442.67599999999999</v>
      </c>
      <c r="I2747" t="str">
        <f t="shared" si="213"/>
        <v>Low Sales</v>
      </c>
      <c r="J2747" t="str">
        <f t="shared" si="214"/>
        <v>Average Performance</v>
      </c>
      <c r="K2747">
        <f t="shared" si="215"/>
        <v>2003</v>
      </c>
      <c r="L2747" t="str">
        <f t="shared" si="216"/>
        <v>June</v>
      </c>
    </row>
    <row r="2748" spans="1:12" x14ac:dyDescent="0.25">
      <c r="A2748" t="s">
        <v>71</v>
      </c>
      <c r="C2748" t="s">
        <v>265</v>
      </c>
      <c r="D2748" t="str">
        <f t="shared" si="217"/>
        <v>Planes</v>
      </c>
      <c r="E2748" t="s">
        <v>374</v>
      </c>
      <c r="F2748" s="5">
        <v>2919.58</v>
      </c>
      <c r="G2748" s="5">
        <v>583.91600000000005</v>
      </c>
      <c r="I2748" t="str">
        <f t="shared" si="213"/>
        <v>Low Sales</v>
      </c>
      <c r="J2748" t="str">
        <f t="shared" si="214"/>
        <v>Average Performance</v>
      </c>
      <c r="K2748">
        <f t="shared" si="215"/>
        <v>2003</v>
      </c>
      <c r="L2748" t="str">
        <f t="shared" si="216"/>
        <v>August</v>
      </c>
    </row>
    <row r="2749" spans="1:12" x14ac:dyDescent="0.25">
      <c r="A2749" t="s">
        <v>72</v>
      </c>
      <c r="B2749" t="s">
        <v>258</v>
      </c>
      <c r="C2749" t="s">
        <v>265</v>
      </c>
      <c r="D2749" t="str">
        <f t="shared" si="217"/>
        <v>Planes</v>
      </c>
      <c r="E2749" t="s">
        <v>374</v>
      </c>
      <c r="F2749" s="5">
        <v>3778.28</v>
      </c>
      <c r="G2749" s="5">
        <v>755.65600000000006</v>
      </c>
      <c r="I2749" t="str">
        <f t="shared" si="213"/>
        <v>Low Sales</v>
      </c>
      <c r="J2749" t="str">
        <f t="shared" si="214"/>
        <v>Average Performance</v>
      </c>
      <c r="K2749">
        <f t="shared" si="215"/>
        <v>2003</v>
      </c>
      <c r="L2749" t="str">
        <f t="shared" si="216"/>
        <v>October</v>
      </c>
    </row>
    <row r="2750" spans="1:12" x14ac:dyDescent="0.25">
      <c r="A2750" t="s">
        <v>11</v>
      </c>
      <c r="C2750" t="s">
        <v>265</v>
      </c>
      <c r="D2750" t="str">
        <f t="shared" si="217"/>
        <v>Planes</v>
      </c>
      <c r="E2750" t="s">
        <v>374</v>
      </c>
      <c r="F2750" s="5">
        <v>3233.49</v>
      </c>
      <c r="G2750" s="5">
        <v>646.69799999999998</v>
      </c>
      <c r="I2750" t="str">
        <f t="shared" si="213"/>
        <v>Low Sales</v>
      </c>
      <c r="J2750" t="str">
        <f t="shared" si="214"/>
        <v>Average Performance</v>
      </c>
      <c r="K2750">
        <f t="shared" si="215"/>
        <v>2003</v>
      </c>
      <c r="L2750" t="str">
        <f t="shared" si="216"/>
        <v>October</v>
      </c>
    </row>
    <row r="2751" spans="1:12" x14ac:dyDescent="0.25">
      <c r="A2751" t="s">
        <v>74</v>
      </c>
      <c r="B2751" t="s">
        <v>258</v>
      </c>
      <c r="C2751" t="s">
        <v>265</v>
      </c>
      <c r="D2751" t="str">
        <f t="shared" si="217"/>
        <v>Planes</v>
      </c>
      <c r="E2751" t="s">
        <v>374</v>
      </c>
      <c r="F2751" s="5">
        <v>3431.25</v>
      </c>
      <c r="G2751" s="5">
        <v>686.25</v>
      </c>
      <c r="I2751" t="str">
        <f t="shared" si="213"/>
        <v>Low Sales</v>
      </c>
      <c r="J2751" t="str">
        <f t="shared" si="214"/>
        <v>Average Performance</v>
      </c>
      <c r="K2751">
        <f t="shared" si="215"/>
        <v>2003</v>
      </c>
      <c r="L2751" t="str">
        <f t="shared" si="216"/>
        <v>November</v>
      </c>
    </row>
    <row r="2752" spans="1:12" x14ac:dyDescent="0.25">
      <c r="A2752" t="s">
        <v>194</v>
      </c>
      <c r="B2752" t="s">
        <v>260</v>
      </c>
      <c r="C2752" t="s">
        <v>265</v>
      </c>
      <c r="D2752" t="str">
        <f t="shared" si="217"/>
        <v>Planes</v>
      </c>
      <c r="E2752" t="s">
        <v>374</v>
      </c>
      <c r="F2752" s="5">
        <v>2546.8000000000002</v>
      </c>
      <c r="G2752" s="5">
        <v>509.36000000000013</v>
      </c>
      <c r="I2752" t="str">
        <f t="shared" si="213"/>
        <v>Low Sales</v>
      </c>
      <c r="J2752" t="str">
        <f t="shared" si="214"/>
        <v>Average Performance</v>
      </c>
      <c r="K2752">
        <f t="shared" si="215"/>
        <v>2003</v>
      </c>
      <c r="L2752" t="str">
        <f t="shared" si="216"/>
        <v>November</v>
      </c>
    </row>
    <row r="2753" spans="1:12" x14ac:dyDescent="0.25">
      <c r="A2753" t="s">
        <v>61</v>
      </c>
      <c r="B2753" t="s">
        <v>260</v>
      </c>
      <c r="C2753" t="s">
        <v>265</v>
      </c>
      <c r="D2753" t="str">
        <f t="shared" si="217"/>
        <v>Planes</v>
      </c>
      <c r="E2753" t="s">
        <v>374</v>
      </c>
      <c r="F2753" s="5">
        <v>2953.86</v>
      </c>
      <c r="G2753" s="5">
        <v>590.77200000000005</v>
      </c>
      <c r="I2753" t="str">
        <f t="shared" si="213"/>
        <v>Low Sales</v>
      </c>
      <c r="J2753" t="str">
        <f t="shared" si="214"/>
        <v>Average Performance</v>
      </c>
      <c r="K2753">
        <f t="shared" si="215"/>
        <v>2004</v>
      </c>
      <c r="L2753" t="str">
        <f t="shared" si="216"/>
        <v>January</v>
      </c>
    </row>
    <row r="2754" spans="1:12" x14ac:dyDescent="0.25">
      <c r="A2754" t="s">
        <v>78</v>
      </c>
      <c r="C2754" t="s">
        <v>265</v>
      </c>
      <c r="D2754" t="str">
        <f t="shared" si="217"/>
        <v>Planes</v>
      </c>
      <c r="E2754" t="s">
        <v>374</v>
      </c>
      <c r="F2754" s="5">
        <v>3183.29</v>
      </c>
      <c r="G2754" s="5">
        <v>636.65800000000002</v>
      </c>
      <c r="I2754" t="str">
        <f t="shared" si="213"/>
        <v>Low Sales</v>
      </c>
      <c r="J2754" t="str">
        <f t="shared" si="214"/>
        <v>Average Performance</v>
      </c>
      <c r="K2754">
        <f t="shared" si="215"/>
        <v>2004</v>
      </c>
      <c r="L2754" t="str">
        <f t="shared" si="216"/>
        <v>February</v>
      </c>
    </row>
    <row r="2755" spans="1:12" x14ac:dyDescent="0.25">
      <c r="A2755" t="s">
        <v>216</v>
      </c>
      <c r="C2755" t="s">
        <v>265</v>
      </c>
      <c r="D2755" t="str">
        <f t="shared" si="217"/>
        <v>Planes</v>
      </c>
      <c r="E2755" t="s">
        <v>374</v>
      </c>
      <c r="F2755" s="5">
        <v>2466.6999999999998</v>
      </c>
      <c r="G2755" s="5">
        <v>493.34</v>
      </c>
      <c r="I2755" t="str">
        <f t="shared" ref="I2755:I2818" si="218">IF(F2755&gt;50000,"High Sales","Low Sales")</f>
        <v>Low Sales</v>
      </c>
      <c r="J2755" t="str">
        <f t="shared" ref="J2755:J2818" si="219">IF(AND(F2755&gt;30000,G2755&gt;5000),"Good Performance","Average Performance")</f>
        <v>Average Performance</v>
      </c>
      <c r="K2755">
        <f t="shared" ref="K2755:K2818" si="220">YEAR(A2755)</f>
        <v>2004</v>
      </c>
      <c r="L2755" t="str">
        <f t="shared" ref="L2755:L2818" si="221">TEXT(A2755,"mmmm")</f>
        <v>April</v>
      </c>
    </row>
    <row r="2756" spans="1:12" x14ac:dyDescent="0.25">
      <c r="A2756" t="s">
        <v>195</v>
      </c>
      <c r="C2756" t="s">
        <v>265</v>
      </c>
      <c r="D2756" t="str">
        <f t="shared" si="217"/>
        <v>Planes</v>
      </c>
      <c r="E2756" t="s">
        <v>374</v>
      </c>
      <c r="F2756" s="5">
        <v>2363.2199999999998</v>
      </c>
      <c r="G2756" s="5">
        <v>472.64400000000001</v>
      </c>
      <c r="I2756" t="str">
        <f t="shared" si="218"/>
        <v>Low Sales</v>
      </c>
      <c r="J2756" t="str">
        <f t="shared" si="219"/>
        <v>Average Performance</v>
      </c>
      <c r="K2756">
        <f t="shared" si="220"/>
        <v>2004</v>
      </c>
      <c r="L2756" t="str">
        <f t="shared" si="221"/>
        <v>May</v>
      </c>
    </row>
    <row r="2757" spans="1:12" x14ac:dyDescent="0.25">
      <c r="A2757" t="s">
        <v>196</v>
      </c>
      <c r="B2757" t="s">
        <v>258</v>
      </c>
      <c r="C2757" t="s">
        <v>265</v>
      </c>
      <c r="D2757" t="str">
        <f t="shared" si="217"/>
        <v>Planes</v>
      </c>
      <c r="E2757" t="s">
        <v>374</v>
      </c>
      <c r="F2757" s="5">
        <v>2487.4499999999998</v>
      </c>
      <c r="G2757" s="5">
        <v>497.49</v>
      </c>
      <c r="I2757" t="str">
        <f t="shared" si="218"/>
        <v>Low Sales</v>
      </c>
      <c r="J2757" t="str">
        <f t="shared" si="219"/>
        <v>Average Performance</v>
      </c>
      <c r="K2757">
        <f t="shared" si="220"/>
        <v>2004</v>
      </c>
      <c r="L2757" t="str">
        <f t="shared" si="221"/>
        <v>June</v>
      </c>
    </row>
    <row r="2758" spans="1:12" x14ac:dyDescent="0.25">
      <c r="A2758" t="s">
        <v>20</v>
      </c>
      <c r="B2758" t="s">
        <v>258</v>
      </c>
      <c r="C2758" t="s">
        <v>265</v>
      </c>
      <c r="D2758" t="str">
        <f t="shared" si="217"/>
        <v>Planes</v>
      </c>
      <c r="E2758" t="s">
        <v>374</v>
      </c>
      <c r="F2758" s="5">
        <v>2249.0500000000002</v>
      </c>
      <c r="G2758" s="5">
        <v>449.81000000000012</v>
      </c>
      <c r="I2758" t="str">
        <f t="shared" si="218"/>
        <v>Low Sales</v>
      </c>
      <c r="J2758" t="str">
        <f t="shared" si="219"/>
        <v>Average Performance</v>
      </c>
      <c r="K2758">
        <f t="shared" si="220"/>
        <v>2004</v>
      </c>
      <c r="L2758" t="str">
        <f t="shared" si="221"/>
        <v>July</v>
      </c>
    </row>
    <row r="2759" spans="1:12" x14ac:dyDescent="0.25">
      <c r="A2759" t="s">
        <v>197</v>
      </c>
      <c r="B2759" t="s">
        <v>258</v>
      </c>
      <c r="C2759" t="s">
        <v>265</v>
      </c>
      <c r="D2759" t="str">
        <f t="shared" si="217"/>
        <v>Planes</v>
      </c>
      <c r="E2759" t="s">
        <v>374</v>
      </c>
      <c r="F2759" s="5">
        <v>2061.12</v>
      </c>
      <c r="G2759" s="5">
        <v>412.22399999999999</v>
      </c>
      <c r="I2759" t="str">
        <f t="shared" si="218"/>
        <v>Low Sales</v>
      </c>
      <c r="J2759" t="str">
        <f t="shared" si="219"/>
        <v>Average Performance</v>
      </c>
      <c r="K2759">
        <f t="shared" si="220"/>
        <v>2004</v>
      </c>
      <c r="L2759" t="str">
        <f t="shared" si="221"/>
        <v>August</v>
      </c>
    </row>
    <row r="2760" spans="1:12" x14ac:dyDescent="0.25">
      <c r="A2760" t="s">
        <v>198</v>
      </c>
      <c r="B2760" t="s">
        <v>258</v>
      </c>
      <c r="C2760" t="s">
        <v>265</v>
      </c>
      <c r="D2760" t="str">
        <f t="shared" si="217"/>
        <v>Planes</v>
      </c>
      <c r="E2760" t="s">
        <v>374</v>
      </c>
      <c r="F2760" s="5">
        <v>4071.14</v>
      </c>
      <c r="G2760" s="5">
        <v>814.22800000000007</v>
      </c>
      <c r="I2760" t="str">
        <f t="shared" si="218"/>
        <v>Low Sales</v>
      </c>
      <c r="J2760" t="str">
        <f t="shared" si="219"/>
        <v>Average Performance</v>
      </c>
      <c r="K2760">
        <f t="shared" si="220"/>
        <v>2004</v>
      </c>
      <c r="L2760" t="str">
        <f t="shared" si="221"/>
        <v>September</v>
      </c>
    </row>
    <row r="2761" spans="1:12" x14ac:dyDescent="0.25">
      <c r="A2761" t="s">
        <v>23</v>
      </c>
      <c r="C2761" t="s">
        <v>265</v>
      </c>
      <c r="D2761" t="str">
        <f t="shared" si="217"/>
        <v>Planes</v>
      </c>
      <c r="E2761" t="s">
        <v>374</v>
      </c>
      <c r="F2761" s="5">
        <v>2656.29</v>
      </c>
      <c r="G2761" s="5">
        <v>531.25800000000004</v>
      </c>
      <c r="I2761" t="str">
        <f t="shared" si="218"/>
        <v>Low Sales</v>
      </c>
      <c r="J2761" t="str">
        <f t="shared" si="219"/>
        <v>Average Performance</v>
      </c>
      <c r="K2761">
        <f t="shared" si="220"/>
        <v>2004</v>
      </c>
      <c r="L2761" t="str">
        <f t="shared" si="221"/>
        <v>October</v>
      </c>
    </row>
    <row r="2762" spans="1:12" x14ac:dyDescent="0.25">
      <c r="A2762" t="s">
        <v>85</v>
      </c>
      <c r="B2762" t="s">
        <v>258</v>
      </c>
      <c r="C2762" t="s">
        <v>265</v>
      </c>
      <c r="D2762" t="str">
        <f t="shared" si="217"/>
        <v>Planes</v>
      </c>
      <c r="E2762" t="s">
        <v>374</v>
      </c>
      <c r="F2762" s="5">
        <v>2736.36</v>
      </c>
      <c r="G2762" s="5">
        <v>547.27200000000005</v>
      </c>
      <c r="I2762" t="str">
        <f t="shared" si="218"/>
        <v>Low Sales</v>
      </c>
      <c r="J2762" t="str">
        <f t="shared" si="219"/>
        <v>Average Performance</v>
      </c>
      <c r="K2762">
        <f t="shared" si="220"/>
        <v>2004</v>
      </c>
      <c r="L2762" t="str">
        <f t="shared" si="221"/>
        <v>November</v>
      </c>
    </row>
    <row r="2763" spans="1:12" x14ac:dyDescent="0.25">
      <c r="A2763" t="s">
        <v>239</v>
      </c>
      <c r="B2763" t="s">
        <v>258</v>
      </c>
      <c r="C2763" t="s">
        <v>265</v>
      </c>
      <c r="D2763" t="str">
        <f t="shared" si="217"/>
        <v>Planes</v>
      </c>
      <c r="E2763" t="s">
        <v>374</v>
      </c>
      <c r="F2763" s="5">
        <v>3348.93</v>
      </c>
      <c r="G2763" s="5">
        <v>669.78600000000006</v>
      </c>
      <c r="I2763" t="str">
        <f t="shared" si="218"/>
        <v>Low Sales</v>
      </c>
      <c r="J2763" t="str">
        <f t="shared" si="219"/>
        <v>Average Performance</v>
      </c>
      <c r="K2763">
        <f t="shared" si="220"/>
        <v>2004</v>
      </c>
      <c r="L2763" t="str">
        <f t="shared" si="221"/>
        <v>November</v>
      </c>
    </row>
    <row r="2764" spans="1:12" x14ac:dyDescent="0.25">
      <c r="A2764" t="s">
        <v>64</v>
      </c>
      <c r="B2764" t="s">
        <v>260</v>
      </c>
      <c r="C2764" t="s">
        <v>265</v>
      </c>
      <c r="D2764" t="str">
        <f t="shared" si="217"/>
        <v>Planes</v>
      </c>
      <c r="E2764" t="s">
        <v>374</v>
      </c>
      <c r="F2764" s="5">
        <v>2893</v>
      </c>
      <c r="G2764" s="5">
        <v>578.6</v>
      </c>
      <c r="I2764" t="str">
        <f t="shared" si="218"/>
        <v>Low Sales</v>
      </c>
      <c r="J2764" t="str">
        <f t="shared" si="219"/>
        <v>Average Performance</v>
      </c>
      <c r="K2764">
        <f t="shared" si="220"/>
        <v>2004</v>
      </c>
      <c r="L2764" t="str">
        <f t="shared" si="221"/>
        <v>November</v>
      </c>
    </row>
    <row r="2765" spans="1:12" x14ac:dyDescent="0.25">
      <c r="A2765" t="s">
        <v>201</v>
      </c>
      <c r="C2765" t="s">
        <v>265</v>
      </c>
      <c r="D2765" t="str">
        <f t="shared" si="217"/>
        <v>Planes</v>
      </c>
      <c r="E2765" t="s">
        <v>374</v>
      </c>
      <c r="F2765" s="5">
        <v>1661.22</v>
      </c>
      <c r="G2765" s="5">
        <v>332.24400000000003</v>
      </c>
      <c r="I2765" t="str">
        <f t="shared" si="218"/>
        <v>Low Sales</v>
      </c>
      <c r="J2765" t="str">
        <f t="shared" si="219"/>
        <v>Average Performance</v>
      </c>
      <c r="K2765">
        <f t="shared" si="220"/>
        <v>2004</v>
      </c>
      <c r="L2765" t="str">
        <f t="shared" si="221"/>
        <v>December</v>
      </c>
    </row>
    <row r="2766" spans="1:12" x14ac:dyDescent="0.25">
      <c r="A2766" t="s">
        <v>27</v>
      </c>
      <c r="B2766" t="s">
        <v>259</v>
      </c>
      <c r="C2766" t="s">
        <v>265</v>
      </c>
      <c r="D2766" t="str">
        <f t="shared" si="217"/>
        <v>Planes</v>
      </c>
      <c r="E2766" t="s">
        <v>374</v>
      </c>
      <c r="F2766" s="5">
        <v>4277.3500000000004</v>
      </c>
      <c r="G2766" s="5">
        <v>855.47000000000014</v>
      </c>
      <c r="I2766" t="str">
        <f t="shared" si="218"/>
        <v>Low Sales</v>
      </c>
      <c r="J2766" t="str">
        <f t="shared" si="219"/>
        <v>Average Performance</v>
      </c>
      <c r="K2766">
        <f t="shared" si="220"/>
        <v>2004</v>
      </c>
      <c r="L2766" t="str">
        <f t="shared" si="221"/>
        <v>December</v>
      </c>
    </row>
    <row r="2767" spans="1:12" x14ac:dyDescent="0.25">
      <c r="A2767" t="s">
        <v>90</v>
      </c>
      <c r="B2767" t="s">
        <v>258</v>
      </c>
      <c r="C2767" t="s">
        <v>265</v>
      </c>
      <c r="D2767" t="str">
        <f t="shared" si="217"/>
        <v>Planes</v>
      </c>
      <c r="E2767" t="s">
        <v>374</v>
      </c>
      <c r="F2767" s="5">
        <v>2502.9</v>
      </c>
      <c r="G2767" s="5">
        <v>500.58</v>
      </c>
      <c r="I2767" t="str">
        <f t="shared" si="218"/>
        <v>Low Sales</v>
      </c>
      <c r="J2767" t="str">
        <f t="shared" si="219"/>
        <v>Average Performance</v>
      </c>
      <c r="K2767">
        <f t="shared" si="220"/>
        <v>2005</v>
      </c>
      <c r="L2767" t="str">
        <f t="shared" si="221"/>
        <v>January</v>
      </c>
    </row>
    <row r="2768" spans="1:12" x14ac:dyDescent="0.25">
      <c r="A2768" t="s">
        <v>202</v>
      </c>
      <c r="B2768" t="s">
        <v>258</v>
      </c>
      <c r="C2768" t="s">
        <v>265</v>
      </c>
      <c r="D2768" t="str">
        <f t="shared" si="217"/>
        <v>Planes</v>
      </c>
      <c r="E2768" t="s">
        <v>374</v>
      </c>
      <c r="F2768" s="5">
        <v>3801.6</v>
      </c>
      <c r="G2768" s="5">
        <v>760.32</v>
      </c>
      <c r="I2768" t="str">
        <f t="shared" si="218"/>
        <v>Low Sales</v>
      </c>
      <c r="J2768" t="str">
        <f t="shared" si="219"/>
        <v>Average Performance</v>
      </c>
      <c r="K2768">
        <f t="shared" si="220"/>
        <v>2005</v>
      </c>
      <c r="L2768" t="str">
        <f t="shared" si="221"/>
        <v>March</v>
      </c>
    </row>
    <row r="2769" spans="1:12" x14ac:dyDescent="0.25">
      <c r="A2769" t="s">
        <v>203</v>
      </c>
      <c r="B2769" t="s">
        <v>258</v>
      </c>
      <c r="C2769" t="s">
        <v>265</v>
      </c>
      <c r="D2769" t="str">
        <f t="shared" si="217"/>
        <v>Planes</v>
      </c>
      <c r="E2769" t="s">
        <v>374</v>
      </c>
      <c r="F2769" s="5">
        <v>3144.96</v>
      </c>
      <c r="G2769" s="5">
        <v>628.99200000000008</v>
      </c>
      <c r="I2769" t="str">
        <f t="shared" si="218"/>
        <v>Low Sales</v>
      </c>
      <c r="J2769" t="str">
        <f t="shared" si="219"/>
        <v>Average Performance</v>
      </c>
      <c r="K2769">
        <f t="shared" si="220"/>
        <v>2005</v>
      </c>
      <c r="L2769" t="str">
        <f t="shared" si="221"/>
        <v>March</v>
      </c>
    </row>
    <row r="2770" spans="1:12" x14ac:dyDescent="0.25">
      <c r="A2770" t="s">
        <v>219</v>
      </c>
      <c r="C2770" t="s">
        <v>265</v>
      </c>
      <c r="D2770" t="str">
        <f t="shared" ref="D2770:D2822" si="222">PROPER(TRIM(C2770))</f>
        <v>Planes</v>
      </c>
      <c r="E2770" t="s">
        <v>374</v>
      </c>
      <c r="F2770" s="5">
        <v>2031.4</v>
      </c>
      <c r="G2770" s="5">
        <v>406.28</v>
      </c>
      <c r="I2770" t="str">
        <f t="shared" si="218"/>
        <v>Low Sales</v>
      </c>
      <c r="J2770" t="str">
        <f t="shared" si="219"/>
        <v>Average Performance</v>
      </c>
      <c r="K2770">
        <f t="shared" si="220"/>
        <v>2005</v>
      </c>
      <c r="L2770" t="str">
        <f t="shared" si="221"/>
        <v>April</v>
      </c>
    </row>
    <row r="2771" spans="1:12" x14ac:dyDescent="0.25">
      <c r="A2771" t="s">
        <v>204</v>
      </c>
      <c r="B2771" t="s">
        <v>258</v>
      </c>
      <c r="C2771" t="s">
        <v>265</v>
      </c>
      <c r="D2771" t="str">
        <f t="shared" si="222"/>
        <v>Planes</v>
      </c>
      <c r="E2771" t="s">
        <v>374</v>
      </c>
      <c r="F2771" s="5">
        <v>2674.17</v>
      </c>
      <c r="G2771" s="5">
        <v>534.83400000000006</v>
      </c>
      <c r="I2771" t="str">
        <f t="shared" si="218"/>
        <v>Low Sales</v>
      </c>
      <c r="J2771" t="str">
        <f t="shared" si="219"/>
        <v>Average Performance</v>
      </c>
      <c r="K2771">
        <f t="shared" si="220"/>
        <v>2005</v>
      </c>
      <c r="L2771" t="str">
        <f t="shared" si="221"/>
        <v>May</v>
      </c>
    </row>
    <row r="2772" spans="1:12" x14ac:dyDescent="0.25">
      <c r="A2772" t="s">
        <v>192</v>
      </c>
      <c r="B2772" t="s">
        <v>258</v>
      </c>
      <c r="C2772" t="s">
        <v>265</v>
      </c>
      <c r="D2772" t="str">
        <f t="shared" si="222"/>
        <v>Planes</v>
      </c>
      <c r="E2772" t="s">
        <v>375</v>
      </c>
      <c r="F2772" s="5">
        <v>2526.7199999999998</v>
      </c>
      <c r="G2772" s="5">
        <v>505.34399999999999</v>
      </c>
      <c r="I2772" t="str">
        <f t="shared" si="218"/>
        <v>Low Sales</v>
      </c>
      <c r="J2772" t="str">
        <f t="shared" si="219"/>
        <v>Average Performance</v>
      </c>
      <c r="K2772">
        <f t="shared" si="220"/>
        <v>2003</v>
      </c>
      <c r="L2772" t="str">
        <f t="shared" si="221"/>
        <v>February</v>
      </c>
    </row>
    <row r="2773" spans="1:12" x14ac:dyDescent="0.25">
      <c r="A2773" t="s">
        <v>69</v>
      </c>
      <c r="B2773" t="s">
        <v>258</v>
      </c>
      <c r="C2773" t="s">
        <v>265</v>
      </c>
      <c r="D2773" t="str">
        <f t="shared" si="222"/>
        <v>Planes</v>
      </c>
      <c r="E2773" t="s">
        <v>375</v>
      </c>
      <c r="F2773" s="5">
        <v>1348.76</v>
      </c>
      <c r="G2773" s="5">
        <v>269.75200000000001</v>
      </c>
      <c r="I2773" t="str">
        <f t="shared" si="218"/>
        <v>Low Sales</v>
      </c>
      <c r="J2773" t="str">
        <f t="shared" si="219"/>
        <v>Average Performance</v>
      </c>
      <c r="K2773">
        <f t="shared" si="220"/>
        <v>2003</v>
      </c>
      <c r="L2773" t="str">
        <f t="shared" si="221"/>
        <v>April</v>
      </c>
    </row>
    <row r="2774" spans="1:12" x14ac:dyDescent="0.25">
      <c r="A2774" t="s">
        <v>193</v>
      </c>
      <c r="C2774" t="s">
        <v>265</v>
      </c>
      <c r="D2774" t="str">
        <f t="shared" si="222"/>
        <v>Planes</v>
      </c>
      <c r="E2774" t="s">
        <v>375</v>
      </c>
      <c r="F2774" s="5">
        <v>875.91</v>
      </c>
      <c r="G2774" s="5">
        <v>175.18199999999999</v>
      </c>
      <c r="I2774" t="str">
        <f t="shared" si="218"/>
        <v>Low Sales</v>
      </c>
      <c r="J2774" t="str">
        <f t="shared" si="219"/>
        <v>Average Performance</v>
      </c>
      <c r="K2774">
        <f t="shared" si="220"/>
        <v>2003</v>
      </c>
      <c r="L2774" t="str">
        <f t="shared" si="221"/>
        <v>June</v>
      </c>
    </row>
    <row r="2775" spans="1:12" x14ac:dyDescent="0.25">
      <c r="A2775" t="s">
        <v>71</v>
      </c>
      <c r="C2775" t="s">
        <v>265</v>
      </c>
      <c r="D2775" t="str">
        <f t="shared" si="222"/>
        <v>Planes</v>
      </c>
      <c r="E2775" t="s">
        <v>375</v>
      </c>
      <c r="F2775" s="5">
        <v>1874.05</v>
      </c>
      <c r="G2775" s="5">
        <v>374.81</v>
      </c>
      <c r="I2775" t="str">
        <f t="shared" si="218"/>
        <v>Low Sales</v>
      </c>
      <c r="J2775" t="str">
        <f t="shared" si="219"/>
        <v>Average Performance</v>
      </c>
      <c r="K2775">
        <f t="shared" si="220"/>
        <v>2003</v>
      </c>
      <c r="L2775" t="str">
        <f t="shared" si="221"/>
        <v>August</v>
      </c>
    </row>
    <row r="2776" spans="1:12" x14ac:dyDescent="0.25">
      <c r="A2776" t="s">
        <v>72</v>
      </c>
      <c r="B2776" t="s">
        <v>258</v>
      </c>
      <c r="C2776" t="s">
        <v>265</v>
      </c>
      <c r="D2776" t="str">
        <f t="shared" si="222"/>
        <v>Planes</v>
      </c>
      <c r="E2776" t="s">
        <v>375</v>
      </c>
      <c r="F2776" s="5">
        <v>1671.44</v>
      </c>
      <c r="G2776" s="5">
        <v>334.28800000000001</v>
      </c>
      <c r="I2776" t="str">
        <f t="shared" si="218"/>
        <v>Low Sales</v>
      </c>
      <c r="J2776" t="str">
        <f t="shared" si="219"/>
        <v>Average Performance</v>
      </c>
      <c r="K2776">
        <f t="shared" si="220"/>
        <v>2003</v>
      </c>
      <c r="L2776" t="str">
        <f t="shared" si="221"/>
        <v>October</v>
      </c>
    </row>
    <row r="2777" spans="1:12" x14ac:dyDescent="0.25">
      <c r="A2777" t="s">
        <v>73</v>
      </c>
      <c r="B2777" t="s">
        <v>258</v>
      </c>
      <c r="C2777" t="s">
        <v>265</v>
      </c>
      <c r="D2777" t="str">
        <f t="shared" si="222"/>
        <v>Planes</v>
      </c>
      <c r="E2777" t="s">
        <v>375</v>
      </c>
      <c r="F2777" s="5">
        <v>1668.4</v>
      </c>
      <c r="G2777" s="5">
        <v>333.68000000000012</v>
      </c>
      <c r="I2777" t="str">
        <f t="shared" si="218"/>
        <v>Low Sales</v>
      </c>
      <c r="J2777" t="str">
        <f t="shared" si="219"/>
        <v>Average Performance</v>
      </c>
      <c r="K2777">
        <f t="shared" si="220"/>
        <v>2003</v>
      </c>
      <c r="L2777" t="str">
        <f t="shared" si="221"/>
        <v>October</v>
      </c>
    </row>
    <row r="2778" spans="1:12" x14ac:dyDescent="0.25">
      <c r="A2778" t="s">
        <v>74</v>
      </c>
      <c r="B2778" t="s">
        <v>258</v>
      </c>
      <c r="C2778" t="s">
        <v>265</v>
      </c>
      <c r="D2778" t="str">
        <f t="shared" si="222"/>
        <v>Planes</v>
      </c>
      <c r="E2778" t="s">
        <v>375</v>
      </c>
      <c r="F2778" s="5">
        <v>2301.75</v>
      </c>
      <c r="G2778" s="5">
        <v>460.35</v>
      </c>
      <c r="I2778" t="str">
        <f t="shared" si="218"/>
        <v>Low Sales</v>
      </c>
      <c r="J2778" t="str">
        <f t="shared" si="219"/>
        <v>Average Performance</v>
      </c>
      <c r="K2778">
        <f t="shared" si="220"/>
        <v>2003</v>
      </c>
      <c r="L2778" t="str">
        <f t="shared" si="221"/>
        <v>November</v>
      </c>
    </row>
    <row r="2779" spans="1:12" x14ac:dyDescent="0.25">
      <c r="A2779" t="s">
        <v>75</v>
      </c>
      <c r="B2779" t="s">
        <v>258</v>
      </c>
      <c r="C2779" t="s">
        <v>265</v>
      </c>
      <c r="D2779" t="str">
        <f t="shared" si="222"/>
        <v>Planes</v>
      </c>
      <c r="E2779" t="s">
        <v>375</v>
      </c>
      <c r="F2779" s="5">
        <v>1459.92</v>
      </c>
      <c r="G2779" s="5">
        <v>291.98399999999998</v>
      </c>
      <c r="I2779" t="str">
        <f t="shared" si="218"/>
        <v>Low Sales</v>
      </c>
      <c r="J2779" t="str">
        <f t="shared" si="219"/>
        <v>Average Performance</v>
      </c>
      <c r="K2779">
        <f t="shared" si="220"/>
        <v>2003</v>
      </c>
      <c r="L2779" t="str">
        <f t="shared" si="221"/>
        <v>November</v>
      </c>
    </row>
    <row r="2780" spans="1:12" x14ac:dyDescent="0.25">
      <c r="A2780" t="s">
        <v>76</v>
      </c>
      <c r="B2780" t="s">
        <v>258</v>
      </c>
      <c r="C2780" t="s">
        <v>265</v>
      </c>
      <c r="D2780" t="str">
        <f t="shared" si="222"/>
        <v>Planes</v>
      </c>
      <c r="E2780" t="s">
        <v>375</v>
      </c>
      <c r="F2780" s="5">
        <v>1209.5899999999999</v>
      </c>
      <c r="G2780" s="5">
        <v>241.91800000000001</v>
      </c>
      <c r="I2780" t="str">
        <f t="shared" si="218"/>
        <v>Low Sales</v>
      </c>
      <c r="J2780" t="str">
        <f t="shared" si="219"/>
        <v>Average Performance</v>
      </c>
      <c r="K2780">
        <f t="shared" si="220"/>
        <v>2003</v>
      </c>
      <c r="L2780" t="str">
        <f t="shared" si="221"/>
        <v>November</v>
      </c>
    </row>
    <row r="2781" spans="1:12" x14ac:dyDescent="0.25">
      <c r="A2781" t="s">
        <v>77</v>
      </c>
      <c r="C2781" t="s">
        <v>265</v>
      </c>
      <c r="D2781" t="str">
        <f t="shared" si="222"/>
        <v>Planes</v>
      </c>
      <c r="E2781" t="s">
        <v>375</v>
      </c>
      <c r="F2781" s="5">
        <v>2145.12</v>
      </c>
      <c r="G2781" s="5">
        <v>429.024</v>
      </c>
      <c r="I2781" t="str">
        <f t="shared" si="218"/>
        <v>Low Sales</v>
      </c>
      <c r="J2781" t="str">
        <f t="shared" si="219"/>
        <v>Average Performance</v>
      </c>
      <c r="K2781">
        <f t="shared" si="220"/>
        <v>2004</v>
      </c>
      <c r="L2781" t="str">
        <f t="shared" si="221"/>
        <v>January</v>
      </c>
    </row>
    <row r="2782" spans="1:12" x14ac:dyDescent="0.25">
      <c r="A2782" t="s">
        <v>78</v>
      </c>
      <c r="C2782" t="s">
        <v>265</v>
      </c>
      <c r="D2782" t="str">
        <f t="shared" si="222"/>
        <v>Planes</v>
      </c>
      <c r="E2782" t="s">
        <v>375</v>
      </c>
      <c r="F2782" s="5">
        <v>1416.39</v>
      </c>
      <c r="G2782" s="5">
        <v>283.27800000000002</v>
      </c>
      <c r="I2782" t="str">
        <f t="shared" si="218"/>
        <v>Low Sales</v>
      </c>
      <c r="J2782" t="str">
        <f t="shared" si="219"/>
        <v>Average Performance</v>
      </c>
      <c r="K2782">
        <f t="shared" si="220"/>
        <v>2004</v>
      </c>
      <c r="L2782" t="str">
        <f t="shared" si="221"/>
        <v>February</v>
      </c>
    </row>
    <row r="2783" spans="1:12" x14ac:dyDescent="0.25">
      <c r="A2783" t="s">
        <v>238</v>
      </c>
      <c r="C2783" t="s">
        <v>265</v>
      </c>
      <c r="D2783" t="str">
        <f t="shared" si="222"/>
        <v>Planes</v>
      </c>
      <c r="E2783" t="s">
        <v>375</v>
      </c>
      <c r="F2783" s="5">
        <v>1843.52</v>
      </c>
      <c r="G2783" s="5">
        <v>368.70400000000001</v>
      </c>
      <c r="I2783" t="str">
        <f t="shared" si="218"/>
        <v>Low Sales</v>
      </c>
      <c r="J2783" t="str">
        <f t="shared" si="219"/>
        <v>Average Performance</v>
      </c>
      <c r="K2783">
        <f t="shared" si="220"/>
        <v>2004</v>
      </c>
      <c r="L2783" t="str">
        <f t="shared" si="221"/>
        <v>May</v>
      </c>
    </row>
    <row r="2784" spans="1:12" x14ac:dyDescent="0.25">
      <c r="A2784" t="s">
        <v>196</v>
      </c>
      <c r="B2784" t="s">
        <v>258</v>
      </c>
      <c r="C2784" t="s">
        <v>265</v>
      </c>
      <c r="D2784" t="str">
        <f t="shared" si="222"/>
        <v>Planes</v>
      </c>
      <c r="E2784" t="s">
        <v>375</v>
      </c>
      <c r="F2784" s="5">
        <v>1199.31</v>
      </c>
      <c r="G2784" s="5">
        <v>239.86199999999999</v>
      </c>
      <c r="I2784" t="str">
        <f t="shared" si="218"/>
        <v>Low Sales</v>
      </c>
      <c r="J2784" t="str">
        <f t="shared" si="219"/>
        <v>Average Performance</v>
      </c>
      <c r="K2784">
        <f t="shared" si="220"/>
        <v>2004</v>
      </c>
      <c r="L2784" t="str">
        <f t="shared" si="221"/>
        <v>June</v>
      </c>
    </row>
    <row r="2785" spans="1:12" x14ac:dyDescent="0.25">
      <c r="A2785" t="s">
        <v>81</v>
      </c>
      <c r="C2785" t="s">
        <v>265</v>
      </c>
      <c r="D2785" t="str">
        <f t="shared" si="222"/>
        <v>Planes</v>
      </c>
      <c r="E2785" t="s">
        <v>375</v>
      </c>
      <c r="F2785" s="5">
        <v>1875.2</v>
      </c>
      <c r="G2785" s="5">
        <v>375.04</v>
      </c>
      <c r="I2785" t="str">
        <f t="shared" si="218"/>
        <v>Low Sales</v>
      </c>
      <c r="J2785" t="str">
        <f t="shared" si="219"/>
        <v>Average Performance</v>
      </c>
      <c r="K2785">
        <f t="shared" si="220"/>
        <v>2004</v>
      </c>
      <c r="L2785" t="str">
        <f t="shared" si="221"/>
        <v>July</v>
      </c>
    </row>
    <row r="2786" spans="1:12" x14ac:dyDescent="0.25">
      <c r="A2786" t="s">
        <v>82</v>
      </c>
      <c r="C2786" t="s">
        <v>265</v>
      </c>
      <c r="D2786" t="str">
        <f t="shared" si="222"/>
        <v>Planes</v>
      </c>
      <c r="E2786" t="s">
        <v>375</v>
      </c>
      <c r="F2786" s="5">
        <v>2477.23</v>
      </c>
      <c r="G2786" s="5">
        <v>495.44600000000003</v>
      </c>
      <c r="I2786" t="str">
        <f t="shared" si="218"/>
        <v>Low Sales</v>
      </c>
      <c r="J2786" t="str">
        <f t="shared" si="219"/>
        <v>Average Performance</v>
      </c>
      <c r="K2786">
        <f t="shared" si="220"/>
        <v>2004</v>
      </c>
      <c r="L2786" t="str">
        <f t="shared" si="221"/>
        <v>August</v>
      </c>
    </row>
    <row r="2787" spans="1:12" x14ac:dyDescent="0.25">
      <c r="A2787" t="s">
        <v>198</v>
      </c>
      <c r="B2787" t="s">
        <v>258</v>
      </c>
      <c r="C2787" t="s">
        <v>265</v>
      </c>
      <c r="D2787" t="str">
        <f t="shared" si="222"/>
        <v>Planes</v>
      </c>
      <c r="E2787" t="s">
        <v>375</v>
      </c>
      <c r="F2787" s="5">
        <v>948.99</v>
      </c>
      <c r="G2787" s="5">
        <v>189.798</v>
      </c>
      <c r="I2787" t="str">
        <f t="shared" si="218"/>
        <v>Low Sales</v>
      </c>
      <c r="J2787" t="str">
        <f t="shared" si="219"/>
        <v>Average Performance</v>
      </c>
      <c r="K2787">
        <f t="shared" si="220"/>
        <v>2004</v>
      </c>
      <c r="L2787" t="str">
        <f t="shared" si="221"/>
        <v>September</v>
      </c>
    </row>
    <row r="2788" spans="1:12" x14ac:dyDescent="0.25">
      <c r="A2788" t="s">
        <v>84</v>
      </c>
      <c r="C2788" t="s">
        <v>265</v>
      </c>
      <c r="D2788" t="str">
        <f t="shared" si="222"/>
        <v>Planes</v>
      </c>
      <c r="E2788" t="s">
        <v>375</v>
      </c>
      <c r="F2788" s="5">
        <v>1823.42</v>
      </c>
      <c r="G2788" s="5">
        <v>364.68400000000003</v>
      </c>
      <c r="I2788" t="str">
        <f t="shared" si="218"/>
        <v>Low Sales</v>
      </c>
      <c r="J2788" t="str">
        <f t="shared" si="219"/>
        <v>Average Performance</v>
      </c>
      <c r="K2788">
        <f t="shared" si="220"/>
        <v>2004</v>
      </c>
      <c r="L2788" t="str">
        <f t="shared" si="221"/>
        <v>October</v>
      </c>
    </row>
    <row r="2789" spans="1:12" x14ac:dyDescent="0.25">
      <c r="A2789" t="s">
        <v>85</v>
      </c>
      <c r="B2789" t="s">
        <v>258</v>
      </c>
      <c r="C2789" t="s">
        <v>265</v>
      </c>
      <c r="D2789" t="str">
        <f t="shared" si="222"/>
        <v>Planes</v>
      </c>
      <c r="E2789" t="s">
        <v>375</v>
      </c>
      <c r="F2789" s="5">
        <v>1485.8</v>
      </c>
      <c r="G2789" s="5">
        <v>297.16000000000003</v>
      </c>
      <c r="I2789" t="str">
        <f t="shared" si="218"/>
        <v>Low Sales</v>
      </c>
      <c r="J2789" t="str">
        <f t="shared" si="219"/>
        <v>Average Performance</v>
      </c>
      <c r="K2789">
        <f t="shared" si="220"/>
        <v>2004</v>
      </c>
      <c r="L2789" t="str">
        <f t="shared" si="221"/>
        <v>November</v>
      </c>
    </row>
    <row r="2790" spans="1:12" x14ac:dyDescent="0.25">
      <c r="A2790" t="s">
        <v>25</v>
      </c>
      <c r="C2790" t="s">
        <v>265</v>
      </c>
      <c r="D2790" t="str">
        <f t="shared" si="222"/>
        <v>Planes</v>
      </c>
      <c r="E2790" t="s">
        <v>375</v>
      </c>
      <c r="F2790" s="5">
        <v>3789.72</v>
      </c>
      <c r="G2790" s="5">
        <v>757.94399999999996</v>
      </c>
      <c r="I2790" t="str">
        <f t="shared" si="218"/>
        <v>Low Sales</v>
      </c>
      <c r="J2790" t="str">
        <f t="shared" si="219"/>
        <v>Average Performance</v>
      </c>
      <c r="K2790">
        <f t="shared" si="220"/>
        <v>2004</v>
      </c>
      <c r="L2790" t="str">
        <f t="shared" si="221"/>
        <v>November</v>
      </c>
    </row>
    <row r="2791" spans="1:12" x14ac:dyDescent="0.25">
      <c r="A2791" t="s">
        <v>64</v>
      </c>
      <c r="B2791" t="s">
        <v>260</v>
      </c>
      <c r="C2791" t="s">
        <v>265</v>
      </c>
      <c r="D2791" t="str">
        <f t="shared" si="222"/>
        <v>Planes</v>
      </c>
      <c r="E2791" t="s">
        <v>375</v>
      </c>
      <c r="F2791" s="5">
        <v>2060.37</v>
      </c>
      <c r="G2791" s="5">
        <v>412.07400000000001</v>
      </c>
      <c r="I2791" t="str">
        <f t="shared" si="218"/>
        <v>Low Sales</v>
      </c>
      <c r="J2791" t="str">
        <f t="shared" si="219"/>
        <v>Average Performance</v>
      </c>
      <c r="K2791">
        <f t="shared" si="220"/>
        <v>2004</v>
      </c>
      <c r="L2791" t="str">
        <f t="shared" si="221"/>
        <v>November</v>
      </c>
    </row>
    <row r="2792" spans="1:12" x14ac:dyDescent="0.25">
      <c r="A2792" t="s">
        <v>201</v>
      </c>
      <c r="C2792" t="s">
        <v>265</v>
      </c>
      <c r="D2792" t="str">
        <f t="shared" si="222"/>
        <v>Planes</v>
      </c>
      <c r="E2792" t="s">
        <v>375</v>
      </c>
      <c r="F2792" s="5">
        <v>2579.36</v>
      </c>
      <c r="G2792" s="5">
        <v>515.87200000000007</v>
      </c>
      <c r="I2792" t="str">
        <f t="shared" si="218"/>
        <v>Low Sales</v>
      </c>
      <c r="J2792" t="str">
        <f t="shared" si="219"/>
        <v>Average Performance</v>
      </c>
      <c r="K2792">
        <f t="shared" si="220"/>
        <v>2004</v>
      </c>
      <c r="L2792" t="str">
        <f t="shared" si="221"/>
        <v>December</v>
      </c>
    </row>
    <row r="2793" spans="1:12" x14ac:dyDescent="0.25">
      <c r="A2793" t="s">
        <v>27</v>
      </c>
      <c r="B2793" t="s">
        <v>259</v>
      </c>
      <c r="C2793" t="s">
        <v>265</v>
      </c>
      <c r="D2793" t="str">
        <f t="shared" si="222"/>
        <v>Planes</v>
      </c>
      <c r="E2793" t="s">
        <v>375</v>
      </c>
      <c r="F2793" s="5">
        <v>2189.6</v>
      </c>
      <c r="G2793" s="5">
        <v>437.92</v>
      </c>
      <c r="I2793" t="str">
        <f t="shared" si="218"/>
        <v>Low Sales</v>
      </c>
      <c r="J2793" t="str">
        <f t="shared" si="219"/>
        <v>Average Performance</v>
      </c>
      <c r="K2793">
        <f t="shared" si="220"/>
        <v>2004</v>
      </c>
      <c r="L2793" t="str">
        <f t="shared" si="221"/>
        <v>December</v>
      </c>
    </row>
    <row r="2794" spans="1:12" x14ac:dyDescent="0.25">
      <c r="A2794" t="s">
        <v>90</v>
      </c>
      <c r="B2794" t="s">
        <v>258</v>
      </c>
      <c r="C2794" t="s">
        <v>265</v>
      </c>
      <c r="D2794" t="str">
        <f t="shared" si="222"/>
        <v>Planes</v>
      </c>
      <c r="E2794" t="s">
        <v>375</v>
      </c>
      <c r="F2794" s="5">
        <v>1624.25</v>
      </c>
      <c r="G2794" s="5">
        <v>324.85000000000002</v>
      </c>
      <c r="I2794" t="str">
        <f t="shared" si="218"/>
        <v>Low Sales</v>
      </c>
      <c r="J2794" t="str">
        <f t="shared" si="219"/>
        <v>Average Performance</v>
      </c>
      <c r="K2794">
        <f t="shared" si="220"/>
        <v>2005</v>
      </c>
      <c r="L2794" t="str">
        <f t="shared" si="221"/>
        <v>January</v>
      </c>
    </row>
    <row r="2795" spans="1:12" x14ac:dyDescent="0.25">
      <c r="A2795" t="s">
        <v>202</v>
      </c>
      <c r="B2795" t="s">
        <v>258</v>
      </c>
      <c r="C2795" t="s">
        <v>265</v>
      </c>
      <c r="D2795" t="str">
        <f t="shared" si="222"/>
        <v>Planes</v>
      </c>
      <c r="E2795" t="s">
        <v>375</v>
      </c>
      <c r="F2795" s="5">
        <v>4357.5</v>
      </c>
      <c r="G2795" s="5">
        <v>871.5</v>
      </c>
      <c r="I2795" t="str">
        <f t="shared" si="218"/>
        <v>Low Sales</v>
      </c>
      <c r="J2795" t="str">
        <f t="shared" si="219"/>
        <v>Average Performance</v>
      </c>
      <c r="K2795">
        <f t="shared" si="220"/>
        <v>2005</v>
      </c>
      <c r="L2795" t="str">
        <f t="shared" si="221"/>
        <v>March</v>
      </c>
    </row>
    <row r="2796" spans="1:12" x14ac:dyDescent="0.25">
      <c r="A2796" t="s">
        <v>203</v>
      </c>
      <c r="B2796" t="s">
        <v>258</v>
      </c>
      <c r="C2796" t="s">
        <v>265</v>
      </c>
      <c r="D2796" t="str">
        <f t="shared" si="222"/>
        <v>Planes</v>
      </c>
      <c r="E2796" t="s">
        <v>375</v>
      </c>
      <c r="F2796" s="5">
        <v>1367.48</v>
      </c>
      <c r="G2796" s="5">
        <v>273.49599999999998</v>
      </c>
      <c r="I2796" t="str">
        <f t="shared" si="218"/>
        <v>Low Sales</v>
      </c>
      <c r="J2796" t="str">
        <f t="shared" si="219"/>
        <v>Average Performance</v>
      </c>
      <c r="K2796">
        <f t="shared" si="220"/>
        <v>2005</v>
      </c>
      <c r="L2796" t="str">
        <f t="shared" si="221"/>
        <v>March</v>
      </c>
    </row>
    <row r="2797" spans="1:12" x14ac:dyDescent="0.25">
      <c r="A2797" t="s">
        <v>93</v>
      </c>
      <c r="C2797" t="s">
        <v>265</v>
      </c>
      <c r="D2797" t="str">
        <f t="shared" si="222"/>
        <v>Planes</v>
      </c>
      <c r="E2797" t="s">
        <v>375</v>
      </c>
      <c r="F2797" s="5">
        <v>1122.4000000000001</v>
      </c>
      <c r="G2797" s="5">
        <v>224.48</v>
      </c>
      <c r="I2797" t="str">
        <f t="shared" si="218"/>
        <v>Low Sales</v>
      </c>
      <c r="J2797" t="str">
        <f t="shared" si="219"/>
        <v>Average Performance</v>
      </c>
      <c r="K2797">
        <f t="shared" si="220"/>
        <v>2005</v>
      </c>
      <c r="L2797" t="str">
        <f t="shared" si="221"/>
        <v>April</v>
      </c>
    </row>
    <row r="2798" spans="1:12" x14ac:dyDescent="0.25">
      <c r="A2798" t="s">
        <v>240</v>
      </c>
      <c r="B2798" t="s">
        <v>259</v>
      </c>
      <c r="C2798" t="s">
        <v>265</v>
      </c>
      <c r="D2798" t="str">
        <f t="shared" si="222"/>
        <v>Planes</v>
      </c>
      <c r="E2798" t="s">
        <v>375</v>
      </c>
      <c r="F2798" s="5">
        <v>2419.62</v>
      </c>
      <c r="G2798" s="5">
        <v>483.92399999999998</v>
      </c>
      <c r="I2798" t="str">
        <f t="shared" si="218"/>
        <v>Low Sales</v>
      </c>
      <c r="J2798" t="str">
        <f t="shared" si="219"/>
        <v>Average Performance</v>
      </c>
      <c r="K2798">
        <f t="shared" si="220"/>
        <v>2005</v>
      </c>
      <c r="L2798" t="str">
        <f t="shared" si="221"/>
        <v>May</v>
      </c>
    </row>
    <row r="2799" spans="1:12" x14ac:dyDescent="0.25">
      <c r="A2799" t="s">
        <v>68</v>
      </c>
      <c r="B2799" t="s">
        <v>258</v>
      </c>
      <c r="C2799" t="s">
        <v>266</v>
      </c>
      <c r="D2799" t="str">
        <f t="shared" si="222"/>
        <v>Ships</v>
      </c>
      <c r="E2799" t="s">
        <v>376</v>
      </c>
      <c r="F2799" s="5">
        <v>1419.5</v>
      </c>
      <c r="G2799" s="5">
        <v>283.89999999999998</v>
      </c>
      <c r="I2799" t="str">
        <f t="shared" si="218"/>
        <v>Low Sales</v>
      </c>
      <c r="J2799" t="str">
        <f t="shared" si="219"/>
        <v>Average Performance</v>
      </c>
      <c r="K2799">
        <f t="shared" si="220"/>
        <v>2003</v>
      </c>
      <c r="L2799" t="str">
        <f t="shared" si="221"/>
        <v>February</v>
      </c>
    </row>
    <row r="2800" spans="1:12" x14ac:dyDescent="0.25">
      <c r="A2800" t="s">
        <v>123</v>
      </c>
      <c r="B2800" t="s">
        <v>260</v>
      </c>
      <c r="C2800" t="s">
        <v>266</v>
      </c>
      <c r="D2800" t="str">
        <f t="shared" si="222"/>
        <v>Ships</v>
      </c>
      <c r="E2800" t="s">
        <v>376</v>
      </c>
      <c r="F2800" s="5">
        <v>2184</v>
      </c>
      <c r="G2800" s="5">
        <v>436.8</v>
      </c>
      <c r="I2800" t="str">
        <f t="shared" si="218"/>
        <v>Low Sales</v>
      </c>
      <c r="J2800" t="str">
        <f t="shared" si="219"/>
        <v>Average Performance</v>
      </c>
      <c r="K2800">
        <f t="shared" si="220"/>
        <v>2003</v>
      </c>
      <c r="L2800" t="str">
        <f t="shared" si="221"/>
        <v>April</v>
      </c>
    </row>
    <row r="2801" spans="1:12" x14ac:dyDescent="0.25">
      <c r="A2801" t="s">
        <v>70</v>
      </c>
      <c r="B2801" t="s">
        <v>258</v>
      </c>
      <c r="C2801" t="s">
        <v>266</v>
      </c>
      <c r="D2801" t="str">
        <f t="shared" si="222"/>
        <v>Ships</v>
      </c>
      <c r="E2801" t="s">
        <v>376</v>
      </c>
      <c r="F2801" s="5">
        <v>2079.04</v>
      </c>
      <c r="G2801" s="5">
        <v>415.80799999999999</v>
      </c>
      <c r="I2801" t="str">
        <f t="shared" si="218"/>
        <v>Low Sales</v>
      </c>
      <c r="J2801" t="str">
        <f t="shared" si="219"/>
        <v>Average Performance</v>
      </c>
      <c r="K2801">
        <f t="shared" si="220"/>
        <v>2003</v>
      </c>
      <c r="L2801" t="str">
        <f t="shared" si="221"/>
        <v>June</v>
      </c>
    </row>
    <row r="2802" spans="1:12" x14ac:dyDescent="0.25">
      <c r="A2802" t="s">
        <v>125</v>
      </c>
      <c r="C2802" t="s">
        <v>266</v>
      </c>
      <c r="D2802" t="str">
        <f t="shared" si="222"/>
        <v>Ships</v>
      </c>
      <c r="E2802" t="s">
        <v>376</v>
      </c>
      <c r="F2802" s="5">
        <v>1724.97</v>
      </c>
      <c r="G2802" s="5">
        <v>344.99400000000003</v>
      </c>
      <c r="I2802" t="str">
        <f t="shared" si="218"/>
        <v>Low Sales</v>
      </c>
      <c r="J2802" t="str">
        <f t="shared" si="219"/>
        <v>Average Performance</v>
      </c>
      <c r="K2802">
        <f t="shared" si="220"/>
        <v>2003</v>
      </c>
      <c r="L2802" t="str">
        <f t="shared" si="221"/>
        <v>August</v>
      </c>
    </row>
    <row r="2803" spans="1:12" x14ac:dyDescent="0.25">
      <c r="A2803" t="s">
        <v>126</v>
      </c>
      <c r="B2803" t="s">
        <v>258</v>
      </c>
      <c r="C2803" t="s">
        <v>266</v>
      </c>
      <c r="D2803" t="str">
        <f t="shared" si="222"/>
        <v>Ships</v>
      </c>
      <c r="E2803" t="s">
        <v>376</v>
      </c>
      <c r="F2803" s="5">
        <v>3003</v>
      </c>
      <c r="G2803" s="5">
        <v>600.6</v>
      </c>
      <c r="I2803" t="str">
        <f t="shared" si="218"/>
        <v>Low Sales</v>
      </c>
      <c r="J2803" t="str">
        <f t="shared" si="219"/>
        <v>Average Performance</v>
      </c>
      <c r="K2803">
        <f t="shared" si="220"/>
        <v>2003</v>
      </c>
      <c r="L2803" t="str">
        <f t="shared" si="221"/>
        <v>September</v>
      </c>
    </row>
    <row r="2804" spans="1:12" x14ac:dyDescent="0.25">
      <c r="A2804" t="s">
        <v>73</v>
      </c>
      <c r="B2804" t="s">
        <v>258</v>
      </c>
      <c r="C2804" t="s">
        <v>266</v>
      </c>
      <c r="D2804" t="str">
        <f t="shared" si="222"/>
        <v>Ships</v>
      </c>
      <c r="E2804" t="s">
        <v>376</v>
      </c>
      <c r="F2804" s="5">
        <v>1846.42</v>
      </c>
      <c r="G2804" s="5">
        <v>369.28399999999999</v>
      </c>
      <c r="I2804" t="str">
        <f t="shared" si="218"/>
        <v>Low Sales</v>
      </c>
      <c r="J2804" t="str">
        <f t="shared" si="219"/>
        <v>Average Performance</v>
      </c>
      <c r="K2804">
        <f t="shared" si="220"/>
        <v>2003</v>
      </c>
      <c r="L2804" t="str">
        <f t="shared" si="221"/>
        <v>October</v>
      </c>
    </row>
    <row r="2805" spans="1:12" x14ac:dyDescent="0.25">
      <c r="A2805" t="s">
        <v>225</v>
      </c>
      <c r="B2805" t="s">
        <v>258</v>
      </c>
      <c r="C2805" t="s">
        <v>266</v>
      </c>
      <c r="D2805" t="str">
        <f t="shared" si="222"/>
        <v>Ships</v>
      </c>
      <c r="E2805" t="s">
        <v>376</v>
      </c>
      <c r="F2805" s="5">
        <v>2009.2</v>
      </c>
      <c r="G2805" s="5">
        <v>401.84</v>
      </c>
      <c r="I2805" t="str">
        <f t="shared" si="218"/>
        <v>Low Sales</v>
      </c>
      <c r="J2805" t="str">
        <f t="shared" si="219"/>
        <v>Average Performance</v>
      </c>
      <c r="K2805">
        <f t="shared" si="220"/>
        <v>2003</v>
      </c>
      <c r="L2805" t="str">
        <f t="shared" si="221"/>
        <v>November</v>
      </c>
    </row>
    <row r="2806" spans="1:12" x14ac:dyDescent="0.25">
      <c r="A2806" t="s">
        <v>75</v>
      </c>
      <c r="C2806" t="s">
        <v>266</v>
      </c>
      <c r="D2806" t="str">
        <f t="shared" si="222"/>
        <v>Ships</v>
      </c>
      <c r="E2806" t="s">
        <v>376</v>
      </c>
      <c r="F2806" s="5">
        <v>1804.04</v>
      </c>
      <c r="G2806" s="5">
        <v>360.80799999999999</v>
      </c>
      <c r="I2806" t="str">
        <f t="shared" si="218"/>
        <v>Low Sales</v>
      </c>
      <c r="J2806" t="str">
        <f t="shared" si="219"/>
        <v>Average Performance</v>
      </c>
      <c r="K2806">
        <f t="shared" si="220"/>
        <v>2003</v>
      </c>
      <c r="L2806" t="str">
        <f t="shared" si="221"/>
        <v>November</v>
      </c>
    </row>
    <row r="2807" spans="1:12" x14ac:dyDescent="0.25">
      <c r="A2807" t="s">
        <v>76</v>
      </c>
      <c r="B2807" t="s">
        <v>258</v>
      </c>
      <c r="C2807" t="s">
        <v>266</v>
      </c>
      <c r="D2807" t="str">
        <f t="shared" si="222"/>
        <v>Ships</v>
      </c>
      <c r="E2807" t="s">
        <v>376</v>
      </c>
      <c r="F2807" s="5">
        <v>2109.66</v>
      </c>
      <c r="G2807" s="5">
        <v>421.93200000000002</v>
      </c>
      <c r="I2807" t="str">
        <f t="shared" si="218"/>
        <v>Low Sales</v>
      </c>
      <c r="J2807" t="str">
        <f t="shared" si="219"/>
        <v>Average Performance</v>
      </c>
      <c r="K2807">
        <f t="shared" si="220"/>
        <v>2003</v>
      </c>
      <c r="L2807" t="str">
        <f t="shared" si="221"/>
        <v>November</v>
      </c>
    </row>
    <row r="2808" spans="1:12" x14ac:dyDescent="0.25">
      <c r="A2808" t="s">
        <v>128</v>
      </c>
      <c r="B2808" t="s">
        <v>258</v>
      </c>
      <c r="C2808" t="s">
        <v>266</v>
      </c>
      <c r="D2808" t="str">
        <f t="shared" si="222"/>
        <v>Ships</v>
      </c>
      <c r="E2808" t="s">
        <v>376</v>
      </c>
      <c r="F2808" s="5">
        <v>2682.96</v>
      </c>
      <c r="G2808" s="5">
        <v>536.59199999999998</v>
      </c>
      <c r="I2808" t="str">
        <f t="shared" si="218"/>
        <v>Low Sales</v>
      </c>
      <c r="J2808" t="str">
        <f t="shared" si="219"/>
        <v>Average Performance</v>
      </c>
      <c r="K2808">
        <f t="shared" si="220"/>
        <v>2004</v>
      </c>
      <c r="L2808" t="str">
        <f t="shared" si="221"/>
        <v>January</v>
      </c>
    </row>
    <row r="2809" spans="1:12" x14ac:dyDescent="0.25">
      <c r="A2809" t="s">
        <v>78</v>
      </c>
      <c r="C2809" t="s">
        <v>266</v>
      </c>
      <c r="D2809" t="str">
        <f t="shared" si="222"/>
        <v>Ships</v>
      </c>
      <c r="E2809" t="s">
        <v>376</v>
      </c>
      <c r="F2809" s="5">
        <v>2280.2399999999998</v>
      </c>
      <c r="G2809" s="5">
        <v>456.048</v>
      </c>
      <c r="I2809" t="str">
        <f t="shared" si="218"/>
        <v>Low Sales</v>
      </c>
      <c r="J2809" t="str">
        <f t="shared" si="219"/>
        <v>Average Performance</v>
      </c>
      <c r="K2809">
        <f t="shared" si="220"/>
        <v>2004</v>
      </c>
      <c r="L2809" t="str">
        <f t="shared" si="221"/>
        <v>February</v>
      </c>
    </row>
    <row r="2810" spans="1:12" x14ac:dyDescent="0.25">
      <c r="A2810" t="s">
        <v>227</v>
      </c>
      <c r="B2810" t="s">
        <v>258</v>
      </c>
      <c r="C2810" t="s">
        <v>266</v>
      </c>
      <c r="D2810" t="str">
        <f t="shared" si="222"/>
        <v>Ships</v>
      </c>
      <c r="E2810" t="s">
        <v>376</v>
      </c>
      <c r="F2810" s="5">
        <v>1192.56</v>
      </c>
      <c r="G2810" s="5">
        <v>238.512</v>
      </c>
      <c r="I2810" t="str">
        <f t="shared" si="218"/>
        <v>Low Sales</v>
      </c>
      <c r="J2810" t="str">
        <f t="shared" si="219"/>
        <v>Average Performance</v>
      </c>
      <c r="K2810">
        <f t="shared" si="220"/>
        <v>2004</v>
      </c>
      <c r="L2810" t="str">
        <f t="shared" si="221"/>
        <v>March</v>
      </c>
    </row>
    <row r="2811" spans="1:12" x14ac:dyDescent="0.25">
      <c r="A2811" t="s">
        <v>79</v>
      </c>
      <c r="C2811" t="s">
        <v>266</v>
      </c>
      <c r="D2811" t="str">
        <f t="shared" si="222"/>
        <v>Ships</v>
      </c>
      <c r="E2811" t="s">
        <v>376</v>
      </c>
      <c r="F2811" s="5">
        <v>1506.96</v>
      </c>
      <c r="G2811" s="5">
        <v>301.392</v>
      </c>
      <c r="I2811" t="str">
        <f t="shared" si="218"/>
        <v>Low Sales</v>
      </c>
      <c r="J2811" t="str">
        <f t="shared" si="219"/>
        <v>Average Performance</v>
      </c>
      <c r="K2811">
        <f t="shared" si="220"/>
        <v>2004</v>
      </c>
      <c r="L2811" t="str">
        <f t="shared" si="221"/>
        <v>May</v>
      </c>
    </row>
    <row r="2812" spans="1:12" x14ac:dyDescent="0.25">
      <c r="A2812" t="s">
        <v>80</v>
      </c>
      <c r="C2812" t="s">
        <v>266</v>
      </c>
      <c r="D2812" t="str">
        <f t="shared" si="222"/>
        <v>Ships</v>
      </c>
      <c r="E2812" t="s">
        <v>376</v>
      </c>
      <c r="F2812" s="5">
        <v>1472.62</v>
      </c>
      <c r="G2812" s="5">
        <v>294.524</v>
      </c>
      <c r="I2812" t="str">
        <f t="shared" si="218"/>
        <v>Low Sales</v>
      </c>
      <c r="J2812" t="str">
        <f t="shared" si="219"/>
        <v>Average Performance</v>
      </c>
      <c r="K2812">
        <f t="shared" si="220"/>
        <v>2004</v>
      </c>
      <c r="L2812" t="str">
        <f t="shared" si="221"/>
        <v>June</v>
      </c>
    </row>
    <row r="2813" spans="1:12" x14ac:dyDescent="0.25">
      <c r="A2813" t="s">
        <v>81</v>
      </c>
      <c r="B2813" t="s">
        <v>258</v>
      </c>
      <c r="C2813" t="s">
        <v>266</v>
      </c>
      <c r="D2813" t="str">
        <f t="shared" si="222"/>
        <v>Ships</v>
      </c>
      <c r="E2813" t="s">
        <v>376</v>
      </c>
      <c r="F2813" s="5">
        <v>1696.82</v>
      </c>
      <c r="G2813" s="5">
        <v>339.36399999999998</v>
      </c>
      <c r="I2813" t="str">
        <f t="shared" si="218"/>
        <v>Low Sales</v>
      </c>
      <c r="J2813" t="str">
        <f t="shared" si="219"/>
        <v>Average Performance</v>
      </c>
      <c r="K2813">
        <f t="shared" si="220"/>
        <v>2004</v>
      </c>
      <c r="L2813" t="str">
        <f t="shared" si="221"/>
        <v>July</v>
      </c>
    </row>
    <row r="2814" spans="1:12" x14ac:dyDescent="0.25">
      <c r="A2814" t="s">
        <v>82</v>
      </c>
      <c r="C2814" t="s">
        <v>266</v>
      </c>
      <c r="D2814" t="str">
        <f t="shared" si="222"/>
        <v>Ships</v>
      </c>
      <c r="E2814" t="s">
        <v>376</v>
      </c>
      <c r="F2814" s="5">
        <v>1693.56</v>
      </c>
      <c r="G2814" s="5">
        <v>338.71199999999999</v>
      </c>
      <c r="I2814" t="str">
        <f t="shared" si="218"/>
        <v>Low Sales</v>
      </c>
      <c r="J2814" t="str">
        <f t="shared" si="219"/>
        <v>Average Performance</v>
      </c>
      <c r="K2814">
        <f t="shared" si="220"/>
        <v>2004</v>
      </c>
      <c r="L2814" t="str">
        <f t="shared" si="221"/>
        <v>August</v>
      </c>
    </row>
    <row r="2815" spans="1:12" x14ac:dyDescent="0.25">
      <c r="A2815" t="s">
        <v>133</v>
      </c>
      <c r="B2815" t="s">
        <v>258</v>
      </c>
      <c r="C2815" t="s">
        <v>266</v>
      </c>
      <c r="D2815" t="str">
        <f t="shared" si="222"/>
        <v>Ships</v>
      </c>
      <c r="E2815" t="s">
        <v>376</v>
      </c>
      <c r="F2815" s="5">
        <v>1921.92</v>
      </c>
      <c r="G2815" s="5">
        <v>384.38400000000001</v>
      </c>
      <c r="I2815" t="str">
        <f t="shared" si="218"/>
        <v>Low Sales</v>
      </c>
      <c r="J2815" t="str">
        <f t="shared" si="219"/>
        <v>Average Performance</v>
      </c>
      <c r="K2815">
        <f t="shared" si="220"/>
        <v>2004</v>
      </c>
      <c r="L2815" t="str">
        <f t="shared" si="221"/>
        <v>September</v>
      </c>
    </row>
    <row r="2816" spans="1:12" x14ac:dyDescent="0.25">
      <c r="A2816" t="s">
        <v>84</v>
      </c>
      <c r="B2816" t="s">
        <v>258</v>
      </c>
      <c r="C2816" t="s">
        <v>266</v>
      </c>
      <c r="D2816" t="str">
        <f t="shared" si="222"/>
        <v>Ships</v>
      </c>
      <c r="E2816" t="s">
        <v>376</v>
      </c>
      <c r="F2816" s="5">
        <v>2082.85</v>
      </c>
      <c r="G2816" s="5">
        <v>416.57</v>
      </c>
      <c r="I2816" t="str">
        <f t="shared" si="218"/>
        <v>Low Sales</v>
      </c>
      <c r="J2816" t="str">
        <f t="shared" si="219"/>
        <v>Average Performance</v>
      </c>
      <c r="K2816">
        <f t="shared" si="220"/>
        <v>2004</v>
      </c>
      <c r="L2816" t="str">
        <f t="shared" si="221"/>
        <v>October</v>
      </c>
    </row>
    <row r="2817" spans="1:12" x14ac:dyDescent="0.25">
      <c r="A2817" t="s">
        <v>243</v>
      </c>
      <c r="B2817" t="s">
        <v>258</v>
      </c>
      <c r="C2817" t="s">
        <v>266</v>
      </c>
      <c r="D2817" t="str">
        <f t="shared" si="222"/>
        <v>Ships</v>
      </c>
      <c r="E2817" t="s">
        <v>376</v>
      </c>
      <c r="F2817" s="5">
        <v>2227.6</v>
      </c>
      <c r="G2817" s="5">
        <v>445.52</v>
      </c>
      <c r="I2817" t="str">
        <f t="shared" si="218"/>
        <v>Low Sales</v>
      </c>
      <c r="J2817" t="str">
        <f t="shared" si="219"/>
        <v>Average Performance</v>
      </c>
      <c r="K2817">
        <f t="shared" si="220"/>
        <v>2004</v>
      </c>
      <c r="L2817" t="str">
        <f t="shared" si="221"/>
        <v>October</v>
      </c>
    </row>
    <row r="2818" spans="1:12" x14ac:dyDescent="0.25">
      <c r="A2818" t="s">
        <v>199</v>
      </c>
      <c r="B2818" t="s">
        <v>258</v>
      </c>
      <c r="C2818" t="s">
        <v>266</v>
      </c>
      <c r="D2818" t="str">
        <f t="shared" si="222"/>
        <v>Ships</v>
      </c>
      <c r="E2818" t="s">
        <v>376</v>
      </c>
      <c r="F2818" s="5">
        <v>3209.38</v>
      </c>
      <c r="G2818" s="5">
        <v>641.87600000000009</v>
      </c>
      <c r="I2818" t="str">
        <f t="shared" si="218"/>
        <v>Low Sales</v>
      </c>
      <c r="J2818" t="str">
        <f t="shared" si="219"/>
        <v>Average Performance</v>
      </c>
      <c r="K2818">
        <f t="shared" si="220"/>
        <v>2004</v>
      </c>
      <c r="L2818" t="str">
        <f t="shared" si="221"/>
        <v>November</v>
      </c>
    </row>
    <row r="2819" spans="1:12" x14ac:dyDescent="0.25">
      <c r="A2819" t="s">
        <v>87</v>
      </c>
      <c r="C2819" t="s">
        <v>266</v>
      </c>
      <c r="D2819" t="str">
        <f t="shared" si="222"/>
        <v>Ships</v>
      </c>
      <c r="E2819" t="s">
        <v>376</v>
      </c>
      <c r="F2819" s="5">
        <v>4080.72</v>
      </c>
      <c r="G2819" s="5">
        <v>816.14400000000001</v>
      </c>
      <c r="I2819" t="str">
        <f t="shared" ref="I2819:I2824" si="223">IF(F2819&gt;50000,"High Sales","Low Sales")</f>
        <v>Low Sales</v>
      </c>
      <c r="J2819" t="str">
        <f t="shared" ref="J2819:J2824" si="224">IF(AND(F2819&gt;30000,G2819&gt;5000),"Good Performance","Average Performance")</f>
        <v>Average Performance</v>
      </c>
      <c r="K2819">
        <f t="shared" ref="K2819:K2822" si="225">YEAR(A2819)</f>
        <v>2004</v>
      </c>
      <c r="L2819" t="str">
        <f t="shared" ref="L2819:L2824" si="226">TEXT(A2819,"mmmm")</f>
        <v>November</v>
      </c>
    </row>
    <row r="2820" spans="1:12" x14ac:dyDescent="0.25">
      <c r="A2820" t="s">
        <v>88</v>
      </c>
      <c r="B2820" t="s">
        <v>258</v>
      </c>
      <c r="C2820" t="s">
        <v>266</v>
      </c>
      <c r="D2820" t="str">
        <f t="shared" si="222"/>
        <v>Ships</v>
      </c>
      <c r="E2820" t="s">
        <v>376</v>
      </c>
      <c r="F2820" s="5">
        <v>2244.4</v>
      </c>
      <c r="G2820" s="5">
        <v>448.88000000000011</v>
      </c>
      <c r="I2820" t="str">
        <f t="shared" si="223"/>
        <v>Low Sales</v>
      </c>
      <c r="J2820" t="str">
        <f t="shared" si="224"/>
        <v>Average Performance</v>
      </c>
      <c r="K2820">
        <f t="shared" si="225"/>
        <v>2004</v>
      </c>
      <c r="L2820" t="str">
        <f t="shared" si="226"/>
        <v>December</v>
      </c>
    </row>
    <row r="2821" spans="1:12" x14ac:dyDescent="0.25">
      <c r="A2821" t="s">
        <v>90</v>
      </c>
      <c r="B2821" t="s">
        <v>258</v>
      </c>
      <c r="C2821" t="s">
        <v>266</v>
      </c>
      <c r="D2821" t="str">
        <f t="shared" si="222"/>
        <v>Ships</v>
      </c>
      <c r="E2821" t="s">
        <v>376</v>
      </c>
      <c r="F2821" s="5">
        <v>3978.51</v>
      </c>
      <c r="G2821" s="5">
        <v>795.70200000000011</v>
      </c>
      <c r="I2821" t="str">
        <f t="shared" si="223"/>
        <v>Low Sales</v>
      </c>
      <c r="J2821" t="str">
        <f t="shared" si="224"/>
        <v>Average Performance</v>
      </c>
      <c r="K2821">
        <f t="shared" si="225"/>
        <v>2005</v>
      </c>
      <c r="L2821" t="str">
        <f t="shared" si="226"/>
        <v>January</v>
      </c>
    </row>
    <row r="2822" spans="1:12" x14ac:dyDescent="0.25">
      <c r="A2822" t="s">
        <v>202</v>
      </c>
      <c r="B2822" t="s">
        <v>258</v>
      </c>
      <c r="C2822" t="s">
        <v>266</v>
      </c>
      <c r="D2822" t="str">
        <f t="shared" si="222"/>
        <v>Ships</v>
      </c>
      <c r="E2822" t="s">
        <v>376</v>
      </c>
      <c r="F2822" s="5">
        <v>5417.57</v>
      </c>
      <c r="G2822" s="5">
        <v>1083.5139999999999</v>
      </c>
      <c r="I2822" t="str">
        <f t="shared" si="223"/>
        <v>Low Sales</v>
      </c>
      <c r="J2822" t="str">
        <f t="shared" si="224"/>
        <v>Average Performance</v>
      </c>
      <c r="K2822">
        <f t="shared" si="225"/>
        <v>2005</v>
      </c>
      <c r="L2822" t="str">
        <f t="shared" si="226"/>
        <v>March</v>
      </c>
    </row>
    <row r="2823" spans="1:12" x14ac:dyDescent="0.25">
      <c r="A2823" t="s">
        <v>256</v>
      </c>
      <c r="B2823" t="s">
        <v>258</v>
      </c>
      <c r="C2823" t="s">
        <v>266</v>
      </c>
      <c r="D2823" t="str">
        <f>PROPER(TRIM(C2823))</f>
        <v>Ships</v>
      </c>
      <c r="E2823" t="s">
        <v>376</v>
      </c>
      <c r="F2823" s="5">
        <v>2116.16</v>
      </c>
      <c r="G2823" s="5">
        <v>423.23200000000003</v>
      </c>
      <c r="I2823" t="str">
        <f t="shared" si="223"/>
        <v>Low Sales</v>
      </c>
      <c r="J2823" t="str">
        <f t="shared" si="224"/>
        <v>Average Performance</v>
      </c>
      <c r="K2823">
        <f>YEAR(A2823)</f>
        <v>2005</v>
      </c>
      <c r="L2823" t="str">
        <f t="shared" si="226"/>
        <v>March</v>
      </c>
    </row>
    <row r="2824" spans="1:12" x14ac:dyDescent="0.25">
      <c r="A2824" t="s">
        <v>94</v>
      </c>
      <c r="C2824" t="s">
        <v>266</v>
      </c>
      <c r="D2824" t="str">
        <f t="shared" ref="D2824" si="227">PROPER(TRIM(C2824))</f>
        <v>Ships</v>
      </c>
      <c r="E2824" t="s">
        <v>376</v>
      </c>
      <c r="F2824" s="5">
        <v>3079.44</v>
      </c>
      <c r="G2824" s="5">
        <v>615.88800000000003</v>
      </c>
      <c r="I2824" t="str">
        <f t="shared" si="223"/>
        <v>Low Sales</v>
      </c>
      <c r="J2824" t="str">
        <f t="shared" si="224"/>
        <v>Average Performance</v>
      </c>
      <c r="K2824">
        <f t="shared" ref="K2824" si="228">YEAR(A2824)</f>
        <v>2005</v>
      </c>
      <c r="L2824" t="str">
        <f t="shared" si="226"/>
        <v>May</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D9" sqref="D9"/>
    </sheetView>
  </sheetViews>
  <sheetFormatPr defaultRowHeight="15" x14ac:dyDescent="0.25"/>
  <cols>
    <col min="1" max="1" width="27.5703125" customWidth="1"/>
    <col min="2" max="2" width="13.5703125" customWidth="1"/>
  </cols>
  <sheetData>
    <row r="1" spans="1:2" ht="26.25" x14ac:dyDescent="0.4">
      <c r="A1" s="3" t="s">
        <v>377</v>
      </c>
      <c r="B1" s="3" t="s">
        <v>378</v>
      </c>
    </row>
    <row r="2" spans="1:2" x14ac:dyDescent="0.25">
      <c r="A2" s="2" t="s">
        <v>379</v>
      </c>
      <c r="B2">
        <f>SUM([1]Sheet1!E:E)</f>
        <v>10032628.850000011</v>
      </c>
    </row>
    <row r="3" spans="1:2" x14ac:dyDescent="0.25">
      <c r="A3" s="2" t="s">
        <v>380</v>
      </c>
      <c r="B3">
        <f>AVERAGE([2]Sheet1!E:E)</f>
        <v>3553.8890719093201</v>
      </c>
    </row>
    <row r="4" spans="1:2" x14ac:dyDescent="0.25">
      <c r="A4" s="2" t="s">
        <v>381</v>
      </c>
      <c r="B4">
        <f>MAX([2]Sheet1!E:E)</f>
        <v>14082.8</v>
      </c>
    </row>
    <row r="5" spans="1:2" x14ac:dyDescent="0.25">
      <c r="A5" s="2" t="s">
        <v>382</v>
      </c>
      <c r="B5">
        <f>MIN([2]Sheet1!E:E)</f>
        <v>482.13</v>
      </c>
    </row>
    <row r="6" spans="1:2" x14ac:dyDescent="0.25">
      <c r="A6" s="2" t="s">
        <v>383</v>
      </c>
      <c r="B6">
        <f>COUNT([2]Sheet1!E:E)</f>
        <v>2823</v>
      </c>
    </row>
    <row r="7" spans="1:2" x14ac:dyDescent="0.25">
      <c r="A7" s="2" t="s">
        <v>384</v>
      </c>
      <c r="B7">
        <f>COUNTA([2]Sheet1!A:A)</f>
        <v>2824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824"/>
  <sheetViews>
    <sheetView workbookViewId="0">
      <selection activeCell="C1" sqref="C1"/>
    </sheetView>
  </sheetViews>
  <sheetFormatPr defaultRowHeight="15" x14ac:dyDescent="0.25"/>
  <cols>
    <col min="1" max="1" width="16.5703125" customWidth="1"/>
    <col min="2" max="2" width="23.140625" customWidth="1"/>
    <col min="3" max="3" width="20.140625" customWidth="1"/>
  </cols>
  <sheetData>
    <row r="1" spans="1:5" x14ac:dyDescent="0.25">
      <c r="A1" s="1" t="s">
        <v>3</v>
      </c>
      <c r="B1" s="1" t="s">
        <v>2</v>
      </c>
      <c r="C1" s="2" t="s">
        <v>388</v>
      </c>
      <c r="D1" s="2"/>
      <c r="E1" s="2"/>
    </row>
    <row r="2" spans="1:5" x14ac:dyDescent="0.25">
      <c r="A2" t="s">
        <v>268</v>
      </c>
      <c r="B2" t="s">
        <v>261</v>
      </c>
      <c r="C2" t="e">
        <f ca="1">XLOOKUP(A,Lookup_Table!A:A,Lookup_Table!B:B)</f>
        <v>#NAME?</v>
      </c>
    </row>
    <row r="3" spans="1:5" x14ac:dyDescent="0.25">
      <c r="A3" t="s">
        <v>268</v>
      </c>
      <c r="B3" t="s">
        <v>261</v>
      </c>
    </row>
    <row r="4" spans="1:5" x14ac:dyDescent="0.25">
      <c r="A4" t="s">
        <v>268</v>
      </c>
      <c r="B4" t="s">
        <v>261</v>
      </c>
    </row>
    <row r="5" spans="1:5" x14ac:dyDescent="0.25">
      <c r="A5" t="s">
        <v>268</v>
      </c>
      <c r="B5" t="s">
        <v>261</v>
      </c>
    </row>
    <row r="6" spans="1:5" x14ac:dyDescent="0.25">
      <c r="A6" t="s">
        <v>268</v>
      </c>
      <c r="B6" t="s">
        <v>261</v>
      </c>
    </row>
    <row r="7" spans="1:5" x14ac:dyDescent="0.25">
      <c r="A7" t="s">
        <v>268</v>
      </c>
      <c r="B7" t="s">
        <v>261</v>
      </c>
    </row>
    <row r="8" spans="1:5" x14ac:dyDescent="0.25">
      <c r="A8" t="s">
        <v>268</v>
      </c>
      <c r="B8" t="s">
        <v>261</v>
      </c>
    </row>
    <row r="9" spans="1:5" x14ac:dyDescent="0.25">
      <c r="A9" t="s">
        <v>268</v>
      </c>
      <c r="B9" t="s">
        <v>261</v>
      </c>
    </row>
    <row r="10" spans="1:5" x14ac:dyDescent="0.25">
      <c r="A10" t="s">
        <v>268</v>
      </c>
      <c r="B10" t="s">
        <v>261</v>
      </c>
    </row>
    <row r="11" spans="1:5" x14ac:dyDescent="0.25">
      <c r="A11" t="s">
        <v>268</v>
      </c>
      <c r="B11" t="s">
        <v>261</v>
      </c>
    </row>
    <row r="12" spans="1:5" x14ac:dyDescent="0.25">
      <c r="A12" t="s">
        <v>268</v>
      </c>
      <c r="B12" t="s">
        <v>261</v>
      </c>
    </row>
    <row r="13" spans="1:5" x14ac:dyDescent="0.25">
      <c r="A13" t="s">
        <v>268</v>
      </c>
      <c r="B13" t="s">
        <v>261</v>
      </c>
    </row>
    <row r="14" spans="1:5" x14ac:dyDescent="0.25">
      <c r="A14" t="s">
        <v>268</v>
      </c>
      <c r="B14" t="s">
        <v>261</v>
      </c>
    </row>
    <row r="15" spans="1:5" x14ac:dyDescent="0.25">
      <c r="A15" t="s">
        <v>268</v>
      </c>
      <c r="B15" t="s">
        <v>261</v>
      </c>
    </row>
    <row r="16" spans="1:5" x14ac:dyDescent="0.25">
      <c r="A16" t="s">
        <v>268</v>
      </c>
      <c r="B16" t="s">
        <v>261</v>
      </c>
    </row>
    <row r="17" spans="1:2" x14ac:dyDescent="0.25">
      <c r="A17" t="s">
        <v>268</v>
      </c>
      <c r="B17" t="s">
        <v>261</v>
      </c>
    </row>
    <row r="18" spans="1:2" x14ac:dyDescent="0.25">
      <c r="A18" t="s">
        <v>268</v>
      </c>
      <c r="B18" t="s">
        <v>261</v>
      </c>
    </row>
    <row r="19" spans="1:2" x14ac:dyDescent="0.25">
      <c r="A19" t="s">
        <v>268</v>
      </c>
      <c r="B19" t="s">
        <v>261</v>
      </c>
    </row>
    <row r="20" spans="1:2" x14ac:dyDescent="0.25">
      <c r="A20" t="s">
        <v>268</v>
      </c>
      <c r="B20" t="s">
        <v>261</v>
      </c>
    </row>
    <row r="21" spans="1:2" x14ac:dyDescent="0.25">
      <c r="A21" t="s">
        <v>268</v>
      </c>
      <c r="B21" t="s">
        <v>261</v>
      </c>
    </row>
    <row r="22" spans="1:2" x14ac:dyDescent="0.25">
      <c r="A22" t="s">
        <v>268</v>
      </c>
      <c r="B22" t="s">
        <v>261</v>
      </c>
    </row>
    <row r="23" spans="1:2" x14ac:dyDescent="0.25">
      <c r="A23" t="s">
        <v>268</v>
      </c>
      <c r="B23" t="s">
        <v>261</v>
      </c>
    </row>
    <row r="24" spans="1:2" x14ac:dyDescent="0.25">
      <c r="A24" t="s">
        <v>268</v>
      </c>
      <c r="B24" t="s">
        <v>261</v>
      </c>
    </row>
    <row r="25" spans="1:2" x14ac:dyDescent="0.25">
      <c r="A25" t="s">
        <v>268</v>
      </c>
      <c r="B25" t="s">
        <v>261</v>
      </c>
    </row>
    <row r="26" spans="1:2" x14ac:dyDescent="0.25">
      <c r="A26" t="s">
        <v>268</v>
      </c>
      <c r="B26" t="s">
        <v>261</v>
      </c>
    </row>
    <row r="27" spans="1:2" x14ac:dyDescent="0.25">
      <c r="A27" t="s">
        <v>268</v>
      </c>
      <c r="B27" t="s">
        <v>261</v>
      </c>
    </row>
    <row r="28" spans="1:2" x14ac:dyDescent="0.25">
      <c r="A28" t="s">
        <v>269</v>
      </c>
      <c r="B28" t="s">
        <v>262</v>
      </c>
    </row>
    <row r="29" spans="1:2" x14ac:dyDescent="0.25">
      <c r="A29" t="s">
        <v>269</v>
      </c>
      <c r="B29" t="s">
        <v>262</v>
      </c>
    </row>
    <row r="30" spans="1:2" x14ac:dyDescent="0.25">
      <c r="A30" t="s">
        <v>269</v>
      </c>
      <c r="B30" t="s">
        <v>262</v>
      </c>
    </row>
    <row r="31" spans="1:2" x14ac:dyDescent="0.25">
      <c r="A31" t="s">
        <v>269</v>
      </c>
      <c r="B31" t="s">
        <v>262</v>
      </c>
    </row>
    <row r="32" spans="1:2" x14ac:dyDescent="0.25">
      <c r="A32" t="s">
        <v>269</v>
      </c>
      <c r="B32" t="s">
        <v>262</v>
      </c>
    </row>
    <row r="33" spans="1:2" x14ac:dyDescent="0.25">
      <c r="A33" t="s">
        <v>269</v>
      </c>
      <c r="B33" t="s">
        <v>262</v>
      </c>
    </row>
    <row r="34" spans="1:2" x14ac:dyDescent="0.25">
      <c r="A34" t="s">
        <v>269</v>
      </c>
      <c r="B34" t="s">
        <v>262</v>
      </c>
    </row>
    <row r="35" spans="1:2" x14ac:dyDescent="0.25">
      <c r="A35" t="s">
        <v>269</v>
      </c>
      <c r="B35" t="s">
        <v>262</v>
      </c>
    </row>
    <row r="36" spans="1:2" x14ac:dyDescent="0.25">
      <c r="A36" t="s">
        <v>269</v>
      </c>
      <c r="B36" t="s">
        <v>262</v>
      </c>
    </row>
    <row r="37" spans="1:2" x14ac:dyDescent="0.25">
      <c r="A37" t="s">
        <v>269</v>
      </c>
      <c r="B37" t="s">
        <v>262</v>
      </c>
    </row>
    <row r="38" spans="1:2" x14ac:dyDescent="0.25">
      <c r="A38" t="s">
        <v>269</v>
      </c>
      <c r="B38" t="s">
        <v>262</v>
      </c>
    </row>
    <row r="39" spans="1:2" x14ac:dyDescent="0.25">
      <c r="A39" t="s">
        <v>269</v>
      </c>
      <c r="B39" t="s">
        <v>262</v>
      </c>
    </row>
    <row r="40" spans="1:2" x14ac:dyDescent="0.25">
      <c r="A40" t="s">
        <v>269</v>
      </c>
      <c r="B40" t="s">
        <v>262</v>
      </c>
    </row>
    <row r="41" spans="1:2" x14ac:dyDescent="0.25">
      <c r="A41" t="s">
        <v>269</v>
      </c>
      <c r="B41" t="s">
        <v>262</v>
      </c>
    </row>
    <row r="42" spans="1:2" x14ac:dyDescent="0.25">
      <c r="A42" t="s">
        <v>269</v>
      </c>
      <c r="B42" t="s">
        <v>262</v>
      </c>
    </row>
    <row r="43" spans="1:2" x14ac:dyDescent="0.25">
      <c r="A43" t="s">
        <v>269</v>
      </c>
      <c r="B43" t="s">
        <v>262</v>
      </c>
    </row>
    <row r="44" spans="1:2" x14ac:dyDescent="0.25">
      <c r="A44" t="s">
        <v>269</v>
      </c>
      <c r="B44" t="s">
        <v>262</v>
      </c>
    </row>
    <row r="45" spans="1:2" x14ac:dyDescent="0.25">
      <c r="A45" t="s">
        <v>269</v>
      </c>
      <c r="B45" t="s">
        <v>262</v>
      </c>
    </row>
    <row r="46" spans="1:2" x14ac:dyDescent="0.25">
      <c r="A46" t="s">
        <v>269</v>
      </c>
      <c r="B46" t="s">
        <v>262</v>
      </c>
    </row>
    <row r="47" spans="1:2" x14ac:dyDescent="0.25">
      <c r="A47" t="s">
        <v>269</v>
      </c>
      <c r="B47" t="s">
        <v>262</v>
      </c>
    </row>
    <row r="48" spans="1:2" x14ac:dyDescent="0.25">
      <c r="A48" t="s">
        <v>269</v>
      </c>
      <c r="B48" t="s">
        <v>262</v>
      </c>
    </row>
    <row r="49" spans="1:2" x14ac:dyDescent="0.25">
      <c r="A49" t="s">
        <v>269</v>
      </c>
      <c r="B49" t="s">
        <v>262</v>
      </c>
    </row>
    <row r="50" spans="1:2" x14ac:dyDescent="0.25">
      <c r="A50" t="s">
        <v>269</v>
      </c>
      <c r="B50" t="s">
        <v>262</v>
      </c>
    </row>
    <row r="51" spans="1:2" x14ac:dyDescent="0.25">
      <c r="A51" t="s">
        <v>269</v>
      </c>
      <c r="B51" t="s">
        <v>262</v>
      </c>
    </row>
    <row r="52" spans="1:2" x14ac:dyDescent="0.25">
      <c r="A52" t="s">
        <v>269</v>
      </c>
      <c r="B52" t="s">
        <v>262</v>
      </c>
    </row>
    <row r="53" spans="1:2" x14ac:dyDescent="0.25">
      <c r="A53" t="s">
        <v>269</v>
      </c>
      <c r="B53" t="s">
        <v>262</v>
      </c>
    </row>
    <row r="54" spans="1:2" x14ac:dyDescent="0.25">
      <c r="A54" t="s">
        <v>269</v>
      </c>
      <c r="B54" t="s">
        <v>262</v>
      </c>
    </row>
    <row r="55" spans="1:2" x14ac:dyDescent="0.25">
      <c r="A55" t="s">
        <v>269</v>
      </c>
      <c r="B55" t="s">
        <v>262</v>
      </c>
    </row>
    <row r="56" spans="1:2" x14ac:dyDescent="0.25">
      <c r="A56" t="s">
        <v>270</v>
      </c>
      <c r="B56" t="s">
        <v>261</v>
      </c>
    </row>
    <row r="57" spans="1:2" x14ac:dyDescent="0.25">
      <c r="A57" t="s">
        <v>270</v>
      </c>
      <c r="B57" t="s">
        <v>261</v>
      </c>
    </row>
    <row r="58" spans="1:2" x14ac:dyDescent="0.25">
      <c r="A58" t="s">
        <v>270</v>
      </c>
      <c r="B58" t="s">
        <v>261</v>
      </c>
    </row>
    <row r="59" spans="1:2" x14ac:dyDescent="0.25">
      <c r="A59" t="s">
        <v>270</v>
      </c>
      <c r="B59" t="s">
        <v>261</v>
      </c>
    </row>
    <row r="60" spans="1:2" x14ac:dyDescent="0.25">
      <c r="A60" t="s">
        <v>270</v>
      </c>
      <c r="B60" t="s">
        <v>261</v>
      </c>
    </row>
    <row r="61" spans="1:2" x14ac:dyDescent="0.25">
      <c r="A61" t="s">
        <v>270</v>
      </c>
      <c r="B61" t="s">
        <v>261</v>
      </c>
    </row>
    <row r="62" spans="1:2" x14ac:dyDescent="0.25">
      <c r="A62" t="s">
        <v>270</v>
      </c>
      <c r="B62" t="s">
        <v>261</v>
      </c>
    </row>
    <row r="63" spans="1:2" x14ac:dyDescent="0.25">
      <c r="A63" t="s">
        <v>270</v>
      </c>
      <c r="B63" t="s">
        <v>261</v>
      </c>
    </row>
    <row r="64" spans="1:2" x14ac:dyDescent="0.25">
      <c r="A64" t="s">
        <v>270</v>
      </c>
      <c r="B64" t="s">
        <v>261</v>
      </c>
    </row>
    <row r="65" spans="1:2" x14ac:dyDescent="0.25">
      <c r="A65" t="s">
        <v>270</v>
      </c>
      <c r="B65" t="s">
        <v>261</v>
      </c>
    </row>
    <row r="66" spans="1:2" x14ac:dyDescent="0.25">
      <c r="A66" t="s">
        <v>270</v>
      </c>
      <c r="B66" t="s">
        <v>261</v>
      </c>
    </row>
    <row r="67" spans="1:2" x14ac:dyDescent="0.25">
      <c r="A67" t="s">
        <v>270</v>
      </c>
      <c r="B67" t="s">
        <v>261</v>
      </c>
    </row>
    <row r="68" spans="1:2" x14ac:dyDescent="0.25">
      <c r="A68" t="s">
        <v>270</v>
      </c>
      <c r="B68" t="s">
        <v>261</v>
      </c>
    </row>
    <row r="69" spans="1:2" x14ac:dyDescent="0.25">
      <c r="A69" t="s">
        <v>270</v>
      </c>
      <c r="B69" t="s">
        <v>261</v>
      </c>
    </row>
    <row r="70" spans="1:2" x14ac:dyDescent="0.25">
      <c r="A70" t="s">
        <v>270</v>
      </c>
      <c r="B70" t="s">
        <v>261</v>
      </c>
    </row>
    <row r="71" spans="1:2" x14ac:dyDescent="0.25">
      <c r="A71" t="s">
        <v>270</v>
      </c>
      <c r="B71" t="s">
        <v>261</v>
      </c>
    </row>
    <row r="72" spans="1:2" x14ac:dyDescent="0.25">
      <c r="A72" t="s">
        <v>270</v>
      </c>
      <c r="B72" t="s">
        <v>261</v>
      </c>
    </row>
    <row r="73" spans="1:2" x14ac:dyDescent="0.25">
      <c r="A73" t="s">
        <v>270</v>
      </c>
      <c r="B73" t="s">
        <v>261</v>
      </c>
    </row>
    <row r="74" spans="1:2" x14ac:dyDescent="0.25">
      <c r="A74" t="s">
        <v>270</v>
      </c>
      <c r="B74" t="s">
        <v>261</v>
      </c>
    </row>
    <row r="75" spans="1:2" x14ac:dyDescent="0.25">
      <c r="A75" t="s">
        <v>270</v>
      </c>
      <c r="B75" t="s">
        <v>261</v>
      </c>
    </row>
    <row r="76" spans="1:2" x14ac:dyDescent="0.25">
      <c r="A76" t="s">
        <v>270</v>
      </c>
      <c r="B76" t="s">
        <v>261</v>
      </c>
    </row>
    <row r="77" spans="1:2" x14ac:dyDescent="0.25">
      <c r="A77" t="s">
        <v>270</v>
      </c>
      <c r="B77" t="s">
        <v>261</v>
      </c>
    </row>
    <row r="78" spans="1:2" x14ac:dyDescent="0.25">
      <c r="A78" t="s">
        <v>270</v>
      </c>
      <c r="B78" t="s">
        <v>261</v>
      </c>
    </row>
    <row r="79" spans="1:2" x14ac:dyDescent="0.25">
      <c r="A79" t="s">
        <v>270</v>
      </c>
      <c r="B79" t="s">
        <v>261</v>
      </c>
    </row>
    <row r="80" spans="1:2" x14ac:dyDescent="0.25">
      <c r="A80" t="s">
        <v>270</v>
      </c>
      <c r="B80" t="s">
        <v>261</v>
      </c>
    </row>
    <row r="81" spans="1:2" x14ac:dyDescent="0.25">
      <c r="A81" t="s">
        <v>270</v>
      </c>
      <c r="B81" t="s">
        <v>261</v>
      </c>
    </row>
    <row r="82" spans="1:2" x14ac:dyDescent="0.25">
      <c r="A82" t="s">
        <v>271</v>
      </c>
      <c r="B82" t="s">
        <v>261</v>
      </c>
    </row>
    <row r="83" spans="1:2" x14ac:dyDescent="0.25">
      <c r="A83" t="s">
        <v>271</v>
      </c>
      <c r="B83" t="s">
        <v>261</v>
      </c>
    </row>
    <row r="84" spans="1:2" x14ac:dyDescent="0.25">
      <c r="A84" t="s">
        <v>271</v>
      </c>
      <c r="B84" t="s">
        <v>261</v>
      </c>
    </row>
    <row r="85" spans="1:2" x14ac:dyDescent="0.25">
      <c r="A85" t="s">
        <v>271</v>
      </c>
      <c r="B85" t="s">
        <v>261</v>
      </c>
    </row>
    <row r="86" spans="1:2" x14ac:dyDescent="0.25">
      <c r="A86" t="s">
        <v>271</v>
      </c>
      <c r="B86" t="s">
        <v>261</v>
      </c>
    </row>
    <row r="87" spans="1:2" x14ac:dyDescent="0.25">
      <c r="A87" t="s">
        <v>271</v>
      </c>
      <c r="B87" t="s">
        <v>261</v>
      </c>
    </row>
    <row r="88" spans="1:2" x14ac:dyDescent="0.25">
      <c r="A88" t="s">
        <v>271</v>
      </c>
      <c r="B88" t="s">
        <v>261</v>
      </c>
    </row>
    <row r="89" spans="1:2" x14ac:dyDescent="0.25">
      <c r="A89" t="s">
        <v>271</v>
      </c>
      <c r="B89" t="s">
        <v>261</v>
      </c>
    </row>
    <row r="90" spans="1:2" x14ac:dyDescent="0.25">
      <c r="A90" t="s">
        <v>271</v>
      </c>
      <c r="B90" t="s">
        <v>261</v>
      </c>
    </row>
    <row r="91" spans="1:2" x14ac:dyDescent="0.25">
      <c r="A91" t="s">
        <v>271</v>
      </c>
      <c r="B91" t="s">
        <v>261</v>
      </c>
    </row>
    <row r="92" spans="1:2" x14ac:dyDescent="0.25">
      <c r="A92" t="s">
        <v>271</v>
      </c>
      <c r="B92" t="s">
        <v>261</v>
      </c>
    </row>
    <row r="93" spans="1:2" x14ac:dyDescent="0.25">
      <c r="A93" t="s">
        <v>271</v>
      </c>
      <c r="B93" t="s">
        <v>261</v>
      </c>
    </row>
    <row r="94" spans="1:2" x14ac:dyDescent="0.25">
      <c r="A94" t="s">
        <v>271</v>
      </c>
      <c r="B94" t="s">
        <v>261</v>
      </c>
    </row>
    <row r="95" spans="1:2" x14ac:dyDescent="0.25">
      <c r="A95" t="s">
        <v>271</v>
      </c>
      <c r="B95" t="s">
        <v>261</v>
      </c>
    </row>
    <row r="96" spans="1:2" x14ac:dyDescent="0.25">
      <c r="A96" t="s">
        <v>271</v>
      </c>
      <c r="B96" t="s">
        <v>261</v>
      </c>
    </row>
    <row r="97" spans="1:2" x14ac:dyDescent="0.25">
      <c r="A97" t="s">
        <v>271</v>
      </c>
      <c r="B97" t="s">
        <v>261</v>
      </c>
    </row>
    <row r="98" spans="1:2" x14ac:dyDescent="0.25">
      <c r="A98" t="s">
        <v>271</v>
      </c>
      <c r="B98" t="s">
        <v>261</v>
      </c>
    </row>
    <row r="99" spans="1:2" x14ac:dyDescent="0.25">
      <c r="A99" t="s">
        <v>271</v>
      </c>
      <c r="B99" t="s">
        <v>261</v>
      </c>
    </row>
    <row r="100" spans="1:2" x14ac:dyDescent="0.25">
      <c r="A100" t="s">
        <v>271</v>
      </c>
      <c r="B100" t="s">
        <v>261</v>
      </c>
    </row>
    <row r="101" spans="1:2" x14ac:dyDescent="0.25">
      <c r="A101" t="s">
        <v>271</v>
      </c>
      <c r="B101" t="s">
        <v>261</v>
      </c>
    </row>
    <row r="102" spans="1:2" x14ac:dyDescent="0.25">
      <c r="A102" t="s">
        <v>271</v>
      </c>
      <c r="B102" t="s">
        <v>261</v>
      </c>
    </row>
    <row r="103" spans="1:2" x14ac:dyDescent="0.25">
      <c r="A103" t="s">
        <v>271</v>
      </c>
      <c r="B103" t="s">
        <v>261</v>
      </c>
    </row>
    <row r="104" spans="1:2" x14ac:dyDescent="0.25">
      <c r="A104" t="s">
        <v>271</v>
      </c>
      <c r="B104" t="s">
        <v>261</v>
      </c>
    </row>
    <row r="105" spans="1:2" x14ac:dyDescent="0.25">
      <c r="A105" t="s">
        <v>271</v>
      </c>
      <c r="B105" t="s">
        <v>261</v>
      </c>
    </row>
    <row r="106" spans="1:2" x14ac:dyDescent="0.25">
      <c r="A106" t="s">
        <v>271</v>
      </c>
      <c r="B106" t="s">
        <v>261</v>
      </c>
    </row>
    <row r="107" spans="1:2" x14ac:dyDescent="0.25">
      <c r="A107" t="s">
        <v>271</v>
      </c>
      <c r="B107" t="s">
        <v>261</v>
      </c>
    </row>
    <row r="108" spans="1:2" x14ac:dyDescent="0.25">
      <c r="A108" t="s">
        <v>272</v>
      </c>
      <c r="B108" t="s">
        <v>262</v>
      </c>
    </row>
    <row r="109" spans="1:2" x14ac:dyDescent="0.25">
      <c r="A109" t="s">
        <v>272</v>
      </c>
      <c r="B109" t="s">
        <v>262</v>
      </c>
    </row>
    <row r="110" spans="1:2" x14ac:dyDescent="0.25">
      <c r="A110" t="s">
        <v>272</v>
      </c>
      <c r="B110" t="s">
        <v>262</v>
      </c>
    </row>
    <row r="111" spans="1:2" x14ac:dyDescent="0.25">
      <c r="A111" t="s">
        <v>272</v>
      </c>
      <c r="B111" t="s">
        <v>262</v>
      </c>
    </row>
    <row r="112" spans="1:2" x14ac:dyDescent="0.25">
      <c r="A112" t="s">
        <v>272</v>
      </c>
      <c r="B112" t="s">
        <v>262</v>
      </c>
    </row>
    <row r="113" spans="1:2" x14ac:dyDescent="0.25">
      <c r="A113" t="s">
        <v>272</v>
      </c>
      <c r="B113" t="s">
        <v>262</v>
      </c>
    </row>
    <row r="114" spans="1:2" x14ac:dyDescent="0.25">
      <c r="A114" t="s">
        <v>272</v>
      </c>
      <c r="B114" t="s">
        <v>262</v>
      </c>
    </row>
    <row r="115" spans="1:2" x14ac:dyDescent="0.25">
      <c r="A115" t="s">
        <v>272</v>
      </c>
      <c r="B115" t="s">
        <v>262</v>
      </c>
    </row>
    <row r="116" spans="1:2" x14ac:dyDescent="0.25">
      <c r="A116" t="s">
        <v>272</v>
      </c>
      <c r="B116" t="s">
        <v>262</v>
      </c>
    </row>
    <row r="117" spans="1:2" x14ac:dyDescent="0.25">
      <c r="A117" t="s">
        <v>272</v>
      </c>
      <c r="B117" t="s">
        <v>262</v>
      </c>
    </row>
    <row r="118" spans="1:2" x14ac:dyDescent="0.25">
      <c r="A118" t="s">
        <v>272</v>
      </c>
      <c r="B118" t="s">
        <v>262</v>
      </c>
    </row>
    <row r="119" spans="1:2" x14ac:dyDescent="0.25">
      <c r="A119" t="s">
        <v>272</v>
      </c>
      <c r="B119" t="s">
        <v>262</v>
      </c>
    </row>
    <row r="120" spans="1:2" x14ac:dyDescent="0.25">
      <c r="A120" t="s">
        <v>272</v>
      </c>
      <c r="B120" t="s">
        <v>262</v>
      </c>
    </row>
    <row r="121" spans="1:2" x14ac:dyDescent="0.25">
      <c r="A121" t="s">
        <v>272</v>
      </c>
      <c r="B121" t="s">
        <v>262</v>
      </c>
    </row>
    <row r="122" spans="1:2" x14ac:dyDescent="0.25">
      <c r="A122" t="s">
        <v>272</v>
      </c>
      <c r="B122" t="s">
        <v>262</v>
      </c>
    </row>
    <row r="123" spans="1:2" x14ac:dyDescent="0.25">
      <c r="A123" t="s">
        <v>272</v>
      </c>
      <c r="B123" t="s">
        <v>262</v>
      </c>
    </row>
    <row r="124" spans="1:2" x14ac:dyDescent="0.25">
      <c r="A124" t="s">
        <v>272</v>
      </c>
      <c r="B124" t="s">
        <v>262</v>
      </c>
    </row>
    <row r="125" spans="1:2" x14ac:dyDescent="0.25">
      <c r="A125" t="s">
        <v>272</v>
      </c>
      <c r="B125" t="s">
        <v>262</v>
      </c>
    </row>
    <row r="126" spans="1:2" x14ac:dyDescent="0.25">
      <c r="A126" t="s">
        <v>272</v>
      </c>
      <c r="B126" t="s">
        <v>262</v>
      </c>
    </row>
    <row r="127" spans="1:2" x14ac:dyDescent="0.25">
      <c r="A127" t="s">
        <v>272</v>
      </c>
      <c r="B127" t="s">
        <v>262</v>
      </c>
    </row>
    <row r="128" spans="1:2" x14ac:dyDescent="0.25">
      <c r="A128" t="s">
        <v>272</v>
      </c>
      <c r="B128" t="s">
        <v>262</v>
      </c>
    </row>
    <row r="129" spans="1:2" x14ac:dyDescent="0.25">
      <c r="A129" t="s">
        <v>272</v>
      </c>
      <c r="B129" t="s">
        <v>262</v>
      </c>
    </row>
    <row r="130" spans="1:2" x14ac:dyDescent="0.25">
      <c r="A130" t="s">
        <v>272</v>
      </c>
      <c r="B130" t="s">
        <v>262</v>
      </c>
    </row>
    <row r="131" spans="1:2" x14ac:dyDescent="0.25">
      <c r="A131" t="s">
        <v>272</v>
      </c>
      <c r="B131" t="s">
        <v>262</v>
      </c>
    </row>
    <row r="132" spans="1:2" x14ac:dyDescent="0.25">
      <c r="A132" t="s">
        <v>272</v>
      </c>
      <c r="B132" t="s">
        <v>262</v>
      </c>
    </row>
    <row r="133" spans="1:2" x14ac:dyDescent="0.25">
      <c r="A133" t="s">
        <v>272</v>
      </c>
      <c r="B133" t="s">
        <v>262</v>
      </c>
    </row>
    <row r="134" spans="1:2" x14ac:dyDescent="0.25">
      <c r="A134" t="s">
        <v>272</v>
      </c>
      <c r="B134" t="s">
        <v>262</v>
      </c>
    </row>
    <row r="135" spans="1:2" x14ac:dyDescent="0.25">
      <c r="A135" t="s">
        <v>273</v>
      </c>
      <c r="B135" t="s">
        <v>262</v>
      </c>
    </row>
    <row r="136" spans="1:2" x14ac:dyDescent="0.25">
      <c r="A136" t="s">
        <v>273</v>
      </c>
      <c r="B136" t="s">
        <v>262</v>
      </c>
    </row>
    <row r="137" spans="1:2" x14ac:dyDescent="0.25">
      <c r="A137" t="s">
        <v>273</v>
      </c>
      <c r="B137" t="s">
        <v>262</v>
      </c>
    </row>
    <row r="138" spans="1:2" x14ac:dyDescent="0.25">
      <c r="A138" t="s">
        <v>273</v>
      </c>
      <c r="B138" t="s">
        <v>262</v>
      </c>
    </row>
    <row r="139" spans="1:2" x14ac:dyDescent="0.25">
      <c r="A139" t="s">
        <v>273</v>
      </c>
      <c r="B139" t="s">
        <v>262</v>
      </c>
    </row>
    <row r="140" spans="1:2" x14ac:dyDescent="0.25">
      <c r="A140" t="s">
        <v>273</v>
      </c>
      <c r="B140" t="s">
        <v>262</v>
      </c>
    </row>
    <row r="141" spans="1:2" x14ac:dyDescent="0.25">
      <c r="A141" t="s">
        <v>273</v>
      </c>
      <c r="B141" t="s">
        <v>262</v>
      </c>
    </row>
    <row r="142" spans="1:2" x14ac:dyDescent="0.25">
      <c r="A142" t="s">
        <v>273</v>
      </c>
      <c r="B142" t="s">
        <v>262</v>
      </c>
    </row>
    <row r="143" spans="1:2" x14ac:dyDescent="0.25">
      <c r="A143" t="s">
        <v>273</v>
      </c>
      <c r="B143" t="s">
        <v>262</v>
      </c>
    </row>
    <row r="144" spans="1:2" x14ac:dyDescent="0.25">
      <c r="A144" t="s">
        <v>273</v>
      </c>
      <c r="B144" t="s">
        <v>262</v>
      </c>
    </row>
    <row r="145" spans="1:2" x14ac:dyDescent="0.25">
      <c r="A145" t="s">
        <v>273</v>
      </c>
      <c r="B145" t="s">
        <v>262</v>
      </c>
    </row>
    <row r="146" spans="1:2" x14ac:dyDescent="0.25">
      <c r="A146" t="s">
        <v>273</v>
      </c>
      <c r="B146" t="s">
        <v>262</v>
      </c>
    </row>
    <row r="147" spans="1:2" x14ac:dyDescent="0.25">
      <c r="A147" t="s">
        <v>273</v>
      </c>
      <c r="B147" t="s">
        <v>262</v>
      </c>
    </row>
    <row r="148" spans="1:2" x14ac:dyDescent="0.25">
      <c r="A148" t="s">
        <v>273</v>
      </c>
      <c r="B148" t="s">
        <v>262</v>
      </c>
    </row>
    <row r="149" spans="1:2" x14ac:dyDescent="0.25">
      <c r="A149" t="s">
        <v>273</v>
      </c>
      <c r="B149" t="s">
        <v>262</v>
      </c>
    </row>
    <row r="150" spans="1:2" x14ac:dyDescent="0.25">
      <c r="A150" t="s">
        <v>273</v>
      </c>
      <c r="B150" t="s">
        <v>262</v>
      </c>
    </row>
    <row r="151" spans="1:2" x14ac:dyDescent="0.25">
      <c r="A151" t="s">
        <v>273</v>
      </c>
      <c r="B151" t="s">
        <v>262</v>
      </c>
    </row>
    <row r="152" spans="1:2" x14ac:dyDescent="0.25">
      <c r="A152" t="s">
        <v>273</v>
      </c>
      <c r="B152" t="s">
        <v>262</v>
      </c>
    </row>
    <row r="153" spans="1:2" x14ac:dyDescent="0.25">
      <c r="A153" t="s">
        <v>273</v>
      </c>
      <c r="B153" t="s">
        <v>262</v>
      </c>
    </row>
    <row r="154" spans="1:2" x14ac:dyDescent="0.25">
      <c r="A154" t="s">
        <v>273</v>
      </c>
      <c r="B154" t="s">
        <v>262</v>
      </c>
    </row>
    <row r="155" spans="1:2" x14ac:dyDescent="0.25">
      <c r="A155" t="s">
        <v>273</v>
      </c>
      <c r="B155" t="s">
        <v>262</v>
      </c>
    </row>
    <row r="156" spans="1:2" x14ac:dyDescent="0.25">
      <c r="A156" t="s">
        <v>273</v>
      </c>
      <c r="B156" t="s">
        <v>262</v>
      </c>
    </row>
    <row r="157" spans="1:2" x14ac:dyDescent="0.25">
      <c r="A157" t="s">
        <v>273</v>
      </c>
      <c r="B157" t="s">
        <v>262</v>
      </c>
    </row>
    <row r="158" spans="1:2" x14ac:dyDescent="0.25">
      <c r="A158" t="s">
        <v>273</v>
      </c>
      <c r="B158" t="s">
        <v>262</v>
      </c>
    </row>
    <row r="159" spans="1:2" x14ac:dyDescent="0.25">
      <c r="A159" t="s">
        <v>273</v>
      </c>
      <c r="B159" t="s">
        <v>262</v>
      </c>
    </row>
    <row r="160" spans="1:2" x14ac:dyDescent="0.25">
      <c r="A160" t="s">
        <v>273</v>
      </c>
      <c r="B160" t="s">
        <v>262</v>
      </c>
    </row>
    <row r="161" spans="1:2" x14ac:dyDescent="0.25">
      <c r="A161" t="s">
        <v>273</v>
      </c>
      <c r="B161" t="s">
        <v>262</v>
      </c>
    </row>
    <row r="162" spans="1:2" x14ac:dyDescent="0.25">
      <c r="A162" t="s">
        <v>273</v>
      </c>
      <c r="B162" t="s">
        <v>262</v>
      </c>
    </row>
    <row r="163" spans="1:2" x14ac:dyDescent="0.25">
      <c r="A163" t="s">
        <v>274</v>
      </c>
      <c r="B163" t="s">
        <v>262</v>
      </c>
    </row>
    <row r="164" spans="1:2" x14ac:dyDescent="0.25">
      <c r="A164" t="s">
        <v>274</v>
      </c>
      <c r="B164" t="s">
        <v>262</v>
      </c>
    </row>
    <row r="165" spans="1:2" x14ac:dyDescent="0.25">
      <c r="A165" t="s">
        <v>274</v>
      </c>
      <c r="B165" t="s">
        <v>262</v>
      </c>
    </row>
    <row r="166" spans="1:2" x14ac:dyDescent="0.25">
      <c r="A166" t="s">
        <v>274</v>
      </c>
      <c r="B166" t="s">
        <v>262</v>
      </c>
    </row>
    <row r="167" spans="1:2" x14ac:dyDescent="0.25">
      <c r="A167" t="s">
        <v>274</v>
      </c>
      <c r="B167" t="s">
        <v>262</v>
      </c>
    </row>
    <row r="168" spans="1:2" x14ac:dyDescent="0.25">
      <c r="A168" t="s">
        <v>274</v>
      </c>
      <c r="B168" t="s">
        <v>262</v>
      </c>
    </row>
    <row r="169" spans="1:2" x14ac:dyDescent="0.25">
      <c r="A169" t="s">
        <v>274</v>
      </c>
      <c r="B169" t="s">
        <v>262</v>
      </c>
    </row>
    <row r="170" spans="1:2" x14ac:dyDescent="0.25">
      <c r="A170" t="s">
        <v>274</v>
      </c>
      <c r="B170" t="s">
        <v>262</v>
      </c>
    </row>
    <row r="171" spans="1:2" x14ac:dyDescent="0.25">
      <c r="A171" t="s">
        <v>274</v>
      </c>
      <c r="B171" t="s">
        <v>262</v>
      </c>
    </row>
    <row r="172" spans="1:2" x14ac:dyDescent="0.25">
      <c r="A172" t="s">
        <v>274</v>
      </c>
      <c r="B172" t="s">
        <v>262</v>
      </c>
    </row>
    <row r="173" spans="1:2" x14ac:dyDescent="0.25">
      <c r="A173" t="s">
        <v>274</v>
      </c>
      <c r="B173" t="s">
        <v>262</v>
      </c>
    </row>
    <row r="174" spans="1:2" x14ac:dyDescent="0.25">
      <c r="A174" t="s">
        <v>274</v>
      </c>
      <c r="B174" t="s">
        <v>262</v>
      </c>
    </row>
    <row r="175" spans="1:2" x14ac:dyDescent="0.25">
      <c r="A175" t="s">
        <v>274</v>
      </c>
      <c r="B175" t="s">
        <v>262</v>
      </c>
    </row>
    <row r="176" spans="1:2" x14ac:dyDescent="0.25">
      <c r="A176" t="s">
        <v>274</v>
      </c>
      <c r="B176" t="s">
        <v>262</v>
      </c>
    </row>
    <row r="177" spans="1:2" x14ac:dyDescent="0.25">
      <c r="A177" t="s">
        <v>274</v>
      </c>
      <c r="B177" t="s">
        <v>262</v>
      </c>
    </row>
    <row r="178" spans="1:2" x14ac:dyDescent="0.25">
      <c r="A178" t="s">
        <v>274</v>
      </c>
      <c r="B178" t="s">
        <v>262</v>
      </c>
    </row>
    <row r="179" spans="1:2" x14ac:dyDescent="0.25">
      <c r="A179" t="s">
        <v>274</v>
      </c>
      <c r="B179" t="s">
        <v>262</v>
      </c>
    </row>
    <row r="180" spans="1:2" x14ac:dyDescent="0.25">
      <c r="A180" t="s">
        <v>274</v>
      </c>
      <c r="B180" t="s">
        <v>262</v>
      </c>
    </row>
    <row r="181" spans="1:2" x14ac:dyDescent="0.25">
      <c r="A181" t="s">
        <v>274</v>
      </c>
      <c r="B181" t="s">
        <v>262</v>
      </c>
    </row>
    <row r="182" spans="1:2" x14ac:dyDescent="0.25">
      <c r="A182" t="s">
        <v>274</v>
      </c>
      <c r="B182" t="s">
        <v>262</v>
      </c>
    </row>
    <row r="183" spans="1:2" x14ac:dyDescent="0.25">
      <c r="A183" t="s">
        <v>274</v>
      </c>
      <c r="B183" t="s">
        <v>262</v>
      </c>
    </row>
    <row r="184" spans="1:2" x14ac:dyDescent="0.25">
      <c r="A184" t="s">
        <v>274</v>
      </c>
      <c r="B184" t="s">
        <v>262</v>
      </c>
    </row>
    <row r="185" spans="1:2" x14ac:dyDescent="0.25">
      <c r="A185" t="s">
        <v>274</v>
      </c>
      <c r="B185" t="s">
        <v>262</v>
      </c>
    </row>
    <row r="186" spans="1:2" x14ac:dyDescent="0.25">
      <c r="A186" t="s">
        <v>274</v>
      </c>
      <c r="B186" t="s">
        <v>262</v>
      </c>
    </row>
    <row r="187" spans="1:2" x14ac:dyDescent="0.25">
      <c r="A187" t="s">
        <v>274</v>
      </c>
      <c r="B187" t="s">
        <v>262</v>
      </c>
    </row>
    <row r="188" spans="1:2" x14ac:dyDescent="0.25">
      <c r="A188" t="s">
        <v>275</v>
      </c>
      <c r="B188" t="s">
        <v>262</v>
      </c>
    </row>
    <row r="189" spans="1:2" x14ac:dyDescent="0.25">
      <c r="A189" t="s">
        <v>275</v>
      </c>
      <c r="B189" t="s">
        <v>262</v>
      </c>
    </row>
    <row r="190" spans="1:2" x14ac:dyDescent="0.25">
      <c r="A190" t="s">
        <v>275</v>
      </c>
      <c r="B190" t="s">
        <v>262</v>
      </c>
    </row>
    <row r="191" spans="1:2" x14ac:dyDescent="0.25">
      <c r="A191" t="s">
        <v>275</v>
      </c>
      <c r="B191" t="s">
        <v>262</v>
      </c>
    </row>
    <row r="192" spans="1:2" x14ac:dyDescent="0.25">
      <c r="A192" t="s">
        <v>275</v>
      </c>
      <c r="B192" t="s">
        <v>262</v>
      </c>
    </row>
    <row r="193" spans="1:2" x14ac:dyDescent="0.25">
      <c r="A193" t="s">
        <v>275</v>
      </c>
      <c r="B193" t="s">
        <v>262</v>
      </c>
    </row>
    <row r="194" spans="1:2" x14ac:dyDescent="0.25">
      <c r="A194" t="s">
        <v>275</v>
      </c>
      <c r="B194" t="s">
        <v>262</v>
      </c>
    </row>
    <row r="195" spans="1:2" x14ac:dyDescent="0.25">
      <c r="A195" t="s">
        <v>275</v>
      </c>
      <c r="B195" t="s">
        <v>262</v>
      </c>
    </row>
    <row r="196" spans="1:2" x14ac:dyDescent="0.25">
      <c r="A196" t="s">
        <v>275</v>
      </c>
      <c r="B196" t="s">
        <v>262</v>
      </c>
    </row>
    <row r="197" spans="1:2" x14ac:dyDescent="0.25">
      <c r="A197" t="s">
        <v>275</v>
      </c>
      <c r="B197" t="s">
        <v>262</v>
      </c>
    </row>
    <row r="198" spans="1:2" x14ac:dyDescent="0.25">
      <c r="A198" t="s">
        <v>275</v>
      </c>
      <c r="B198" t="s">
        <v>262</v>
      </c>
    </row>
    <row r="199" spans="1:2" x14ac:dyDescent="0.25">
      <c r="A199" t="s">
        <v>275</v>
      </c>
      <c r="B199" t="s">
        <v>262</v>
      </c>
    </row>
    <row r="200" spans="1:2" x14ac:dyDescent="0.25">
      <c r="A200" t="s">
        <v>275</v>
      </c>
      <c r="B200" t="s">
        <v>262</v>
      </c>
    </row>
    <row r="201" spans="1:2" x14ac:dyDescent="0.25">
      <c r="A201" t="s">
        <v>275</v>
      </c>
      <c r="B201" t="s">
        <v>262</v>
      </c>
    </row>
    <row r="202" spans="1:2" x14ac:dyDescent="0.25">
      <c r="A202" t="s">
        <v>275</v>
      </c>
      <c r="B202" t="s">
        <v>262</v>
      </c>
    </row>
    <row r="203" spans="1:2" x14ac:dyDescent="0.25">
      <c r="A203" t="s">
        <v>275</v>
      </c>
      <c r="B203" t="s">
        <v>262</v>
      </c>
    </row>
    <row r="204" spans="1:2" x14ac:dyDescent="0.25">
      <c r="A204" t="s">
        <v>275</v>
      </c>
      <c r="B204" t="s">
        <v>262</v>
      </c>
    </row>
    <row r="205" spans="1:2" x14ac:dyDescent="0.25">
      <c r="A205" t="s">
        <v>275</v>
      </c>
      <c r="B205" t="s">
        <v>262</v>
      </c>
    </row>
    <row r="206" spans="1:2" x14ac:dyDescent="0.25">
      <c r="A206" t="s">
        <v>275</v>
      </c>
      <c r="B206" t="s">
        <v>262</v>
      </c>
    </row>
    <row r="207" spans="1:2" x14ac:dyDescent="0.25">
      <c r="A207" t="s">
        <v>275</v>
      </c>
      <c r="B207" t="s">
        <v>262</v>
      </c>
    </row>
    <row r="208" spans="1:2" x14ac:dyDescent="0.25">
      <c r="A208" t="s">
        <v>275</v>
      </c>
      <c r="B208" t="s">
        <v>262</v>
      </c>
    </row>
    <row r="209" spans="1:2" x14ac:dyDescent="0.25">
      <c r="A209" t="s">
        <v>275</v>
      </c>
      <c r="B209" t="s">
        <v>262</v>
      </c>
    </row>
    <row r="210" spans="1:2" x14ac:dyDescent="0.25">
      <c r="A210" t="s">
        <v>275</v>
      </c>
      <c r="B210" t="s">
        <v>262</v>
      </c>
    </row>
    <row r="211" spans="1:2" x14ac:dyDescent="0.25">
      <c r="A211" t="s">
        <v>275</v>
      </c>
      <c r="B211" t="s">
        <v>262</v>
      </c>
    </row>
    <row r="212" spans="1:2" x14ac:dyDescent="0.25">
      <c r="A212" t="s">
        <v>275</v>
      </c>
      <c r="B212" t="s">
        <v>262</v>
      </c>
    </row>
    <row r="213" spans="1:2" x14ac:dyDescent="0.25">
      <c r="A213" t="s">
        <v>275</v>
      </c>
      <c r="B213" t="s">
        <v>262</v>
      </c>
    </row>
    <row r="214" spans="1:2" x14ac:dyDescent="0.25">
      <c r="A214" t="s">
        <v>276</v>
      </c>
      <c r="B214" t="s">
        <v>263</v>
      </c>
    </row>
    <row r="215" spans="1:2" x14ac:dyDescent="0.25">
      <c r="A215" t="s">
        <v>276</v>
      </c>
      <c r="B215" t="s">
        <v>263</v>
      </c>
    </row>
    <row r="216" spans="1:2" x14ac:dyDescent="0.25">
      <c r="A216" t="s">
        <v>276</v>
      </c>
      <c r="B216" t="s">
        <v>263</v>
      </c>
    </row>
    <row r="217" spans="1:2" x14ac:dyDescent="0.25">
      <c r="A217" t="s">
        <v>276</v>
      </c>
      <c r="B217" t="s">
        <v>263</v>
      </c>
    </row>
    <row r="218" spans="1:2" x14ac:dyDescent="0.25">
      <c r="A218" t="s">
        <v>276</v>
      </c>
      <c r="B218" t="s">
        <v>263</v>
      </c>
    </row>
    <row r="219" spans="1:2" x14ac:dyDescent="0.25">
      <c r="A219" t="s">
        <v>276</v>
      </c>
      <c r="B219" t="s">
        <v>263</v>
      </c>
    </row>
    <row r="220" spans="1:2" x14ac:dyDescent="0.25">
      <c r="A220" t="s">
        <v>276</v>
      </c>
      <c r="B220" t="s">
        <v>263</v>
      </c>
    </row>
    <row r="221" spans="1:2" x14ac:dyDescent="0.25">
      <c r="A221" t="s">
        <v>276</v>
      </c>
      <c r="B221" t="s">
        <v>263</v>
      </c>
    </row>
    <row r="222" spans="1:2" x14ac:dyDescent="0.25">
      <c r="A222" t="s">
        <v>276</v>
      </c>
      <c r="B222" t="s">
        <v>263</v>
      </c>
    </row>
    <row r="223" spans="1:2" x14ac:dyDescent="0.25">
      <c r="A223" t="s">
        <v>276</v>
      </c>
      <c r="B223" t="s">
        <v>263</v>
      </c>
    </row>
    <row r="224" spans="1:2" x14ac:dyDescent="0.25">
      <c r="A224" t="s">
        <v>276</v>
      </c>
      <c r="B224" t="s">
        <v>263</v>
      </c>
    </row>
    <row r="225" spans="1:2" x14ac:dyDescent="0.25">
      <c r="A225" t="s">
        <v>276</v>
      </c>
      <c r="B225" t="s">
        <v>263</v>
      </c>
    </row>
    <row r="226" spans="1:2" x14ac:dyDescent="0.25">
      <c r="A226" t="s">
        <v>276</v>
      </c>
      <c r="B226" t="s">
        <v>263</v>
      </c>
    </row>
    <row r="227" spans="1:2" x14ac:dyDescent="0.25">
      <c r="A227" t="s">
        <v>276</v>
      </c>
      <c r="B227" t="s">
        <v>263</v>
      </c>
    </row>
    <row r="228" spans="1:2" x14ac:dyDescent="0.25">
      <c r="A228" t="s">
        <v>276</v>
      </c>
      <c r="B228" t="s">
        <v>263</v>
      </c>
    </row>
    <row r="229" spans="1:2" x14ac:dyDescent="0.25">
      <c r="A229" t="s">
        <v>276</v>
      </c>
      <c r="B229" t="s">
        <v>263</v>
      </c>
    </row>
    <row r="230" spans="1:2" x14ac:dyDescent="0.25">
      <c r="A230" t="s">
        <v>276</v>
      </c>
      <c r="B230" t="s">
        <v>263</v>
      </c>
    </row>
    <row r="231" spans="1:2" x14ac:dyDescent="0.25">
      <c r="A231" t="s">
        <v>276</v>
      </c>
      <c r="B231" t="s">
        <v>263</v>
      </c>
    </row>
    <row r="232" spans="1:2" x14ac:dyDescent="0.25">
      <c r="A232" t="s">
        <v>276</v>
      </c>
      <c r="B232" t="s">
        <v>263</v>
      </c>
    </row>
    <row r="233" spans="1:2" x14ac:dyDescent="0.25">
      <c r="A233" t="s">
        <v>276</v>
      </c>
      <c r="B233" t="s">
        <v>263</v>
      </c>
    </row>
    <row r="234" spans="1:2" x14ac:dyDescent="0.25">
      <c r="A234" t="s">
        <v>276</v>
      </c>
      <c r="B234" t="s">
        <v>263</v>
      </c>
    </row>
    <row r="235" spans="1:2" x14ac:dyDescent="0.25">
      <c r="A235" t="s">
        <v>276</v>
      </c>
      <c r="B235" t="s">
        <v>263</v>
      </c>
    </row>
    <row r="236" spans="1:2" x14ac:dyDescent="0.25">
      <c r="A236" t="s">
        <v>276</v>
      </c>
      <c r="B236" t="s">
        <v>263</v>
      </c>
    </row>
    <row r="237" spans="1:2" x14ac:dyDescent="0.25">
      <c r="A237" t="s">
        <v>276</v>
      </c>
      <c r="B237" t="s">
        <v>263</v>
      </c>
    </row>
    <row r="238" spans="1:2" x14ac:dyDescent="0.25">
      <c r="A238" t="s">
        <v>276</v>
      </c>
      <c r="B238" t="s">
        <v>263</v>
      </c>
    </row>
    <row r="239" spans="1:2" x14ac:dyDescent="0.25">
      <c r="A239" t="s">
        <v>276</v>
      </c>
      <c r="B239" t="s">
        <v>263</v>
      </c>
    </row>
    <row r="240" spans="1:2" x14ac:dyDescent="0.25">
      <c r="A240" t="s">
        <v>276</v>
      </c>
      <c r="B240" t="s">
        <v>263</v>
      </c>
    </row>
    <row r="241" spans="1:2" x14ac:dyDescent="0.25">
      <c r="A241" t="s">
        <v>276</v>
      </c>
      <c r="B241" t="s">
        <v>263</v>
      </c>
    </row>
    <row r="242" spans="1:2" x14ac:dyDescent="0.25">
      <c r="A242" t="s">
        <v>277</v>
      </c>
      <c r="B242" t="s">
        <v>261</v>
      </c>
    </row>
    <row r="243" spans="1:2" x14ac:dyDescent="0.25">
      <c r="A243" t="s">
        <v>277</v>
      </c>
      <c r="B243" t="s">
        <v>261</v>
      </c>
    </row>
    <row r="244" spans="1:2" x14ac:dyDescent="0.25">
      <c r="A244" t="s">
        <v>277</v>
      </c>
      <c r="B244" t="s">
        <v>261</v>
      </c>
    </row>
    <row r="245" spans="1:2" x14ac:dyDescent="0.25">
      <c r="A245" t="s">
        <v>277</v>
      </c>
      <c r="B245" t="s">
        <v>261</v>
      </c>
    </row>
    <row r="246" spans="1:2" x14ac:dyDescent="0.25">
      <c r="A246" t="s">
        <v>277</v>
      </c>
      <c r="B246" t="s">
        <v>261</v>
      </c>
    </row>
    <row r="247" spans="1:2" x14ac:dyDescent="0.25">
      <c r="A247" t="s">
        <v>277</v>
      </c>
      <c r="B247" t="s">
        <v>261</v>
      </c>
    </row>
    <row r="248" spans="1:2" x14ac:dyDescent="0.25">
      <c r="A248" t="s">
        <v>277</v>
      </c>
      <c r="B248" t="s">
        <v>261</v>
      </c>
    </row>
    <row r="249" spans="1:2" x14ac:dyDescent="0.25">
      <c r="A249" t="s">
        <v>277</v>
      </c>
      <c r="B249" t="s">
        <v>261</v>
      </c>
    </row>
    <row r="250" spans="1:2" x14ac:dyDescent="0.25">
      <c r="A250" t="s">
        <v>277</v>
      </c>
      <c r="B250" t="s">
        <v>261</v>
      </c>
    </row>
    <row r="251" spans="1:2" x14ac:dyDescent="0.25">
      <c r="A251" t="s">
        <v>277</v>
      </c>
      <c r="B251" t="s">
        <v>261</v>
      </c>
    </row>
    <row r="252" spans="1:2" x14ac:dyDescent="0.25">
      <c r="A252" t="s">
        <v>277</v>
      </c>
      <c r="B252" t="s">
        <v>261</v>
      </c>
    </row>
    <row r="253" spans="1:2" x14ac:dyDescent="0.25">
      <c r="A253" t="s">
        <v>277</v>
      </c>
      <c r="B253" t="s">
        <v>261</v>
      </c>
    </row>
    <row r="254" spans="1:2" x14ac:dyDescent="0.25">
      <c r="A254" t="s">
        <v>277</v>
      </c>
      <c r="B254" t="s">
        <v>261</v>
      </c>
    </row>
    <row r="255" spans="1:2" x14ac:dyDescent="0.25">
      <c r="A255" t="s">
        <v>277</v>
      </c>
      <c r="B255" t="s">
        <v>261</v>
      </c>
    </row>
    <row r="256" spans="1:2" x14ac:dyDescent="0.25">
      <c r="A256" t="s">
        <v>277</v>
      </c>
      <c r="B256" t="s">
        <v>261</v>
      </c>
    </row>
    <row r="257" spans="1:2" x14ac:dyDescent="0.25">
      <c r="A257" t="s">
        <v>277</v>
      </c>
      <c r="B257" t="s">
        <v>261</v>
      </c>
    </row>
    <row r="258" spans="1:2" x14ac:dyDescent="0.25">
      <c r="A258" t="s">
        <v>277</v>
      </c>
      <c r="B258" t="s">
        <v>261</v>
      </c>
    </row>
    <row r="259" spans="1:2" x14ac:dyDescent="0.25">
      <c r="A259" t="s">
        <v>277</v>
      </c>
      <c r="B259" t="s">
        <v>261</v>
      </c>
    </row>
    <row r="260" spans="1:2" x14ac:dyDescent="0.25">
      <c r="A260" t="s">
        <v>277</v>
      </c>
      <c r="B260" t="s">
        <v>261</v>
      </c>
    </row>
    <row r="261" spans="1:2" x14ac:dyDescent="0.25">
      <c r="A261" t="s">
        <v>277</v>
      </c>
      <c r="B261" t="s">
        <v>261</v>
      </c>
    </row>
    <row r="262" spans="1:2" x14ac:dyDescent="0.25">
      <c r="A262" t="s">
        <v>277</v>
      </c>
      <c r="B262" t="s">
        <v>261</v>
      </c>
    </row>
    <row r="263" spans="1:2" x14ac:dyDescent="0.25">
      <c r="A263" t="s">
        <v>277</v>
      </c>
      <c r="B263" t="s">
        <v>261</v>
      </c>
    </row>
    <row r="264" spans="1:2" x14ac:dyDescent="0.25">
      <c r="A264" t="s">
        <v>277</v>
      </c>
      <c r="B264" t="s">
        <v>261</v>
      </c>
    </row>
    <row r="265" spans="1:2" x14ac:dyDescent="0.25">
      <c r="A265" t="s">
        <v>277</v>
      </c>
      <c r="B265" t="s">
        <v>261</v>
      </c>
    </row>
    <row r="266" spans="1:2" x14ac:dyDescent="0.25">
      <c r="A266" t="s">
        <v>277</v>
      </c>
      <c r="B266" t="s">
        <v>261</v>
      </c>
    </row>
    <row r="267" spans="1:2" x14ac:dyDescent="0.25">
      <c r="A267" t="s">
        <v>277</v>
      </c>
      <c r="B267" t="s">
        <v>261</v>
      </c>
    </row>
    <row r="268" spans="1:2" x14ac:dyDescent="0.25">
      <c r="A268" t="s">
        <v>278</v>
      </c>
      <c r="B268" t="s">
        <v>262</v>
      </c>
    </row>
    <row r="269" spans="1:2" x14ac:dyDescent="0.25">
      <c r="A269" t="s">
        <v>278</v>
      </c>
      <c r="B269" t="s">
        <v>262</v>
      </c>
    </row>
    <row r="270" spans="1:2" x14ac:dyDescent="0.25">
      <c r="A270" t="s">
        <v>278</v>
      </c>
      <c r="B270" t="s">
        <v>262</v>
      </c>
    </row>
    <row r="271" spans="1:2" x14ac:dyDescent="0.25">
      <c r="A271" t="s">
        <v>278</v>
      </c>
      <c r="B271" t="s">
        <v>262</v>
      </c>
    </row>
    <row r="272" spans="1:2" x14ac:dyDescent="0.25">
      <c r="A272" t="s">
        <v>278</v>
      </c>
      <c r="B272" t="s">
        <v>262</v>
      </c>
    </row>
    <row r="273" spans="1:2" x14ac:dyDescent="0.25">
      <c r="A273" t="s">
        <v>278</v>
      </c>
      <c r="B273" t="s">
        <v>262</v>
      </c>
    </row>
    <row r="274" spans="1:2" x14ac:dyDescent="0.25">
      <c r="A274" t="s">
        <v>278</v>
      </c>
      <c r="B274" t="s">
        <v>262</v>
      </c>
    </row>
    <row r="275" spans="1:2" x14ac:dyDescent="0.25">
      <c r="A275" t="s">
        <v>278</v>
      </c>
      <c r="B275" t="s">
        <v>262</v>
      </c>
    </row>
    <row r="276" spans="1:2" x14ac:dyDescent="0.25">
      <c r="A276" t="s">
        <v>278</v>
      </c>
      <c r="B276" t="s">
        <v>262</v>
      </c>
    </row>
    <row r="277" spans="1:2" x14ac:dyDescent="0.25">
      <c r="A277" t="s">
        <v>278</v>
      </c>
      <c r="B277" t="s">
        <v>262</v>
      </c>
    </row>
    <row r="278" spans="1:2" x14ac:dyDescent="0.25">
      <c r="A278" t="s">
        <v>278</v>
      </c>
      <c r="B278" t="s">
        <v>262</v>
      </c>
    </row>
    <row r="279" spans="1:2" x14ac:dyDescent="0.25">
      <c r="A279" t="s">
        <v>278</v>
      </c>
      <c r="B279" t="s">
        <v>262</v>
      </c>
    </row>
    <row r="280" spans="1:2" x14ac:dyDescent="0.25">
      <c r="A280" t="s">
        <v>278</v>
      </c>
      <c r="B280" t="s">
        <v>262</v>
      </c>
    </row>
    <row r="281" spans="1:2" x14ac:dyDescent="0.25">
      <c r="A281" t="s">
        <v>278</v>
      </c>
      <c r="B281" t="s">
        <v>262</v>
      </c>
    </row>
    <row r="282" spans="1:2" x14ac:dyDescent="0.25">
      <c r="A282" t="s">
        <v>278</v>
      </c>
      <c r="B282" t="s">
        <v>262</v>
      </c>
    </row>
    <row r="283" spans="1:2" x14ac:dyDescent="0.25">
      <c r="A283" t="s">
        <v>278</v>
      </c>
      <c r="B283" t="s">
        <v>262</v>
      </c>
    </row>
    <row r="284" spans="1:2" x14ac:dyDescent="0.25">
      <c r="A284" t="s">
        <v>278</v>
      </c>
      <c r="B284" t="s">
        <v>262</v>
      </c>
    </row>
    <row r="285" spans="1:2" x14ac:dyDescent="0.25">
      <c r="A285" t="s">
        <v>278</v>
      </c>
      <c r="B285" t="s">
        <v>262</v>
      </c>
    </row>
    <row r="286" spans="1:2" x14ac:dyDescent="0.25">
      <c r="A286" t="s">
        <v>278</v>
      </c>
      <c r="B286" t="s">
        <v>262</v>
      </c>
    </row>
    <row r="287" spans="1:2" x14ac:dyDescent="0.25">
      <c r="A287" t="s">
        <v>278</v>
      </c>
      <c r="B287" t="s">
        <v>262</v>
      </c>
    </row>
    <row r="288" spans="1:2" x14ac:dyDescent="0.25">
      <c r="A288" t="s">
        <v>278</v>
      </c>
      <c r="B288" t="s">
        <v>262</v>
      </c>
    </row>
    <row r="289" spans="1:2" x14ac:dyDescent="0.25">
      <c r="A289" t="s">
        <v>278</v>
      </c>
      <c r="B289" t="s">
        <v>262</v>
      </c>
    </row>
    <row r="290" spans="1:2" x14ac:dyDescent="0.25">
      <c r="A290" t="s">
        <v>278</v>
      </c>
      <c r="B290" t="s">
        <v>262</v>
      </c>
    </row>
    <row r="291" spans="1:2" x14ac:dyDescent="0.25">
      <c r="A291" t="s">
        <v>278</v>
      </c>
      <c r="B291" t="s">
        <v>262</v>
      </c>
    </row>
    <row r="292" spans="1:2" x14ac:dyDescent="0.25">
      <c r="A292" t="s">
        <v>278</v>
      </c>
      <c r="B292" t="s">
        <v>262</v>
      </c>
    </row>
    <row r="293" spans="1:2" x14ac:dyDescent="0.25">
      <c r="A293" t="s">
        <v>279</v>
      </c>
      <c r="B293" t="s">
        <v>262</v>
      </c>
    </row>
    <row r="294" spans="1:2" x14ac:dyDescent="0.25">
      <c r="A294" t="s">
        <v>279</v>
      </c>
      <c r="B294" t="s">
        <v>262</v>
      </c>
    </row>
    <row r="295" spans="1:2" x14ac:dyDescent="0.25">
      <c r="A295" t="s">
        <v>279</v>
      </c>
      <c r="B295" t="s">
        <v>262</v>
      </c>
    </row>
    <row r="296" spans="1:2" x14ac:dyDescent="0.25">
      <c r="A296" t="s">
        <v>279</v>
      </c>
      <c r="B296" t="s">
        <v>262</v>
      </c>
    </row>
    <row r="297" spans="1:2" x14ac:dyDescent="0.25">
      <c r="A297" t="s">
        <v>279</v>
      </c>
      <c r="B297" t="s">
        <v>262</v>
      </c>
    </row>
    <row r="298" spans="1:2" x14ac:dyDescent="0.25">
      <c r="A298" t="s">
        <v>279</v>
      </c>
      <c r="B298" t="s">
        <v>262</v>
      </c>
    </row>
    <row r="299" spans="1:2" x14ac:dyDescent="0.25">
      <c r="A299" t="s">
        <v>279</v>
      </c>
      <c r="B299" t="s">
        <v>262</v>
      </c>
    </row>
    <row r="300" spans="1:2" x14ac:dyDescent="0.25">
      <c r="A300" t="s">
        <v>279</v>
      </c>
      <c r="B300" t="s">
        <v>262</v>
      </c>
    </row>
    <row r="301" spans="1:2" x14ac:dyDescent="0.25">
      <c r="A301" t="s">
        <v>279</v>
      </c>
      <c r="B301" t="s">
        <v>262</v>
      </c>
    </row>
    <row r="302" spans="1:2" x14ac:dyDescent="0.25">
      <c r="A302" t="s">
        <v>279</v>
      </c>
      <c r="B302" t="s">
        <v>262</v>
      </c>
    </row>
    <row r="303" spans="1:2" x14ac:dyDescent="0.25">
      <c r="A303" t="s">
        <v>279</v>
      </c>
      <c r="B303" t="s">
        <v>262</v>
      </c>
    </row>
    <row r="304" spans="1:2" x14ac:dyDescent="0.25">
      <c r="A304" t="s">
        <v>279</v>
      </c>
      <c r="B304" t="s">
        <v>262</v>
      </c>
    </row>
    <row r="305" spans="1:2" x14ac:dyDescent="0.25">
      <c r="A305" t="s">
        <v>279</v>
      </c>
      <c r="B305" t="s">
        <v>262</v>
      </c>
    </row>
    <row r="306" spans="1:2" x14ac:dyDescent="0.25">
      <c r="A306" t="s">
        <v>279</v>
      </c>
      <c r="B306" t="s">
        <v>262</v>
      </c>
    </row>
    <row r="307" spans="1:2" x14ac:dyDescent="0.25">
      <c r="A307" t="s">
        <v>279</v>
      </c>
      <c r="B307" t="s">
        <v>262</v>
      </c>
    </row>
    <row r="308" spans="1:2" x14ac:dyDescent="0.25">
      <c r="A308" t="s">
        <v>279</v>
      </c>
      <c r="B308" t="s">
        <v>262</v>
      </c>
    </row>
    <row r="309" spans="1:2" x14ac:dyDescent="0.25">
      <c r="A309" t="s">
        <v>279</v>
      </c>
      <c r="B309" t="s">
        <v>262</v>
      </c>
    </row>
    <row r="310" spans="1:2" x14ac:dyDescent="0.25">
      <c r="A310" t="s">
        <v>279</v>
      </c>
      <c r="B310" t="s">
        <v>262</v>
      </c>
    </row>
    <row r="311" spans="1:2" x14ac:dyDescent="0.25">
      <c r="A311" t="s">
        <v>279</v>
      </c>
      <c r="B311" t="s">
        <v>262</v>
      </c>
    </row>
    <row r="312" spans="1:2" x14ac:dyDescent="0.25">
      <c r="A312" t="s">
        <v>279</v>
      </c>
      <c r="B312" t="s">
        <v>262</v>
      </c>
    </row>
    <row r="313" spans="1:2" x14ac:dyDescent="0.25">
      <c r="A313" t="s">
        <v>279</v>
      </c>
      <c r="B313" t="s">
        <v>262</v>
      </c>
    </row>
    <row r="314" spans="1:2" x14ac:dyDescent="0.25">
      <c r="A314" t="s">
        <v>279</v>
      </c>
      <c r="B314" t="s">
        <v>262</v>
      </c>
    </row>
    <row r="315" spans="1:2" x14ac:dyDescent="0.25">
      <c r="A315" t="s">
        <v>279</v>
      </c>
      <c r="B315" t="s">
        <v>262</v>
      </c>
    </row>
    <row r="316" spans="1:2" x14ac:dyDescent="0.25">
      <c r="A316" t="s">
        <v>279</v>
      </c>
      <c r="B316" t="s">
        <v>262</v>
      </c>
    </row>
    <row r="317" spans="1:2" x14ac:dyDescent="0.25">
      <c r="A317" t="s">
        <v>279</v>
      </c>
      <c r="B317" t="s">
        <v>262</v>
      </c>
    </row>
    <row r="318" spans="1:2" x14ac:dyDescent="0.25">
      <c r="A318" t="s">
        <v>280</v>
      </c>
      <c r="B318" t="s">
        <v>262</v>
      </c>
    </row>
    <row r="319" spans="1:2" x14ac:dyDescent="0.25">
      <c r="A319" t="s">
        <v>280</v>
      </c>
      <c r="B319" t="s">
        <v>262</v>
      </c>
    </row>
    <row r="320" spans="1:2" x14ac:dyDescent="0.25">
      <c r="A320" t="s">
        <v>280</v>
      </c>
      <c r="B320" t="s">
        <v>262</v>
      </c>
    </row>
    <row r="321" spans="1:2" x14ac:dyDescent="0.25">
      <c r="A321" t="s">
        <v>280</v>
      </c>
      <c r="B321" t="s">
        <v>262</v>
      </c>
    </row>
    <row r="322" spans="1:2" x14ac:dyDescent="0.25">
      <c r="A322" t="s">
        <v>280</v>
      </c>
      <c r="B322" t="s">
        <v>262</v>
      </c>
    </row>
    <row r="323" spans="1:2" x14ac:dyDescent="0.25">
      <c r="A323" t="s">
        <v>280</v>
      </c>
      <c r="B323" t="s">
        <v>262</v>
      </c>
    </row>
    <row r="324" spans="1:2" x14ac:dyDescent="0.25">
      <c r="A324" t="s">
        <v>280</v>
      </c>
      <c r="B324" t="s">
        <v>262</v>
      </c>
    </row>
    <row r="325" spans="1:2" x14ac:dyDescent="0.25">
      <c r="A325" t="s">
        <v>280</v>
      </c>
      <c r="B325" t="s">
        <v>262</v>
      </c>
    </row>
    <row r="326" spans="1:2" x14ac:dyDescent="0.25">
      <c r="A326" t="s">
        <v>280</v>
      </c>
      <c r="B326" t="s">
        <v>262</v>
      </c>
    </row>
    <row r="327" spans="1:2" x14ac:dyDescent="0.25">
      <c r="A327" t="s">
        <v>280</v>
      </c>
      <c r="B327" t="s">
        <v>262</v>
      </c>
    </row>
    <row r="328" spans="1:2" x14ac:dyDescent="0.25">
      <c r="A328" t="s">
        <v>280</v>
      </c>
      <c r="B328" t="s">
        <v>262</v>
      </c>
    </row>
    <row r="329" spans="1:2" x14ac:dyDescent="0.25">
      <c r="A329" t="s">
        <v>280</v>
      </c>
      <c r="B329" t="s">
        <v>262</v>
      </c>
    </row>
    <row r="330" spans="1:2" x14ac:dyDescent="0.25">
      <c r="A330" t="s">
        <v>280</v>
      </c>
      <c r="B330" t="s">
        <v>262</v>
      </c>
    </row>
    <row r="331" spans="1:2" x14ac:dyDescent="0.25">
      <c r="A331" t="s">
        <v>280</v>
      </c>
      <c r="B331" t="s">
        <v>262</v>
      </c>
    </row>
    <row r="332" spans="1:2" x14ac:dyDescent="0.25">
      <c r="A332" t="s">
        <v>280</v>
      </c>
      <c r="B332" t="s">
        <v>262</v>
      </c>
    </row>
    <row r="333" spans="1:2" x14ac:dyDescent="0.25">
      <c r="A333" t="s">
        <v>280</v>
      </c>
      <c r="B333" t="s">
        <v>262</v>
      </c>
    </row>
    <row r="334" spans="1:2" x14ac:dyDescent="0.25">
      <c r="A334" t="s">
        <v>280</v>
      </c>
      <c r="B334" t="s">
        <v>262</v>
      </c>
    </row>
    <row r="335" spans="1:2" x14ac:dyDescent="0.25">
      <c r="A335" t="s">
        <v>280</v>
      </c>
      <c r="B335" t="s">
        <v>262</v>
      </c>
    </row>
    <row r="336" spans="1:2" x14ac:dyDescent="0.25">
      <c r="A336" t="s">
        <v>280</v>
      </c>
      <c r="B336" t="s">
        <v>262</v>
      </c>
    </row>
    <row r="337" spans="1:2" x14ac:dyDescent="0.25">
      <c r="A337" t="s">
        <v>280</v>
      </c>
      <c r="B337" t="s">
        <v>262</v>
      </c>
    </row>
    <row r="338" spans="1:2" x14ac:dyDescent="0.25">
      <c r="A338" t="s">
        <v>280</v>
      </c>
      <c r="B338" t="s">
        <v>262</v>
      </c>
    </row>
    <row r="339" spans="1:2" x14ac:dyDescent="0.25">
      <c r="A339" t="s">
        <v>280</v>
      </c>
      <c r="B339" t="s">
        <v>262</v>
      </c>
    </row>
    <row r="340" spans="1:2" x14ac:dyDescent="0.25">
      <c r="A340" t="s">
        <v>280</v>
      </c>
      <c r="B340" t="s">
        <v>262</v>
      </c>
    </row>
    <row r="341" spans="1:2" x14ac:dyDescent="0.25">
      <c r="A341" t="s">
        <v>280</v>
      </c>
      <c r="B341" t="s">
        <v>262</v>
      </c>
    </row>
    <row r="342" spans="1:2" x14ac:dyDescent="0.25">
      <c r="A342" t="s">
        <v>280</v>
      </c>
      <c r="B342" t="s">
        <v>262</v>
      </c>
    </row>
    <row r="343" spans="1:2" x14ac:dyDescent="0.25">
      <c r="A343" t="s">
        <v>280</v>
      </c>
      <c r="B343" t="s">
        <v>262</v>
      </c>
    </row>
    <row r="344" spans="1:2" x14ac:dyDescent="0.25">
      <c r="A344" t="s">
        <v>281</v>
      </c>
      <c r="B344" t="s">
        <v>262</v>
      </c>
    </row>
    <row r="345" spans="1:2" x14ac:dyDescent="0.25">
      <c r="A345" t="s">
        <v>281</v>
      </c>
      <c r="B345" t="s">
        <v>262</v>
      </c>
    </row>
    <row r="346" spans="1:2" x14ac:dyDescent="0.25">
      <c r="A346" t="s">
        <v>281</v>
      </c>
      <c r="B346" t="s">
        <v>262</v>
      </c>
    </row>
    <row r="347" spans="1:2" x14ac:dyDescent="0.25">
      <c r="A347" t="s">
        <v>281</v>
      </c>
      <c r="B347" t="s">
        <v>262</v>
      </c>
    </row>
    <row r="348" spans="1:2" x14ac:dyDescent="0.25">
      <c r="A348" t="s">
        <v>281</v>
      </c>
      <c r="B348" t="s">
        <v>262</v>
      </c>
    </row>
    <row r="349" spans="1:2" x14ac:dyDescent="0.25">
      <c r="A349" t="s">
        <v>281</v>
      </c>
      <c r="B349" t="s">
        <v>262</v>
      </c>
    </row>
    <row r="350" spans="1:2" x14ac:dyDescent="0.25">
      <c r="A350" t="s">
        <v>281</v>
      </c>
      <c r="B350" t="s">
        <v>262</v>
      </c>
    </row>
    <row r="351" spans="1:2" x14ac:dyDescent="0.25">
      <c r="A351" t="s">
        <v>281</v>
      </c>
      <c r="B351" t="s">
        <v>262</v>
      </c>
    </row>
    <row r="352" spans="1:2" x14ac:dyDescent="0.25">
      <c r="A352" t="s">
        <v>281</v>
      </c>
      <c r="B352" t="s">
        <v>262</v>
      </c>
    </row>
    <row r="353" spans="1:2" x14ac:dyDescent="0.25">
      <c r="A353" t="s">
        <v>281</v>
      </c>
      <c r="B353" t="s">
        <v>262</v>
      </c>
    </row>
    <row r="354" spans="1:2" x14ac:dyDescent="0.25">
      <c r="A354" t="s">
        <v>281</v>
      </c>
      <c r="B354" t="s">
        <v>262</v>
      </c>
    </row>
    <row r="355" spans="1:2" x14ac:dyDescent="0.25">
      <c r="A355" t="s">
        <v>281</v>
      </c>
      <c r="B355" t="s">
        <v>262</v>
      </c>
    </row>
    <row r="356" spans="1:2" x14ac:dyDescent="0.25">
      <c r="A356" t="s">
        <v>281</v>
      </c>
      <c r="B356" t="s">
        <v>262</v>
      </c>
    </row>
    <row r="357" spans="1:2" x14ac:dyDescent="0.25">
      <c r="A357" t="s">
        <v>281</v>
      </c>
      <c r="B357" t="s">
        <v>262</v>
      </c>
    </row>
    <row r="358" spans="1:2" x14ac:dyDescent="0.25">
      <c r="A358" t="s">
        <v>281</v>
      </c>
      <c r="B358" t="s">
        <v>262</v>
      </c>
    </row>
    <row r="359" spans="1:2" x14ac:dyDescent="0.25">
      <c r="A359" t="s">
        <v>281</v>
      </c>
      <c r="B359" t="s">
        <v>262</v>
      </c>
    </row>
    <row r="360" spans="1:2" x14ac:dyDescent="0.25">
      <c r="A360" t="s">
        <v>281</v>
      </c>
      <c r="B360" t="s">
        <v>262</v>
      </c>
    </row>
    <row r="361" spans="1:2" x14ac:dyDescent="0.25">
      <c r="A361" t="s">
        <v>281</v>
      </c>
      <c r="B361" t="s">
        <v>262</v>
      </c>
    </row>
    <row r="362" spans="1:2" x14ac:dyDescent="0.25">
      <c r="A362" t="s">
        <v>281</v>
      </c>
      <c r="B362" t="s">
        <v>262</v>
      </c>
    </row>
    <row r="363" spans="1:2" x14ac:dyDescent="0.25">
      <c r="A363" t="s">
        <v>281</v>
      </c>
      <c r="B363" t="s">
        <v>262</v>
      </c>
    </row>
    <row r="364" spans="1:2" x14ac:dyDescent="0.25">
      <c r="A364" t="s">
        <v>281</v>
      </c>
      <c r="B364" t="s">
        <v>262</v>
      </c>
    </row>
    <row r="365" spans="1:2" x14ac:dyDescent="0.25">
      <c r="A365" t="s">
        <v>281</v>
      </c>
      <c r="B365" t="s">
        <v>262</v>
      </c>
    </row>
    <row r="366" spans="1:2" x14ac:dyDescent="0.25">
      <c r="A366" t="s">
        <v>281</v>
      </c>
      <c r="B366" t="s">
        <v>262</v>
      </c>
    </row>
    <row r="367" spans="1:2" x14ac:dyDescent="0.25">
      <c r="A367" t="s">
        <v>281</v>
      </c>
      <c r="B367" t="s">
        <v>262</v>
      </c>
    </row>
    <row r="368" spans="1:2" x14ac:dyDescent="0.25">
      <c r="A368" t="s">
        <v>281</v>
      </c>
      <c r="B368" t="s">
        <v>262</v>
      </c>
    </row>
    <row r="369" spans="1:2" x14ac:dyDescent="0.25">
      <c r="A369" t="s">
        <v>282</v>
      </c>
      <c r="B369" t="s">
        <v>263</v>
      </c>
    </row>
    <row r="370" spans="1:2" x14ac:dyDescent="0.25">
      <c r="A370" t="s">
        <v>282</v>
      </c>
      <c r="B370" t="s">
        <v>263</v>
      </c>
    </row>
    <row r="371" spans="1:2" x14ac:dyDescent="0.25">
      <c r="A371" t="s">
        <v>282</v>
      </c>
      <c r="B371" t="s">
        <v>263</v>
      </c>
    </row>
    <row r="372" spans="1:2" x14ac:dyDescent="0.25">
      <c r="A372" t="s">
        <v>282</v>
      </c>
      <c r="B372" t="s">
        <v>263</v>
      </c>
    </row>
    <row r="373" spans="1:2" x14ac:dyDescent="0.25">
      <c r="A373" t="s">
        <v>282</v>
      </c>
      <c r="B373" t="s">
        <v>263</v>
      </c>
    </row>
    <row r="374" spans="1:2" x14ac:dyDescent="0.25">
      <c r="A374" t="s">
        <v>282</v>
      </c>
      <c r="B374" t="s">
        <v>263</v>
      </c>
    </row>
    <row r="375" spans="1:2" x14ac:dyDescent="0.25">
      <c r="A375" t="s">
        <v>282</v>
      </c>
      <c r="B375" t="s">
        <v>263</v>
      </c>
    </row>
    <row r="376" spans="1:2" x14ac:dyDescent="0.25">
      <c r="A376" t="s">
        <v>282</v>
      </c>
      <c r="B376" t="s">
        <v>263</v>
      </c>
    </row>
    <row r="377" spans="1:2" x14ac:dyDescent="0.25">
      <c r="A377" t="s">
        <v>282</v>
      </c>
      <c r="B377" t="s">
        <v>263</v>
      </c>
    </row>
    <row r="378" spans="1:2" x14ac:dyDescent="0.25">
      <c r="A378" t="s">
        <v>282</v>
      </c>
      <c r="B378" t="s">
        <v>263</v>
      </c>
    </row>
    <row r="379" spans="1:2" x14ac:dyDescent="0.25">
      <c r="A379" t="s">
        <v>282</v>
      </c>
      <c r="B379" t="s">
        <v>263</v>
      </c>
    </row>
    <row r="380" spans="1:2" x14ac:dyDescent="0.25">
      <c r="A380" t="s">
        <v>282</v>
      </c>
      <c r="B380" t="s">
        <v>263</v>
      </c>
    </row>
    <row r="381" spans="1:2" x14ac:dyDescent="0.25">
      <c r="A381" t="s">
        <v>282</v>
      </c>
      <c r="B381" t="s">
        <v>263</v>
      </c>
    </row>
    <row r="382" spans="1:2" x14ac:dyDescent="0.25">
      <c r="A382" t="s">
        <v>282</v>
      </c>
      <c r="B382" t="s">
        <v>263</v>
      </c>
    </row>
    <row r="383" spans="1:2" x14ac:dyDescent="0.25">
      <c r="A383" t="s">
        <v>282</v>
      </c>
      <c r="B383" t="s">
        <v>263</v>
      </c>
    </row>
    <row r="384" spans="1:2" x14ac:dyDescent="0.25">
      <c r="A384" t="s">
        <v>282</v>
      </c>
      <c r="B384" t="s">
        <v>263</v>
      </c>
    </row>
    <row r="385" spans="1:2" x14ac:dyDescent="0.25">
      <c r="A385" t="s">
        <v>282</v>
      </c>
      <c r="B385" t="s">
        <v>263</v>
      </c>
    </row>
    <row r="386" spans="1:2" x14ac:dyDescent="0.25">
      <c r="A386" t="s">
        <v>282</v>
      </c>
      <c r="B386" t="s">
        <v>263</v>
      </c>
    </row>
    <row r="387" spans="1:2" x14ac:dyDescent="0.25">
      <c r="A387" t="s">
        <v>282</v>
      </c>
      <c r="B387" t="s">
        <v>263</v>
      </c>
    </row>
    <row r="388" spans="1:2" x14ac:dyDescent="0.25">
      <c r="A388" t="s">
        <v>282</v>
      </c>
      <c r="B388" t="s">
        <v>263</v>
      </c>
    </row>
    <row r="389" spans="1:2" x14ac:dyDescent="0.25">
      <c r="A389" t="s">
        <v>282</v>
      </c>
      <c r="B389" t="s">
        <v>263</v>
      </c>
    </row>
    <row r="390" spans="1:2" x14ac:dyDescent="0.25">
      <c r="A390" t="s">
        <v>282</v>
      </c>
      <c r="B390" t="s">
        <v>263</v>
      </c>
    </row>
    <row r="391" spans="1:2" x14ac:dyDescent="0.25">
      <c r="A391" t="s">
        <v>282</v>
      </c>
      <c r="B391" t="s">
        <v>263</v>
      </c>
    </row>
    <row r="392" spans="1:2" x14ac:dyDescent="0.25">
      <c r="A392" t="s">
        <v>282</v>
      </c>
      <c r="B392" t="s">
        <v>263</v>
      </c>
    </row>
    <row r="393" spans="1:2" x14ac:dyDescent="0.25">
      <c r="A393" t="s">
        <v>282</v>
      </c>
      <c r="B393" t="s">
        <v>263</v>
      </c>
    </row>
    <row r="394" spans="1:2" x14ac:dyDescent="0.25">
      <c r="A394" t="s">
        <v>282</v>
      </c>
      <c r="B394" t="s">
        <v>263</v>
      </c>
    </row>
    <row r="395" spans="1:2" x14ac:dyDescent="0.25">
      <c r="A395" t="s">
        <v>282</v>
      </c>
      <c r="B395" t="s">
        <v>263</v>
      </c>
    </row>
    <row r="396" spans="1:2" x14ac:dyDescent="0.25">
      <c r="A396" t="s">
        <v>283</v>
      </c>
      <c r="B396" t="s">
        <v>262</v>
      </c>
    </row>
    <row r="397" spans="1:2" x14ac:dyDescent="0.25">
      <c r="A397" t="s">
        <v>283</v>
      </c>
      <c r="B397" t="s">
        <v>262</v>
      </c>
    </row>
    <row r="398" spans="1:2" x14ac:dyDescent="0.25">
      <c r="A398" t="s">
        <v>283</v>
      </c>
      <c r="B398" t="s">
        <v>262</v>
      </c>
    </row>
    <row r="399" spans="1:2" x14ac:dyDescent="0.25">
      <c r="A399" t="s">
        <v>283</v>
      </c>
      <c r="B399" t="s">
        <v>262</v>
      </c>
    </row>
    <row r="400" spans="1:2" x14ac:dyDescent="0.25">
      <c r="A400" t="s">
        <v>283</v>
      </c>
      <c r="B400" t="s">
        <v>262</v>
      </c>
    </row>
    <row r="401" spans="1:2" x14ac:dyDescent="0.25">
      <c r="A401" t="s">
        <v>283</v>
      </c>
      <c r="B401" t="s">
        <v>262</v>
      </c>
    </row>
    <row r="402" spans="1:2" x14ac:dyDescent="0.25">
      <c r="A402" t="s">
        <v>283</v>
      </c>
      <c r="B402" t="s">
        <v>262</v>
      </c>
    </row>
    <row r="403" spans="1:2" x14ac:dyDescent="0.25">
      <c r="A403" t="s">
        <v>283</v>
      </c>
      <c r="B403" t="s">
        <v>262</v>
      </c>
    </row>
    <row r="404" spans="1:2" x14ac:dyDescent="0.25">
      <c r="A404" t="s">
        <v>283</v>
      </c>
      <c r="B404" t="s">
        <v>262</v>
      </c>
    </row>
    <row r="405" spans="1:2" x14ac:dyDescent="0.25">
      <c r="A405" t="s">
        <v>283</v>
      </c>
      <c r="B405" t="s">
        <v>262</v>
      </c>
    </row>
    <row r="406" spans="1:2" x14ac:dyDescent="0.25">
      <c r="A406" t="s">
        <v>283</v>
      </c>
      <c r="B406" t="s">
        <v>262</v>
      </c>
    </row>
    <row r="407" spans="1:2" x14ac:dyDescent="0.25">
      <c r="A407" t="s">
        <v>283</v>
      </c>
      <c r="B407" t="s">
        <v>262</v>
      </c>
    </row>
    <row r="408" spans="1:2" x14ac:dyDescent="0.25">
      <c r="A408" t="s">
        <v>283</v>
      </c>
      <c r="B408" t="s">
        <v>262</v>
      </c>
    </row>
    <row r="409" spans="1:2" x14ac:dyDescent="0.25">
      <c r="A409" t="s">
        <v>283</v>
      </c>
      <c r="B409" t="s">
        <v>262</v>
      </c>
    </row>
    <row r="410" spans="1:2" x14ac:dyDescent="0.25">
      <c r="A410" t="s">
        <v>283</v>
      </c>
      <c r="B410" t="s">
        <v>262</v>
      </c>
    </row>
    <row r="411" spans="1:2" x14ac:dyDescent="0.25">
      <c r="A411" t="s">
        <v>283</v>
      </c>
      <c r="B411" t="s">
        <v>262</v>
      </c>
    </row>
    <row r="412" spans="1:2" x14ac:dyDescent="0.25">
      <c r="A412" t="s">
        <v>283</v>
      </c>
      <c r="B412" t="s">
        <v>262</v>
      </c>
    </row>
    <row r="413" spans="1:2" x14ac:dyDescent="0.25">
      <c r="A413" t="s">
        <v>283</v>
      </c>
      <c r="B413" t="s">
        <v>262</v>
      </c>
    </row>
    <row r="414" spans="1:2" x14ac:dyDescent="0.25">
      <c r="A414" t="s">
        <v>283</v>
      </c>
      <c r="B414" t="s">
        <v>262</v>
      </c>
    </row>
    <row r="415" spans="1:2" x14ac:dyDescent="0.25">
      <c r="A415" t="s">
        <v>283</v>
      </c>
      <c r="B415" t="s">
        <v>262</v>
      </c>
    </row>
    <row r="416" spans="1:2" x14ac:dyDescent="0.25">
      <c r="A416" t="s">
        <v>283</v>
      </c>
      <c r="B416" t="s">
        <v>262</v>
      </c>
    </row>
    <row r="417" spans="1:2" x14ac:dyDescent="0.25">
      <c r="A417" t="s">
        <v>283</v>
      </c>
      <c r="B417" t="s">
        <v>262</v>
      </c>
    </row>
    <row r="418" spans="1:2" x14ac:dyDescent="0.25">
      <c r="A418" t="s">
        <v>283</v>
      </c>
      <c r="B418" t="s">
        <v>262</v>
      </c>
    </row>
    <row r="419" spans="1:2" x14ac:dyDescent="0.25">
      <c r="A419" t="s">
        <v>283</v>
      </c>
      <c r="B419" t="s">
        <v>262</v>
      </c>
    </row>
    <row r="420" spans="1:2" x14ac:dyDescent="0.25">
      <c r="A420" t="s">
        <v>283</v>
      </c>
      <c r="B420" t="s">
        <v>262</v>
      </c>
    </row>
    <row r="421" spans="1:2" x14ac:dyDescent="0.25">
      <c r="A421" t="s">
        <v>283</v>
      </c>
      <c r="B421" t="s">
        <v>262</v>
      </c>
    </row>
    <row r="422" spans="1:2" x14ac:dyDescent="0.25">
      <c r="A422" t="s">
        <v>284</v>
      </c>
      <c r="B422" t="s">
        <v>263</v>
      </c>
    </row>
    <row r="423" spans="1:2" x14ac:dyDescent="0.25">
      <c r="A423" t="s">
        <v>284</v>
      </c>
      <c r="B423" t="s">
        <v>263</v>
      </c>
    </row>
    <row r="424" spans="1:2" x14ac:dyDescent="0.25">
      <c r="A424" t="s">
        <v>284</v>
      </c>
      <c r="B424" t="s">
        <v>263</v>
      </c>
    </row>
    <row r="425" spans="1:2" x14ac:dyDescent="0.25">
      <c r="A425" t="s">
        <v>284</v>
      </c>
      <c r="B425" t="s">
        <v>263</v>
      </c>
    </row>
    <row r="426" spans="1:2" x14ac:dyDescent="0.25">
      <c r="A426" t="s">
        <v>284</v>
      </c>
      <c r="B426" t="s">
        <v>263</v>
      </c>
    </row>
    <row r="427" spans="1:2" x14ac:dyDescent="0.25">
      <c r="A427" t="s">
        <v>284</v>
      </c>
      <c r="B427" t="s">
        <v>263</v>
      </c>
    </row>
    <row r="428" spans="1:2" x14ac:dyDescent="0.25">
      <c r="A428" t="s">
        <v>284</v>
      </c>
      <c r="B428" t="s">
        <v>263</v>
      </c>
    </row>
    <row r="429" spans="1:2" x14ac:dyDescent="0.25">
      <c r="A429" t="s">
        <v>284</v>
      </c>
      <c r="B429" t="s">
        <v>263</v>
      </c>
    </row>
    <row r="430" spans="1:2" x14ac:dyDescent="0.25">
      <c r="A430" t="s">
        <v>284</v>
      </c>
      <c r="B430" t="s">
        <v>263</v>
      </c>
    </row>
    <row r="431" spans="1:2" x14ac:dyDescent="0.25">
      <c r="A431" t="s">
        <v>284</v>
      </c>
      <c r="B431" t="s">
        <v>263</v>
      </c>
    </row>
    <row r="432" spans="1:2" x14ac:dyDescent="0.25">
      <c r="A432" t="s">
        <v>284</v>
      </c>
      <c r="B432" t="s">
        <v>263</v>
      </c>
    </row>
    <row r="433" spans="1:2" x14ac:dyDescent="0.25">
      <c r="A433" t="s">
        <v>284</v>
      </c>
      <c r="B433" t="s">
        <v>263</v>
      </c>
    </row>
    <row r="434" spans="1:2" x14ac:dyDescent="0.25">
      <c r="A434" t="s">
        <v>284</v>
      </c>
      <c r="B434" t="s">
        <v>263</v>
      </c>
    </row>
    <row r="435" spans="1:2" x14ac:dyDescent="0.25">
      <c r="A435" t="s">
        <v>284</v>
      </c>
      <c r="B435" t="s">
        <v>263</v>
      </c>
    </row>
    <row r="436" spans="1:2" x14ac:dyDescent="0.25">
      <c r="A436" t="s">
        <v>284</v>
      </c>
      <c r="B436" t="s">
        <v>263</v>
      </c>
    </row>
    <row r="437" spans="1:2" x14ac:dyDescent="0.25">
      <c r="A437" t="s">
        <v>284</v>
      </c>
      <c r="B437" t="s">
        <v>263</v>
      </c>
    </row>
    <row r="438" spans="1:2" x14ac:dyDescent="0.25">
      <c r="A438" t="s">
        <v>284</v>
      </c>
      <c r="B438" t="s">
        <v>263</v>
      </c>
    </row>
    <row r="439" spans="1:2" x14ac:dyDescent="0.25">
      <c r="A439" t="s">
        <v>284</v>
      </c>
      <c r="B439" t="s">
        <v>263</v>
      </c>
    </row>
    <row r="440" spans="1:2" x14ac:dyDescent="0.25">
      <c r="A440" t="s">
        <v>284</v>
      </c>
      <c r="B440" t="s">
        <v>263</v>
      </c>
    </row>
    <row r="441" spans="1:2" x14ac:dyDescent="0.25">
      <c r="A441" t="s">
        <v>284</v>
      </c>
      <c r="B441" t="s">
        <v>263</v>
      </c>
    </row>
    <row r="442" spans="1:2" x14ac:dyDescent="0.25">
      <c r="A442" t="s">
        <v>284</v>
      </c>
      <c r="B442" t="s">
        <v>263</v>
      </c>
    </row>
    <row r="443" spans="1:2" x14ac:dyDescent="0.25">
      <c r="A443" t="s">
        <v>284</v>
      </c>
      <c r="B443" t="s">
        <v>263</v>
      </c>
    </row>
    <row r="444" spans="1:2" x14ac:dyDescent="0.25">
      <c r="A444" t="s">
        <v>284</v>
      </c>
      <c r="B444" t="s">
        <v>263</v>
      </c>
    </row>
    <row r="445" spans="1:2" x14ac:dyDescent="0.25">
      <c r="A445" t="s">
        <v>284</v>
      </c>
      <c r="B445" t="s">
        <v>263</v>
      </c>
    </row>
    <row r="446" spans="1:2" x14ac:dyDescent="0.25">
      <c r="A446" t="s">
        <v>284</v>
      </c>
      <c r="B446" t="s">
        <v>263</v>
      </c>
    </row>
    <row r="447" spans="1:2" x14ac:dyDescent="0.25">
      <c r="A447" t="s">
        <v>284</v>
      </c>
      <c r="B447" t="s">
        <v>263</v>
      </c>
    </row>
    <row r="448" spans="1:2" x14ac:dyDescent="0.25">
      <c r="A448" t="s">
        <v>284</v>
      </c>
      <c r="B448" t="s">
        <v>263</v>
      </c>
    </row>
    <row r="449" spans="1:2" x14ac:dyDescent="0.25">
      <c r="A449" t="s">
        <v>284</v>
      </c>
      <c r="B449" t="s">
        <v>263</v>
      </c>
    </row>
    <row r="450" spans="1:2" x14ac:dyDescent="0.25">
      <c r="A450" t="s">
        <v>285</v>
      </c>
      <c r="B450" t="s">
        <v>262</v>
      </c>
    </row>
    <row r="451" spans="1:2" x14ac:dyDescent="0.25">
      <c r="A451" t="s">
        <v>285</v>
      </c>
      <c r="B451" t="s">
        <v>262</v>
      </c>
    </row>
    <row r="452" spans="1:2" x14ac:dyDescent="0.25">
      <c r="A452" t="s">
        <v>285</v>
      </c>
      <c r="B452" t="s">
        <v>262</v>
      </c>
    </row>
    <row r="453" spans="1:2" x14ac:dyDescent="0.25">
      <c r="A453" t="s">
        <v>285</v>
      </c>
      <c r="B453" t="s">
        <v>262</v>
      </c>
    </row>
    <row r="454" spans="1:2" x14ac:dyDescent="0.25">
      <c r="A454" t="s">
        <v>285</v>
      </c>
      <c r="B454" t="s">
        <v>262</v>
      </c>
    </row>
    <row r="455" spans="1:2" x14ac:dyDescent="0.25">
      <c r="A455" t="s">
        <v>285</v>
      </c>
      <c r="B455" t="s">
        <v>262</v>
      </c>
    </row>
    <row r="456" spans="1:2" x14ac:dyDescent="0.25">
      <c r="A456" t="s">
        <v>285</v>
      </c>
      <c r="B456" t="s">
        <v>262</v>
      </c>
    </row>
    <row r="457" spans="1:2" x14ac:dyDescent="0.25">
      <c r="A457" t="s">
        <v>285</v>
      </c>
      <c r="B457" t="s">
        <v>262</v>
      </c>
    </row>
    <row r="458" spans="1:2" x14ac:dyDescent="0.25">
      <c r="A458" t="s">
        <v>285</v>
      </c>
      <c r="B458" t="s">
        <v>262</v>
      </c>
    </row>
    <row r="459" spans="1:2" x14ac:dyDescent="0.25">
      <c r="A459" t="s">
        <v>285</v>
      </c>
      <c r="B459" t="s">
        <v>262</v>
      </c>
    </row>
    <row r="460" spans="1:2" x14ac:dyDescent="0.25">
      <c r="A460" t="s">
        <v>285</v>
      </c>
      <c r="B460" t="s">
        <v>262</v>
      </c>
    </row>
    <row r="461" spans="1:2" x14ac:dyDescent="0.25">
      <c r="A461" t="s">
        <v>285</v>
      </c>
      <c r="B461" t="s">
        <v>262</v>
      </c>
    </row>
    <row r="462" spans="1:2" x14ac:dyDescent="0.25">
      <c r="A462" t="s">
        <v>285</v>
      </c>
      <c r="B462" t="s">
        <v>262</v>
      </c>
    </row>
    <row r="463" spans="1:2" x14ac:dyDescent="0.25">
      <c r="A463" t="s">
        <v>285</v>
      </c>
      <c r="B463" t="s">
        <v>262</v>
      </c>
    </row>
    <row r="464" spans="1:2" x14ac:dyDescent="0.25">
      <c r="A464" t="s">
        <v>285</v>
      </c>
      <c r="B464" t="s">
        <v>262</v>
      </c>
    </row>
    <row r="465" spans="1:2" x14ac:dyDescent="0.25">
      <c r="A465" t="s">
        <v>285</v>
      </c>
      <c r="B465" t="s">
        <v>262</v>
      </c>
    </row>
    <row r="466" spans="1:2" x14ac:dyDescent="0.25">
      <c r="A466" t="s">
        <v>285</v>
      </c>
      <c r="B466" t="s">
        <v>262</v>
      </c>
    </row>
    <row r="467" spans="1:2" x14ac:dyDescent="0.25">
      <c r="A467" t="s">
        <v>285</v>
      </c>
      <c r="B467" t="s">
        <v>262</v>
      </c>
    </row>
    <row r="468" spans="1:2" x14ac:dyDescent="0.25">
      <c r="A468" t="s">
        <v>285</v>
      </c>
      <c r="B468" t="s">
        <v>262</v>
      </c>
    </row>
    <row r="469" spans="1:2" x14ac:dyDescent="0.25">
      <c r="A469" t="s">
        <v>285</v>
      </c>
      <c r="B469" t="s">
        <v>262</v>
      </c>
    </row>
    <row r="470" spans="1:2" x14ac:dyDescent="0.25">
      <c r="A470" t="s">
        <v>285</v>
      </c>
      <c r="B470" t="s">
        <v>262</v>
      </c>
    </row>
    <row r="471" spans="1:2" x14ac:dyDescent="0.25">
      <c r="A471" t="s">
        <v>285</v>
      </c>
      <c r="B471" t="s">
        <v>262</v>
      </c>
    </row>
    <row r="472" spans="1:2" x14ac:dyDescent="0.25">
      <c r="A472" t="s">
        <v>285</v>
      </c>
      <c r="B472" t="s">
        <v>262</v>
      </c>
    </row>
    <row r="473" spans="1:2" x14ac:dyDescent="0.25">
      <c r="A473" t="s">
        <v>285</v>
      </c>
      <c r="B473" t="s">
        <v>262</v>
      </c>
    </row>
    <row r="474" spans="1:2" x14ac:dyDescent="0.25">
      <c r="A474" t="s">
        <v>285</v>
      </c>
      <c r="B474" t="s">
        <v>262</v>
      </c>
    </row>
    <row r="475" spans="1:2" x14ac:dyDescent="0.25">
      <c r="A475" t="s">
        <v>285</v>
      </c>
      <c r="B475" t="s">
        <v>262</v>
      </c>
    </row>
    <row r="476" spans="1:2" x14ac:dyDescent="0.25">
      <c r="A476" t="s">
        <v>285</v>
      </c>
      <c r="B476" t="s">
        <v>262</v>
      </c>
    </row>
    <row r="477" spans="1:2" x14ac:dyDescent="0.25">
      <c r="A477" t="s">
        <v>286</v>
      </c>
      <c r="B477" t="s">
        <v>264</v>
      </c>
    </row>
    <row r="478" spans="1:2" x14ac:dyDescent="0.25">
      <c r="A478" t="s">
        <v>286</v>
      </c>
      <c r="B478" t="s">
        <v>264</v>
      </c>
    </row>
    <row r="479" spans="1:2" x14ac:dyDescent="0.25">
      <c r="A479" t="s">
        <v>286</v>
      </c>
      <c r="B479" t="s">
        <v>264</v>
      </c>
    </row>
    <row r="480" spans="1:2" x14ac:dyDescent="0.25">
      <c r="A480" t="s">
        <v>286</v>
      </c>
      <c r="B480" t="s">
        <v>264</v>
      </c>
    </row>
    <row r="481" spans="1:2" x14ac:dyDescent="0.25">
      <c r="A481" t="s">
        <v>286</v>
      </c>
      <c r="B481" t="s">
        <v>264</v>
      </c>
    </row>
    <row r="482" spans="1:2" x14ac:dyDescent="0.25">
      <c r="A482" t="s">
        <v>286</v>
      </c>
      <c r="B482" t="s">
        <v>264</v>
      </c>
    </row>
    <row r="483" spans="1:2" x14ac:dyDescent="0.25">
      <c r="A483" t="s">
        <v>286</v>
      </c>
      <c r="B483" t="s">
        <v>264</v>
      </c>
    </row>
    <row r="484" spans="1:2" x14ac:dyDescent="0.25">
      <c r="A484" t="s">
        <v>286</v>
      </c>
      <c r="B484" t="s">
        <v>264</v>
      </c>
    </row>
    <row r="485" spans="1:2" x14ac:dyDescent="0.25">
      <c r="A485" t="s">
        <v>286</v>
      </c>
      <c r="B485" t="s">
        <v>264</v>
      </c>
    </row>
    <row r="486" spans="1:2" x14ac:dyDescent="0.25">
      <c r="A486" t="s">
        <v>286</v>
      </c>
      <c r="B486" t="s">
        <v>264</v>
      </c>
    </row>
    <row r="487" spans="1:2" x14ac:dyDescent="0.25">
      <c r="A487" t="s">
        <v>286</v>
      </c>
      <c r="B487" t="s">
        <v>264</v>
      </c>
    </row>
    <row r="488" spans="1:2" x14ac:dyDescent="0.25">
      <c r="A488" t="s">
        <v>286</v>
      </c>
      <c r="B488" t="s">
        <v>264</v>
      </c>
    </row>
    <row r="489" spans="1:2" x14ac:dyDescent="0.25">
      <c r="A489" t="s">
        <v>286</v>
      </c>
      <c r="B489" t="s">
        <v>264</v>
      </c>
    </row>
    <row r="490" spans="1:2" x14ac:dyDescent="0.25">
      <c r="A490" t="s">
        <v>286</v>
      </c>
      <c r="B490" t="s">
        <v>264</v>
      </c>
    </row>
    <row r="491" spans="1:2" x14ac:dyDescent="0.25">
      <c r="A491" t="s">
        <v>286</v>
      </c>
      <c r="B491" t="s">
        <v>264</v>
      </c>
    </row>
    <row r="492" spans="1:2" x14ac:dyDescent="0.25">
      <c r="A492" t="s">
        <v>286</v>
      </c>
      <c r="B492" t="s">
        <v>264</v>
      </c>
    </row>
    <row r="493" spans="1:2" x14ac:dyDescent="0.25">
      <c r="A493" t="s">
        <v>286</v>
      </c>
      <c r="B493" t="s">
        <v>264</v>
      </c>
    </row>
    <row r="494" spans="1:2" x14ac:dyDescent="0.25">
      <c r="A494" t="s">
        <v>286</v>
      </c>
      <c r="B494" t="s">
        <v>264</v>
      </c>
    </row>
    <row r="495" spans="1:2" x14ac:dyDescent="0.25">
      <c r="A495" t="s">
        <v>286</v>
      </c>
      <c r="B495" t="s">
        <v>264</v>
      </c>
    </row>
    <row r="496" spans="1:2" x14ac:dyDescent="0.25">
      <c r="A496" t="s">
        <v>286</v>
      </c>
      <c r="B496" t="s">
        <v>264</v>
      </c>
    </row>
    <row r="497" spans="1:2" x14ac:dyDescent="0.25">
      <c r="A497" t="s">
        <v>286</v>
      </c>
      <c r="B497" t="s">
        <v>264</v>
      </c>
    </row>
    <row r="498" spans="1:2" x14ac:dyDescent="0.25">
      <c r="A498" t="s">
        <v>286</v>
      </c>
      <c r="B498" t="s">
        <v>264</v>
      </c>
    </row>
    <row r="499" spans="1:2" x14ac:dyDescent="0.25">
      <c r="A499" t="s">
        <v>286</v>
      </c>
      <c r="B499" t="s">
        <v>264</v>
      </c>
    </row>
    <row r="500" spans="1:2" x14ac:dyDescent="0.25">
      <c r="A500" t="s">
        <v>286</v>
      </c>
      <c r="B500" t="s">
        <v>264</v>
      </c>
    </row>
    <row r="501" spans="1:2" x14ac:dyDescent="0.25">
      <c r="A501" t="s">
        <v>286</v>
      </c>
      <c r="B501" t="s">
        <v>264</v>
      </c>
    </row>
    <row r="502" spans="1:2" x14ac:dyDescent="0.25">
      <c r="A502" t="s">
        <v>286</v>
      </c>
      <c r="B502" t="s">
        <v>264</v>
      </c>
    </row>
    <row r="503" spans="1:2" x14ac:dyDescent="0.25">
      <c r="A503" t="s">
        <v>287</v>
      </c>
      <c r="B503" t="s">
        <v>264</v>
      </c>
    </row>
    <row r="504" spans="1:2" x14ac:dyDescent="0.25">
      <c r="A504" t="s">
        <v>287</v>
      </c>
      <c r="B504" t="s">
        <v>264</v>
      </c>
    </row>
    <row r="505" spans="1:2" x14ac:dyDescent="0.25">
      <c r="A505" t="s">
        <v>287</v>
      </c>
      <c r="B505" t="s">
        <v>264</v>
      </c>
    </row>
    <row r="506" spans="1:2" x14ac:dyDescent="0.25">
      <c r="A506" t="s">
        <v>287</v>
      </c>
      <c r="B506" t="s">
        <v>264</v>
      </c>
    </row>
    <row r="507" spans="1:2" x14ac:dyDescent="0.25">
      <c r="A507" t="s">
        <v>287</v>
      </c>
      <c r="B507" t="s">
        <v>264</v>
      </c>
    </row>
    <row r="508" spans="1:2" x14ac:dyDescent="0.25">
      <c r="A508" t="s">
        <v>287</v>
      </c>
      <c r="B508" t="s">
        <v>264</v>
      </c>
    </row>
    <row r="509" spans="1:2" x14ac:dyDescent="0.25">
      <c r="A509" t="s">
        <v>287</v>
      </c>
      <c r="B509" t="s">
        <v>264</v>
      </c>
    </row>
    <row r="510" spans="1:2" x14ac:dyDescent="0.25">
      <c r="A510" t="s">
        <v>287</v>
      </c>
      <c r="B510" t="s">
        <v>264</v>
      </c>
    </row>
    <row r="511" spans="1:2" x14ac:dyDescent="0.25">
      <c r="A511" t="s">
        <v>287</v>
      </c>
      <c r="B511" t="s">
        <v>264</v>
      </c>
    </row>
    <row r="512" spans="1:2" x14ac:dyDescent="0.25">
      <c r="A512" t="s">
        <v>287</v>
      </c>
      <c r="B512" t="s">
        <v>264</v>
      </c>
    </row>
    <row r="513" spans="1:2" x14ac:dyDescent="0.25">
      <c r="A513" t="s">
        <v>287</v>
      </c>
      <c r="B513" t="s">
        <v>264</v>
      </c>
    </row>
    <row r="514" spans="1:2" x14ac:dyDescent="0.25">
      <c r="A514" t="s">
        <v>287</v>
      </c>
      <c r="B514" t="s">
        <v>264</v>
      </c>
    </row>
    <row r="515" spans="1:2" x14ac:dyDescent="0.25">
      <c r="A515" t="s">
        <v>287</v>
      </c>
      <c r="B515" t="s">
        <v>264</v>
      </c>
    </row>
    <row r="516" spans="1:2" x14ac:dyDescent="0.25">
      <c r="A516" t="s">
        <v>287</v>
      </c>
      <c r="B516" t="s">
        <v>264</v>
      </c>
    </row>
    <row r="517" spans="1:2" x14ac:dyDescent="0.25">
      <c r="A517" t="s">
        <v>287</v>
      </c>
      <c r="B517" t="s">
        <v>264</v>
      </c>
    </row>
    <row r="518" spans="1:2" x14ac:dyDescent="0.25">
      <c r="A518" t="s">
        <v>287</v>
      </c>
      <c r="B518" t="s">
        <v>264</v>
      </c>
    </row>
    <row r="519" spans="1:2" x14ac:dyDescent="0.25">
      <c r="A519" t="s">
        <v>287</v>
      </c>
      <c r="B519" t="s">
        <v>264</v>
      </c>
    </row>
    <row r="520" spans="1:2" x14ac:dyDescent="0.25">
      <c r="A520" t="s">
        <v>287</v>
      </c>
      <c r="B520" t="s">
        <v>264</v>
      </c>
    </row>
    <row r="521" spans="1:2" x14ac:dyDescent="0.25">
      <c r="A521" t="s">
        <v>287</v>
      </c>
      <c r="B521" t="s">
        <v>264</v>
      </c>
    </row>
    <row r="522" spans="1:2" x14ac:dyDescent="0.25">
      <c r="A522" t="s">
        <v>287</v>
      </c>
      <c r="B522" t="s">
        <v>264</v>
      </c>
    </row>
    <row r="523" spans="1:2" x14ac:dyDescent="0.25">
      <c r="A523" t="s">
        <v>287</v>
      </c>
      <c r="B523" t="s">
        <v>264</v>
      </c>
    </row>
    <row r="524" spans="1:2" x14ac:dyDescent="0.25">
      <c r="A524" t="s">
        <v>287</v>
      </c>
      <c r="B524" t="s">
        <v>264</v>
      </c>
    </row>
    <row r="525" spans="1:2" x14ac:dyDescent="0.25">
      <c r="A525" t="s">
        <v>287</v>
      </c>
      <c r="B525" t="s">
        <v>264</v>
      </c>
    </row>
    <row r="526" spans="1:2" x14ac:dyDescent="0.25">
      <c r="A526" t="s">
        <v>287</v>
      </c>
      <c r="B526" t="s">
        <v>264</v>
      </c>
    </row>
    <row r="527" spans="1:2" x14ac:dyDescent="0.25">
      <c r="A527" t="s">
        <v>287</v>
      </c>
      <c r="B527" t="s">
        <v>264</v>
      </c>
    </row>
    <row r="528" spans="1:2" x14ac:dyDescent="0.25">
      <c r="A528" t="s">
        <v>287</v>
      </c>
      <c r="B528" t="s">
        <v>264</v>
      </c>
    </row>
    <row r="529" spans="1:2" x14ac:dyDescent="0.25">
      <c r="A529" t="s">
        <v>288</v>
      </c>
      <c r="B529" t="s">
        <v>262</v>
      </c>
    </row>
    <row r="530" spans="1:2" x14ac:dyDescent="0.25">
      <c r="A530" t="s">
        <v>288</v>
      </c>
      <c r="B530" t="s">
        <v>262</v>
      </c>
    </row>
    <row r="531" spans="1:2" x14ac:dyDescent="0.25">
      <c r="A531" t="s">
        <v>288</v>
      </c>
      <c r="B531" t="s">
        <v>262</v>
      </c>
    </row>
    <row r="532" spans="1:2" x14ac:dyDescent="0.25">
      <c r="A532" t="s">
        <v>288</v>
      </c>
      <c r="B532" t="s">
        <v>262</v>
      </c>
    </row>
    <row r="533" spans="1:2" x14ac:dyDescent="0.25">
      <c r="A533" t="s">
        <v>288</v>
      </c>
      <c r="B533" t="s">
        <v>262</v>
      </c>
    </row>
    <row r="534" spans="1:2" x14ac:dyDescent="0.25">
      <c r="A534" t="s">
        <v>288</v>
      </c>
      <c r="B534" t="s">
        <v>262</v>
      </c>
    </row>
    <row r="535" spans="1:2" x14ac:dyDescent="0.25">
      <c r="A535" t="s">
        <v>288</v>
      </c>
      <c r="B535" t="s">
        <v>262</v>
      </c>
    </row>
    <row r="536" spans="1:2" x14ac:dyDescent="0.25">
      <c r="A536" t="s">
        <v>288</v>
      </c>
      <c r="B536" t="s">
        <v>262</v>
      </c>
    </row>
    <row r="537" spans="1:2" x14ac:dyDescent="0.25">
      <c r="A537" t="s">
        <v>288</v>
      </c>
      <c r="B537" t="s">
        <v>262</v>
      </c>
    </row>
    <row r="538" spans="1:2" x14ac:dyDescent="0.25">
      <c r="A538" t="s">
        <v>288</v>
      </c>
      <c r="B538" t="s">
        <v>262</v>
      </c>
    </row>
    <row r="539" spans="1:2" x14ac:dyDescent="0.25">
      <c r="A539" t="s">
        <v>288</v>
      </c>
      <c r="B539" t="s">
        <v>262</v>
      </c>
    </row>
    <row r="540" spans="1:2" x14ac:dyDescent="0.25">
      <c r="A540" t="s">
        <v>288</v>
      </c>
      <c r="B540" t="s">
        <v>262</v>
      </c>
    </row>
    <row r="541" spans="1:2" x14ac:dyDescent="0.25">
      <c r="A541" t="s">
        <v>288</v>
      </c>
      <c r="B541" t="s">
        <v>262</v>
      </c>
    </row>
    <row r="542" spans="1:2" x14ac:dyDescent="0.25">
      <c r="A542" t="s">
        <v>288</v>
      </c>
      <c r="B542" t="s">
        <v>262</v>
      </c>
    </row>
    <row r="543" spans="1:2" x14ac:dyDescent="0.25">
      <c r="A543" t="s">
        <v>288</v>
      </c>
      <c r="B543" t="s">
        <v>262</v>
      </c>
    </row>
    <row r="544" spans="1:2" x14ac:dyDescent="0.25">
      <c r="A544" t="s">
        <v>288</v>
      </c>
      <c r="B544" t="s">
        <v>262</v>
      </c>
    </row>
    <row r="545" spans="1:2" x14ac:dyDescent="0.25">
      <c r="A545" t="s">
        <v>288</v>
      </c>
      <c r="B545" t="s">
        <v>262</v>
      </c>
    </row>
    <row r="546" spans="1:2" x14ac:dyDescent="0.25">
      <c r="A546" t="s">
        <v>288</v>
      </c>
      <c r="B546" t="s">
        <v>262</v>
      </c>
    </row>
    <row r="547" spans="1:2" x14ac:dyDescent="0.25">
      <c r="A547" t="s">
        <v>288</v>
      </c>
      <c r="B547" t="s">
        <v>262</v>
      </c>
    </row>
    <row r="548" spans="1:2" x14ac:dyDescent="0.25">
      <c r="A548" t="s">
        <v>288</v>
      </c>
      <c r="B548" t="s">
        <v>262</v>
      </c>
    </row>
    <row r="549" spans="1:2" x14ac:dyDescent="0.25">
      <c r="A549" t="s">
        <v>288</v>
      </c>
      <c r="B549" t="s">
        <v>262</v>
      </c>
    </row>
    <row r="550" spans="1:2" x14ac:dyDescent="0.25">
      <c r="A550" t="s">
        <v>288</v>
      </c>
      <c r="B550" t="s">
        <v>262</v>
      </c>
    </row>
    <row r="551" spans="1:2" x14ac:dyDescent="0.25">
      <c r="A551" t="s">
        <v>288</v>
      </c>
      <c r="B551" t="s">
        <v>262</v>
      </c>
    </row>
    <row r="552" spans="1:2" x14ac:dyDescent="0.25">
      <c r="A552" t="s">
        <v>288</v>
      </c>
      <c r="B552" t="s">
        <v>262</v>
      </c>
    </row>
    <row r="553" spans="1:2" x14ac:dyDescent="0.25">
      <c r="A553" t="s">
        <v>288</v>
      </c>
      <c r="B553" t="s">
        <v>262</v>
      </c>
    </row>
    <row r="554" spans="1:2" x14ac:dyDescent="0.25">
      <c r="A554" t="s">
        <v>289</v>
      </c>
      <c r="B554" t="s">
        <v>265</v>
      </c>
    </row>
    <row r="555" spans="1:2" x14ac:dyDescent="0.25">
      <c r="A555" t="s">
        <v>289</v>
      </c>
      <c r="B555" t="s">
        <v>265</v>
      </c>
    </row>
    <row r="556" spans="1:2" x14ac:dyDescent="0.25">
      <c r="A556" t="s">
        <v>289</v>
      </c>
      <c r="B556" t="s">
        <v>265</v>
      </c>
    </row>
    <row r="557" spans="1:2" x14ac:dyDescent="0.25">
      <c r="A557" t="s">
        <v>289</v>
      </c>
      <c r="B557" t="s">
        <v>265</v>
      </c>
    </row>
    <row r="558" spans="1:2" x14ac:dyDescent="0.25">
      <c r="A558" t="s">
        <v>289</v>
      </c>
      <c r="B558" t="s">
        <v>265</v>
      </c>
    </row>
    <row r="559" spans="1:2" x14ac:dyDescent="0.25">
      <c r="A559" t="s">
        <v>289</v>
      </c>
      <c r="B559" t="s">
        <v>265</v>
      </c>
    </row>
    <row r="560" spans="1:2" x14ac:dyDescent="0.25">
      <c r="A560" t="s">
        <v>289</v>
      </c>
      <c r="B560" t="s">
        <v>265</v>
      </c>
    </row>
    <row r="561" spans="1:2" x14ac:dyDescent="0.25">
      <c r="A561" t="s">
        <v>289</v>
      </c>
      <c r="B561" t="s">
        <v>265</v>
      </c>
    </row>
    <row r="562" spans="1:2" x14ac:dyDescent="0.25">
      <c r="A562" t="s">
        <v>289</v>
      </c>
      <c r="B562" t="s">
        <v>265</v>
      </c>
    </row>
    <row r="563" spans="1:2" x14ac:dyDescent="0.25">
      <c r="A563" t="s">
        <v>289</v>
      </c>
      <c r="B563" t="s">
        <v>265</v>
      </c>
    </row>
    <row r="564" spans="1:2" x14ac:dyDescent="0.25">
      <c r="A564" t="s">
        <v>289</v>
      </c>
      <c r="B564" t="s">
        <v>265</v>
      </c>
    </row>
    <row r="565" spans="1:2" x14ac:dyDescent="0.25">
      <c r="A565" t="s">
        <v>289</v>
      </c>
      <c r="B565" t="s">
        <v>265</v>
      </c>
    </row>
    <row r="566" spans="1:2" x14ac:dyDescent="0.25">
      <c r="A566" t="s">
        <v>289</v>
      </c>
      <c r="B566" t="s">
        <v>265</v>
      </c>
    </row>
    <row r="567" spans="1:2" x14ac:dyDescent="0.25">
      <c r="A567" t="s">
        <v>289</v>
      </c>
      <c r="B567" t="s">
        <v>265</v>
      </c>
    </row>
    <row r="568" spans="1:2" x14ac:dyDescent="0.25">
      <c r="A568" t="s">
        <v>289</v>
      </c>
      <c r="B568" t="s">
        <v>265</v>
      </c>
    </row>
    <row r="569" spans="1:2" x14ac:dyDescent="0.25">
      <c r="A569" t="s">
        <v>289</v>
      </c>
      <c r="B569" t="s">
        <v>265</v>
      </c>
    </row>
    <row r="570" spans="1:2" x14ac:dyDescent="0.25">
      <c r="A570" t="s">
        <v>289</v>
      </c>
      <c r="B570" t="s">
        <v>265</v>
      </c>
    </row>
    <row r="571" spans="1:2" x14ac:dyDescent="0.25">
      <c r="A571" t="s">
        <v>289</v>
      </c>
      <c r="B571" t="s">
        <v>265</v>
      </c>
    </row>
    <row r="572" spans="1:2" x14ac:dyDescent="0.25">
      <c r="A572" t="s">
        <v>289</v>
      </c>
      <c r="B572" t="s">
        <v>265</v>
      </c>
    </row>
    <row r="573" spans="1:2" x14ac:dyDescent="0.25">
      <c r="A573" t="s">
        <v>289</v>
      </c>
      <c r="B573" t="s">
        <v>265</v>
      </c>
    </row>
    <row r="574" spans="1:2" x14ac:dyDescent="0.25">
      <c r="A574" t="s">
        <v>289</v>
      </c>
      <c r="B574" t="s">
        <v>265</v>
      </c>
    </row>
    <row r="575" spans="1:2" x14ac:dyDescent="0.25">
      <c r="A575" t="s">
        <v>289</v>
      </c>
      <c r="B575" t="s">
        <v>265</v>
      </c>
    </row>
    <row r="576" spans="1:2" x14ac:dyDescent="0.25">
      <c r="A576" t="s">
        <v>289</v>
      </c>
      <c r="B576" t="s">
        <v>265</v>
      </c>
    </row>
    <row r="577" spans="1:2" x14ac:dyDescent="0.25">
      <c r="A577" t="s">
        <v>289</v>
      </c>
      <c r="B577" t="s">
        <v>265</v>
      </c>
    </row>
    <row r="578" spans="1:2" x14ac:dyDescent="0.25">
      <c r="A578" t="s">
        <v>289</v>
      </c>
      <c r="B578" t="s">
        <v>265</v>
      </c>
    </row>
    <row r="579" spans="1:2" x14ac:dyDescent="0.25">
      <c r="A579" t="s">
        <v>289</v>
      </c>
      <c r="B579" t="s">
        <v>265</v>
      </c>
    </row>
    <row r="580" spans="1:2" x14ac:dyDescent="0.25">
      <c r="A580" t="s">
        <v>290</v>
      </c>
      <c r="B580" t="s">
        <v>264</v>
      </c>
    </row>
    <row r="581" spans="1:2" x14ac:dyDescent="0.25">
      <c r="A581" t="s">
        <v>290</v>
      </c>
      <c r="B581" t="s">
        <v>264</v>
      </c>
    </row>
    <row r="582" spans="1:2" x14ac:dyDescent="0.25">
      <c r="A582" t="s">
        <v>290</v>
      </c>
      <c r="B582" t="s">
        <v>264</v>
      </c>
    </row>
    <row r="583" spans="1:2" x14ac:dyDescent="0.25">
      <c r="A583" t="s">
        <v>290</v>
      </c>
      <c r="B583" t="s">
        <v>264</v>
      </c>
    </row>
    <row r="584" spans="1:2" x14ac:dyDescent="0.25">
      <c r="A584" t="s">
        <v>290</v>
      </c>
      <c r="B584" t="s">
        <v>264</v>
      </c>
    </row>
    <row r="585" spans="1:2" x14ac:dyDescent="0.25">
      <c r="A585" t="s">
        <v>290</v>
      </c>
      <c r="B585" t="s">
        <v>264</v>
      </c>
    </row>
    <row r="586" spans="1:2" x14ac:dyDescent="0.25">
      <c r="A586" t="s">
        <v>290</v>
      </c>
      <c r="B586" t="s">
        <v>264</v>
      </c>
    </row>
    <row r="587" spans="1:2" x14ac:dyDescent="0.25">
      <c r="A587" t="s">
        <v>290</v>
      </c>
      <c r="B587" t="s">
        <v>264</v>
      </c>
    </row>
    <row r="588" spans="1:2" x14ac:dyDescent="0.25">
      <c r="A588" t="s">
        <v>290</v>
      </c>
      <c r="B588" t="s">
        <v>264</v>
      </c>
    </row>
    <row r="589" spans="1:2" x14ac:dyDescent="0.25">
      <c r="A589" t="s">
        <v>290</v>
      </c>
      <c r="B589" t="s">
        <v>264</v>
      </c>
    </row>
    <row r="590" spans="1:2" x14ac:dyDescent="0.25">
      <c r="A590" t="s">
        <v>290</v>
      </c>
      <c r="B590" t="s">
        <v>264</v>
      </c>
    </row>
    <row r="591" spans="1:2" x14ac:dyDescent="0.25">
      <c r="A591" t="s">
        <v>290</v>
      </c>
      <c r="B591" t="s">
        <v>264</v>
      </c>
    </row>
    <row r="592" spans="1:2" x14ac:dyDescent="0.25">
      <c r="A592" t="s">
        <v>290</v>
      </c>
      <c r="B592" t="s">
        <v>264</v>
      </c>
    </row>
    <row r="593" spans="1:2" x14ac:dyDescent="0.25">
      <c r="A593" t="s">
        <v>290</v>
      </c>
      <c r="B593" t="s">
        <v>264</v>
      </c>
    </row>
    <row r="594" spans="1:2" x14ac:dyDescent="0.25">
      <c r="A594" t="s">
        <v>290</v>
      </c>
      <c r="B594" t="s">
        <v>264</v>
      </c>
    </row>
    <row r="595" spans="1:2" x14ac:dyDescent="0.25">
      <c r="A595" t="s">
        <v>290</v>
      </c>
      <c r="B595" t="s">
        <v>264</v>
      </c>
    </row>
    <row r="596" spans="1:2" x14ac:dyDescent="0.25">
      <c r="A596" t="s">
        <v>290</v>
      </c>
      <c r="B596" t="s">
        <v>264</v>
      </c>
    </row>
    <row r="597" spans="1:2" x14ac:dyDescent="0.25">
      <c r="A597" t="s">
        <v>290</v>
      </c>
      <c r="B597" t="s">
        <v>264</v>
      </c>
    </row>
    <row r="598" spans="1:2" x14ac:dyDescent="0.25">
      <c r="A598" t="s">
        <v>290</v>
      </c>
      <c r="B598" t="s">
        <v>264</v>
      </c>
    </row>
    <row r="599" spans="1:2" x14ac:dyDescent="0.25">
      <c r="A599" t="s">
        <v>290</v>
      </c>
      <c r="B599" t="s">
        <v>264</v>
      </c>
    </row>
    <row r="600" spans="1:2" x14ac:dyDescent="0.25">
      <c r="A600" t="s">
        <v>290</v>
      </c>
      <c r="B600" t="s">
        <v>264</v>
      </c>
    </row>
    <row r="601" spans="1:2" x14ac:dyDescent="0.25">
      <c r="A601" t="s">
        <v>290</v>
      </c>
      <c r="B601" t="s">
        <v>264</v>
      </c>
    </row>
    <row r="602" spans="1:2" x14ac:dyDescent="0.25">
      <c r="A602" t="s">
        <v>291</v>
      </c>
      <c r="B602" t="s">
        <v>262</v>
      </c>
    </row>
    <row r="603" spans="1:2" x14ac:dyDescent="0.25">
      <c r="A603" t="s">
        <v>291</v>
      </c>
      <c r="B603" t="s">
        <v>262</v>
      </c>
    </row>
    <row r="604" spans="1:2" x14ac:dyDescent="0.25">
      <c r="A604" t="s">
        <v>291</v>
      </c>
      <c r="B604" t="s">
        <v>262</v>
      </c>
    </row>
    <row r="605" spans="1:2" x14ac:dyDescent="0.25">
      <c r="A605" t="s">
        <v>291</v>
      </c>
      <c r="B605" t="s">
        <v>262</v>
      </c>
    </row>
    <row r="606" spans="1:2" x14ac:dyDescent="0.25">
      <c r="A606" t="s">
        <v>291</v>
      </c>
      <c r="B606" t="s">
        <v>262</v>
      </c>
    </row>
    <row r="607" spans="1:2" x14ac:dyDescent="0.25">
      <c r="A607" t="s">
        <v>291</v>
      </c>
      <c r="B607" t="s">
        <v>262</v>
      </c>
    </row>
    <row r="608" spans="1:2" x14ac:dyDescent="0.25">
      <c r="A608" t="s">
        <v>291</v>
      </c>
      <c r="B608" t="s">
        <v>262</v>
      </c>
    </row>
    <row r="609" spans="1:2" x14ac:dyDescent="0.25">
      <c r="A609" t="s">
        <v>291</v>
      </c>
      <c r="B609" t="s">
        <v>262</v>
      </c>
    </row>
    <row r="610" spans="1:2" x14ac:dyDescent="0.25">
      <c r="A610" t="s">
        <v>291</v>
      </c>
      <c r="B610" t="s">
        <v>262</v>
      </c>
    </row>
    <row r="611" spans="1:2" x14ac:dyDescent="0.25">
      <c r="A611" t="s">
        <v>291</v>
      </c>
      <c r="B611" t="s">
        <v>262</v>
      </c>
    </row>
    <row r="612" spans="1:2" x14ac:dyDescent="0.25">
      <c r="A612" t="s">
        <v>291</v>
      </c>
      <c r="B612" t="s">
        <v>262</v>
      </c>
    </row>
    <row r="613" spans="1:2" x14ac:dyDescent="0.25">
      <c r="A613" t="s">
        <v>291</v>
      </c>
      <c r="B613" t="s">
        <v>262</v>
      </c>
    </row>
    <row r="614" spans="1:2" x14ac:dyDescent="0.25">
      <c r="A614" t="s">
        <v>291</v>
      </c>
      <c r="B614" t="s">
        <v>262</v>
      </c>
    </row>
    <row r="615" spans="1:2" x14ac:dyDescent="0.25">
      <c r="A615" t="s">
        <v>291</v>
      </c>
      <c r="B615" t="s">
        <v>262</v>
      </c>
    </row>
    <row r="616" spans="1:2" x14ac:dyDescent="0.25">
      <c r="A616" t="s">
        <v>291</v>
      </c>
      <c r="B616" t="s">
        <v>262</v>
      </c>
    </row>
    <row r="617" spans="1:2" x14ac:dyDescent="0.25">
      <c r="A617" t="s">
        <v>291</v>
      </c>
      <c r="B617" t="s">
        <v>262</v>
      </c>
    </row>
    <row r="618" spans="1:2" x14ac:dyDescent="0.25">
      <c r="A618" t="s">
        <v>291</v>
      </c>
      <c r="B618" t="s">
        <v>262</v>
      </c>
    </row>
    <row r="619" spans="1:2" x14ac:dyDescent="0.25">
      <c r="A619" t="s">
        <v>291</v>
      </c>
      <c r="B619" t="s">
        <v>262</v>
      </c>
    </row>
    <row r="620" spans="1:2" x14ac:dyDescent="0.25">
      <c r="A620" t="s">
        <v>291</v>
      </c>
      <c r="B620" t="s">
        <v>262</v>
      </c>
    </row>
    <row r="621" spans="1:2" x14ac:dyDescent="0.25">
      <c r="A621" t="s">
        <v>291</v>
      </c>
      <c r="B621" t="s">
        <v>262</v>
      </c>
    </row>
    <row r="622" spans="1:2" x14ac:dyDescent="0.25">
      <c r="A622" t="s">
        <v>291</v>
      </c>
      <c r="B622" t="s">
        <v>262</v>
      </c>
    </row>
    <row r="623" spans="1:2" x14ac:dyDescent="0.25">
      <c r="A623" t="s">
        <v>291</v>
      </c>
      <c r="B623" t="s">
        <v>262</v>
      </c>
    </row>
    <row r="624" spans="1:2" x14ac:dyDescent="0.25">
      <c r="A624" t="s">
        <v>291</v>
      </c>
      <c r="B624" t="s">
        <v>262</v>
      </c>
    </row>
    <row r="625" spans="1:2" x14ac:dyDescent="0.25">
      <c r="A625" t="s">
        <v>291</v>
      </c>
      <c r="B625" t="s">
        <v>262</v>
      </c>
    </row>
    <row r="626" spans="1:2" x14ac:dyDescent="0.25">
      <c r="A626" t="s">
        <v>291</v>
      </c>
      <c r="B626" t="s">
        <v>262</v>
      </c>
    </row>
    <row r="627" spans="1:2" x14ac:dyDescent="0.25">
      <c r="A627" t="s">
        <v>291</v>
      </c>
      <c r="B627" t="s">
        <v>262</v>
      </c>
    </row>
    <row r="628" spans="1:2" x14ac:dyDescent="0.25">
      <c r="A628" t="s">
        <v>292</v>
      </c>
      <c r="B628" t="s">
        <v>262</v>
      </c>
    </row>
    <row r="629" spans="1:2" x14ac:dyDescent="0.25">
      <c r="A629" t="s">
        <v>292</v>
      </c>
      <c r="B629" t="s">
        <v>262</v>
      </c>
    </row>
    <row r="630" spans="1:2" x14ac:dyDescent="0.25">
      <c r="A630" t="s">
        <v>292</v>
      </c>
      <c r="B630" t="s">
        <v>262</v>
      </c>
    </row>
    <row r="631" spans="1:2" x14ac:dyDescent="0.25">
      <c r="A631" t="s">
        <v>292</v>
      </c>
      <c r="B631" t="s">
        <v>262</v>
      </c>
    </row>
    <row r="632" spans="1:2" x14ac:dyDescent="0.25">
      <c r="A632" t="s">
        <v>292</v>
      </c>
      <c r="B632" t="s">
        <v>262</v>
      </c>
    </row>
    <row r="633" spans="1:2" x14ac:dyDescent="0.25">
      <c r="A633" t="s">
        <v>292</v>
      </c>
      <c r="B633" t="s">
        <v>262</v>
      </c>
    </row>
    <row r="634" spans="1:2" x14ac:dyDescent="0.25">
      <c r="A634" t="s">
        <v>292</v>
      </c>
      <c r="B634" t="s">
        <v>262</v>
      </c>
    </row>
    <row r="635" spans="1:2" x14ac:dyDescent="0.25">
      <c r="A635" t="s">
        <v>292</v>
      </c>
      <c r="B635" t="s">
        <v>262</v>
      </c>
    </row>
    <row r="636" spans="1:2" x14ac:dyDescent="0.25">
      <c r="A636" t="s">
        <v>292</v>
      </c>
      <c r="B636" t="s">
        <v>262</v>
      </c>
    </row>
    <row r="637" spans="1:2" x14ac:dyDescent="0.25">
      <c r="A637" t="s">
        <v>292</v>
      </c>
      <c r="B637" t="s">
        <v>262</v>
      </c>
    </row>
    <row r="638" spans="1:2" x14ac:dyDescent="0.25">
      <c r="A638" t="s">
        <v>292</v>
      </c>
      <c r="B638" t="s">
        <v>262</v>
      </c>
    </row>
    <row r="639" spans="1:2" x14ac:dyDescent="0.25">
      <c r="A639" t="s">
        <v>292</v>
      </c>
      <c r="B639" t="s">
        <v>262</v>
      </c>
    </row>
    <row r="640" spans="1:2" x14ac:dyDescent="0.25">
      <c r="A640" t="s">
        <v>292</v>
      </c>
      <c r="B640" t="s">
        <v>262</v>
      </c>
    </row>
    <row r="641" spans="1:2" x14ac:dyDescent="0.25">
      <c r="A641" t="s">
        <v>292</v>
      </c>
      <c r="B641" t="s">
        <v>262</v>
      </c>
    </row>
    <row r="642" spans="1:2" x14ac:dyDescent="0.25">
      <c r="A642" t="s">
        <v>292</v>
      </c>
      <c r="B642" t="s">
        <v>262</v>
      </c>
    </row>
    <row r="643" spans="1:2" x14ac:dyDescent="0.25">
      <c r="A643" t="s">
        <v>292</v>
      </c>
      <c r="B643" t="s">
        <v>262</v>
      </c>
    </row>
    <row r="644" spans="1:2" x14ac:dyDescent="0.25">
      <c r="A644" t="s">
        <v>292</v>
      </c>
      <c r="B644" t="s">
        <v>262</v>
      </c>
    </row>
    <row r="645" spans="1:2" x14ac:dyDescent="0.25">
      <c r="A645" t="s">
        <v>292</v>
      </c>
      <c r="B645" t="s">
        <v>262</v>
      </c>
    </row>
    <row r="646" spans="1:2" x14ac:dyDescent="0.25">
      <c r="A646" t="s">
        <v>292</v>
      </c>
      <c r="B646" t="s">
        <v>262</v>
      </c>
    </row>
    <row r="647" spans="1:2" x14ac:dyDescent="0.25">
      <c r="A647" t="s">
        <v>292</v>
      </c>
      <c r="B647" t="s">
        <v>262</v>
      </c>
    </row>
    <row r="648" spans="1:2" x14ac:dyDescent="0.25">
      <c r="A648" t="s">
        <v>292</v>
      </c>
      <c r="B648" t="s">
        <v>262</v>
      </c>
    </row>
    <row r="649" spans="1:2" x14ac:dyDescent="0.25">
      <c r="A649" t="s">
        <v>292</v>
      </c>
      <c r="B649" t="s">
        <v>262</v>
      </c>
    </row>
    <row r="650" spans="1:2" x14ac:dyDescent="0.25">
      <c r="A650" t="s">
        <v>292</v>
      </c>
      <c r="B650" t="s">
        <v>262</v>
      </c>
    </row>
    <row r="651" spans="1:2" x14ac:dyDescent="0.25">
      <c r="A651" t="s">
        <v>292</v>
      </c>
      <c r="B651" t="s">
        <v>262</v>
      </c>
    </row>
    <row r="652" spans="1:2" x14ac:dyDescent="0.25">
      <c r="A652" t="s">
        <v>292</v>
      </c>
      <c r="B652" t="s">
        <v>262</v>
      </c>
    </row>
    <row r="653" spans="1:2" x14ac:dyDescent="0.25">
      <c r="A653" t="s">
        <v>292</v>
      </c>
      <c r="B653" t="s">
        <v>262</v>
      </c>
    </row>
    <row r="654" spans="1:2" x14ac:dyDescent="0.25">
      <c r="A654" t="s">
        <v>292</v>
      </c>
      <c r="B654" t="s">
        <v>262</v>
      </c>
    </row>
    <row r="655" spans="1:2" x14ac:dyDescent="0.25">
      <c r="A655" t="s">
        <v>293</v>
      </c>
      <c r="B655" t="s">
        <v>262</v>
      </c>
    </row>
    <row r="656" spans="1:2" x14ac:dyDescent="0.25">
      <c r="A656" t="s">
        <v>293</v>
      </c>
      <c r="B656" t="s">
        <v>262</v>
      </c>
    </row>
    <row r="657" spans="1:2" x14ac:dyDescent="0.25">
      <c r="A657" t="s">
        <v>293</v>
      </c>
      <c r="B657" t="s">
        <v>262</v>
      </c>
    </row>
    <row r="658" spans="1:2" x14ac:dyDescent="0.25">
      <c r="A658" t="s">
        <v>293</v>
      </c>
      <c r="B658" t="s">
        <v>262</v>
      </c>
    </row>
    <row r="659" spans="1:2" x14ac:dyDescent="0.25">
      <c r="A659" t="s">
        <v>293</v>
      </c>
      <c r="B659" t="s">
        <v>262</v>
      </c>
    </row>
    <row r="660" spans="1:2" x14ac:dyDescent="0.25">
      <c r="A660" t="s">
        <v>293</v>
      </c>
      <c r="B660" t="s">
        <v>262</v>
      </c>
    </row>
    <row r="661" spans="1:2" x14ac:dyDescent="0.25">
      <c r="A661" t="s">
        <v>293</v>
      </c>
      <c r="B661" t="s">
        <v>262</v>
      </c>
    </row>
    <row r="662" spans="1:2" x14ac:dyDescent="0.25">
      <c r="A662" t="s">
        <v>293</v>
      </c>
      <c r="B662" t="s">
        <v>262</v>
      </c>
    </row>
    <row r="663" spans="1:2" x14ac:dyDescent="0.25">
      <c r="A663" t="s">
        <v>293</v>
      </c>
      <c r="B663" t="s">
        <v>262</v>
      </c>
    </row>
    <row r="664" spans="1:2" x14ac:dyDescent="0.25">
      <c r="A664" t="s">
        <v>293</v>
      </c>
      <c r="B664" t="s">
        <v>262</v>
      </c>
    </row>
    <row r="665" spans="1:2" x14ac:dyDescent="0.25">
      <c r="A665" t="s">
        <v>293</v>
      </c>
      <c r="B665" t="s">
        <v>262</v>
      </c>
    </row>
    <row r="666" spans="1:2" x14ac:dyDescent="0.25">
      <c r="A666" t="s">
        <v>293</v>
      </c>
      <c r="B666" t="s">
        <v>262</v>
      </c>
    </row>
    <row r="667" spans="1:2" x14ac:dyDescent="0.25">
      <c r="A667" t="s">
        <v>293</v>
      </c>
      <c r="B667" t="s">
        <v>262</v>
      </c>
    </row>
    <row r="668" spans="1:2" x14ac:dyDescent="0.25">
      <c r="A668" t="s">
        <v>293</v>
      </c>
      <c r="B668" t="s">
        <v>262</v>
      </c>
    </row>
    <row r="669" spans="1:2" x14ac:dyDescent="0.25">
      <c r="A669" t="s">
        <v>293</v>
      </c>
      <c r="B669" t="s">
        <v>262</v>
      </c>
    </row>
    <row r="670" spans="1:2" x14ac:dyDescent="0.25">
      <c r="A670" t="s">
        <v>293</v>
      </c>
      <c r="B670" t="s">
        <v>262</v>
      </c>
    </row>
    <row r="671" spans="1:2" x14ac:dyDescent="0.25">
      <c r="A671" t="s">
        <v>293</v>
      </c>
      <c r="B671" t="s">
        <v>262</v>
      </c>
    </row>
    <row r="672" spans="1:2" x14ac:dyDescent="0.25">
      <c r="A672" t="s">
        <v>293</v>
      </c>
      <c r="B672" t="s">
        <v>262</v>
      </c>
    </row>
    <row r="673" spans="1:2" x14ac:dyDescent="0.25">
      <c r="A673" t="s">
        <v>293</v>
      </c>
      <c r="B673" t="s">
        <v>262</v>
      </c>
    </row>
    <row r="674" spans="1:2" x14ac:dyDescent="0.25">
      <c r="A674" t="s">
        <v>293</v>
      </c>
      <c r="B674" t="s">
        <v>262</v>
      </c>
    </row>
    <row r="675" spans="1:2" x14ac:dyDescent="0.25">
      <c r="A675" t="s">
        <v>293</v>
      </c>
      <c r="B675" t="s">
        <v>262</v>
      </c>
    </row>
    <row r="676" spans="1:2" x14ac:dyDescent="0.25">
      <c r="A676" t="s">
        <v>293</v>
      </c>
      <c r="B676" t="s">
        <v>262</v>
      </c>
    </row>
    <row r="677" spans="1:2" x14ac:dyDescent="0.25">
      <c r="A677" t="s">
        <v>293</v>
      </c>
      <c r="B677" t="s">
        <v>262</v>
      </c>
    </row>
    <row r="678" spans="1:2" x14ac:dyDescent="0.25">
      <c r="A678" t="s">
        <v>293</v>
      </c>
      <c r="B678" t="s">
        <v>262</v>
      </c>
    </row>
    <row r="679" spans="1:2" x14ac:dyDescent="0.25">
      <c r="A679" t="s">
        <v>293</v>
      </c>
      <c r="B679" t="s">
        <v>262</v>
      </c>
    </row>
    <row r="680" spans="1:2" x14ac:dyDescent="0.25">
      <c r="A680" t="s">
        <v>293</v>
      </c>
      <c r="B680" t="s">
        <v>262</v>
      </c>
    </row>
    <row r="681" spans="1:2" x14ac:dyDescent="0.25">
      <c r="A681" t="s">
        <v>293</v>
      </c>
      <c r="B681" t="s">
        <v>262</v>
      </c>
    </row>
    <row r="682" spans="1:2" x14ac:dyDescent="0.25">
      <c r="A682" t="s">
        <v>294</v>
      </c>
      <c r="B682" t="s">
        <v>264</v>
      </c>
    </row>
    <row r="683" spans="1:2" x14ac:dyDescent="0.25">
      <c r="A683" t="s">
        <v>294</v>
      </c>
      <c r="B683" t="s">
        <v>264</v>
      </c>
    </row>
    <row r="684" spans="1:2" x14ac:dyDescent="0.25">
      <c r="A684" t="s">
        <v>294</v>
      </c>
      <c r="B684" t="s">
        <v>264</v>
      </c>
    </row>
    <row r="685" spans="1:2" x14ac:dyDescent="0.25">
      <c r="A685" t="s">
        <v>294</v>
      </c>
      <c r="B685" t="s">
        <v>264</v>
      </c>
    </row>
    <row r="686" spans="1:2" x14ac:dyDescent="0.25">
      <c r="A686" t="s">
        <v>294</v>
      </c>
      <c r="B686" t="s">
        <v>264</v>
      </c>
    </row>
    <row r="687" spans="1:2" x14ac:dyDescent="0.25">
      <c r="A687" t="s">
        <v>294</v>
      </c>
      <c r="B687" t="s">
        <v>264</v>
      </c>
    </row>
    <row r="688" spans="1:2" x14ac:dyDescent="0.25">
      <c r="A688" t="s">
        <v>294</v>
      </c>
      <c r="B688" t="s">
        <v>264</v>
      </c>
    </row>
    <row r="689" spans="1:2" x14ac:dyDescent="0.25">
      <c r="A689" t="s">
        <v>294</v>
      </c>
      <c r="B689" t="s">
        <v>264</v>
      </c>
    </row>
    <row r="690" spans="1:2" x14ac:dyDescent="0.25">
      <c r="A690" t="s">
        <v>294</v>
      </c>
      <c r="B690" t="s">
        <v>264</v>
      </c>
    </row>
    <row r="691" spans="1:2" x14ac:dyDescent="0.25">
      <c r="A691" t="s">
        <v>294</v>
      </c>
      <c r="B691" t="s">
        <v>264</v>
      </c>
    </row>
    <row r="692" spans="1:2" x14ac:dyDescent="0.25">
      <c r="A692" t="s">
        <v>294</v>
      </c>
      <c r="B692" t="s">
        <v>264</v>
      </c>
    </row>
    <row r="693" spans="1:2" x14ac:dyDescent="0.25">
      <c r="A693" t="s">
        <v>294</v>
      </c>
      <c r="B693" t="s">
        <v>264</v>
      </c>
    </row>
    <row r="694" spans="1:2" x14ac:dyDescent="0.25">
      <c r="A694" t="s">
        <v>294</v>
      </c>
      <c r="B694" t="s">
        <v>264</v>
      </c>
    </row>
    <row r="695" spans="1:2" x14ac:dyDescent="0.25">
      <c r="A695" t="s">
        <v>294</v>
      </c>
      <c r="B695" t="s">
        <v>264</v>
      </c>
    </row>
    <row r="696" spans="1:2" x14ac:dyDescent="0.25">
      <c r="A696" t="s">
        <v>294</v>
      </c>
      <c r="B696" t="s">
        <v>264</v>
      </c>
    </row>
    <row r="697" spans="1:2" x14ac:dyDescent="0.25">
      <c r="A697" t="s">
        <v>294</v>
      </c>
      <c r="B697" t="s">
        <v>264</v>
      </c>
    </row>
    <row r="698" spans="1:2" x14ac:dyDescent="0.25">
      <c r="A698" t="s">
        <v>294</v>
      </c>
      <c r="B698" t="s">
        <v>264</v>
      </c>
    </row>
    <row r="699" spans="1:2" x14ac:dyDescent="0.25">
      <c r="A699" t="s">
        <v>294</v>
      </c>
      <c r="B699" t="s">
        <v>264</v>
      </c>
    </row>
    <row r="700" spans="1:2" x14ac:dyDescent="0.25">
      <c r="A700" t="s">
        <v>294</v>
      </c>
      <c r="B700" t="s">
        <v>264</v>
      </c>
    </row>
    <row r="701" spans="1:2" x14ac:dyDescent="0.25">
      <c r="A701" t="s">
        <v>294</v>
      </c>
      <c r="B701" t="s">
        <v>264</v>
      </c>
    </row>
    <row r="702" spans="1:2" x14ac:dyDescent="0.25">
      <c r="A702" t="s">
        <v>294</v>
      </c>
      <c r="B702" t="s">
        <v>264</v>
      </c>
    </row>
    <row r="703" spans="1:2" x14ac:dyDescent="0.25">
      <c r="A703" t="s">
        <v>294</v>
      </c>
      <c r="B703" t="s">
        <v>264</v>
      </c>
    </row>
    <row r="704" spans="1:2" x14ac:dyDescent="0.25">
      <c r="A704" t="s">
        <v>295</v>
      </c>
      <c r="B704" t="s">
        <v>263</v>
      </c>
    </row>
    <row r="705" spans="1:2" x14ac:dyDescent="0.25">
      <c r="A705" t="s">
        <v>295</v>
      </c>
      <c r="B705" t="s">
        <v>263</v>
      </c>
    </row>
    <row r="706" spans="1:2" x14ac:dyDescent="0.25">
      <c r="A706" t="s">
        <v>295</v>
      </c>
      <c r="B706" t="s">
        <v>263</v>
      </c>
    </row>
    <row r="707" spans="1:2" x14ac:dyDescent="0.25">
      <c r="A707" t="s">
        <v>295</v>
      </c>
      <c r="B707" t="s">
        <v>263</v>
      </c>
    </row>
    <row r="708" spans="1:2" x14ac:dyDescent="0.25">
      <c r="A708" t="s">
        <v>295</v>
      </c>
      <c r="B708" t="s">
        <v>263</v>
      </c>
    </row>
    <row r="709" spans="1:2" x14ac:dyDescent="0.25">
      <c r="A709" t="s">
        <v>295</v>
      </c>
      <c r="B709" t="s">
        <v>263</v>
      </c>
    </row>
    <row r="710" spans="1:2" x14ac:dyDescent="0.25">
      <c r="A710" t="s">
        <v>295</v>
      </c>
      <c r="B710" t="s">
        <v>263</v>
      </c>
    </row>
    <row r="711" spans="1:2" x14ac:dyDescent="0.25">
      <c r="A711" t="s">
        <v>295</v>
      </c>
      <c r="B711" t="s">
        <v>263</v>
      </c>
    </row>
    <row r="712" spans="1:2" x14ac:dyDescent="0.25">
      <c r="A712" t="s">
        <v>295</v>
      </c>
      <c r="B712" t="s">
        <v>263</v>
      </c>
    </row>
    <row r="713" spans="1:2" x14ac:dyDescent="0.25">
      <c r="A713" t="s">
        <v>295</v>
      </c>
      <c r="B713" t="s">
        <v>263</v>
      </c>
    </row>
    <row r="714" spans="1:2" x14ac:dyDescent="0.25">
      <c r="A714" t="s">
        <v>295</v>
      </c>
      <c r="B714" t="s">
        <v>263</v>
      </c>
    </row>
    <row r="715" spans="1:2" x14ac:dyDescent="0.25">
      <c r="A715" t="s">
        <v>295</v>
      </c>
      <c r="B715" t="s">
        <v>263</v>
      </c>
    </row>
    <row r="716" spans="1:2" x14ac:dyDescent="0.25">
      <c r="A716" t="s">
        <v>295</v>
      </c>
      <c r="B716" t="s">
        <v>263</v>
      </c>
    </row>
    <row r="717" spans="1:2" x14ac:dyDescent="0.25">
      <c r="A717" t="s">
        <v>295</v>
      </c>
      <c r="B717" t="s">
        <v>263</v>
      </c>
    </row>
    <row r="718" spans="1:2" x14ac:dyDescent="0.25">
      <c r="A718" t="s">
        <v>295</v>
      </c>
      <c r="B718" t="s">
        <v>263</v>
      </c>
    </row>
    <row r="719" spans="1:2" x14ac:dyDescent="0.25">
      <c r="A719" t="s">
        <v>295</v>
      </c>
      <c r="B719" t="s">
        <v>263</v>
      </c>
    </row>
    <row r="720" spans="1:2" x14ac:dyDescent="0.25">
      <c r="A720" t="s">
        <v>295</v>
      </c>
      <c r="B720" t="s">
        <v>263</v>
      </c>
    </row>
    <row r="721" spans="1:2" x14ac:dyDescent="0.25">
      <c r="A721" t="s">
        <v>295</v>
      </c>
      <c r="B721" t="s">
        <v>263</v>
      </c>
    </row>
    <row r="722" spans="1:2" x14ac:dyDescent="0.25">
      <c r="A722" t="s">
        <v>295</v>
      </c>
      <c r="B722" t="s">
        <v>263</v>
      </c>
    </row>
    <row r="723" spans="1:2" x14ac:dyDescent="0.25">
      <c r="A723" t="s">
        <v>295</v>
      </c>
      <c r="B723" t="s">
        <v>263</v>
      </c>
    </row>
    <row r="724" spans="1:2" x14ac:dyDescent="0.25">
      <c r="A724" t="s">
        <v>295</v>
      </c>
      <c r="B724" t="s">
        <v>263</v>
      </c>
    </row>
    <row r="725" spans="1:2" x14ac:dyDescent="0.25">
      <c r="A725" t="s">
        <v>295</v>
      </c>
      <c r="B725" t="s">
        <v>263</v>
      </c>
    </row>
    <row r="726" spans="1:2" x14ac:dyDescent="0.25">
      <c r="A726" t="s">
        <v>295</v>
      </c>
      <c r="B726" t="s">
        <v>263</v>
      </c>
    </row>
    <row r="727" spans="1:2" x14ac:dyDescent="0.25">
      <c r="A727" t="s">
        <v>295</v>
      </c>
      <c r="B727" t="s">
        <v>263</v>
      </c>
    </row>
    <row r="728" spans="1:2" x14ac:dyDescent="0.25">
      <c r="A728" t="s">
        <v>295</v>
      </c>
      <c r="B728" t="s">
        <v>263</v>
      </c>
    </row>
    <row r="729" spans="1:2" x14ac:dyDescent="0.25">
      <c r="A729" t="s">
        <v>295</v>
      </c>
      <c r="B729" t="s">
        <v>263</v>
      </c>
    </row>
    <row r="730" spans="1:2" x14ac:dyDescent="0.25">
      <c r="A730" t="s">
        <v>296</v>
      </c>
      <c r="B730" t="s">
        <v>264</v>
      </c>
    </row>
    <row r="731" spans="1:2" x14ac:dyDescent="0.25">
      <c r="A731" t="s">
        <v>296</v>
      </c>
      <c r="B731" t="s">
        <v>264</v>
      </c>
    </row>
    <row r="732" spans="1:2" x14ac:dyDescent="0.25">
      <c r="A732" t="s">
        <v>296</v>
      </c>
      <c r="B732" t="s">
        <v>264</v>
      </c>
    </row>
    <row r="733" spans="1:2" x14ac:dyDescent="0.25">
      <c r="A733" t="s">
        <v>296</v>
      </c>
      <c r="B733" t="s">
        <v>264</v>
      </c>
    </row>
    <row r="734" spans="1:2" x14ac:dyDescent="0.25">
      <c r="A734" t="s">
        <v>296</v>
      </c>
      <c r="B734" t="s">
        <v>264</v>
      </c>
    </row>
    <row r="735" spans="1:2" x14ac:dyDescent="0.25">
      <c r="A735" t="s">
        <v>296</v>
      </c>
      <c r="B735" t="s">
        <v>264</v>
      </c>
    </row>
    <row r="736" spans="1:2" x14ac:dyDescent="0.25">
      <c r="A736" t="s">
        <v>296</v>
      </c>
      <c r="B736" t="s">
        <v>264</v>
      </c>
    </row>
    <row r="737" spans="1:2" x14ac:dyDescent="0.25">
      <c r="A737" t="s">
        <v>296</v>
      </c>
      <c r="B737" t="s">
        <v>264</v>
      </c>
    </row>
    <row r="738" spans="1:2" x14ac:dyDescent="0.25">
      <c r="A738" t="s">
        <v>296</v>
      </c>
      <c r="B738" t="s">
        <v>264</v>
      </c>
    </row>
    <row r="739" spans="1:2" x14ac:dyDescent="0.25">
      <c r="A739" t="s">
        <v>296</v>
      </c>
      <c r="B739" t="s">
        <v>264</v>
      </c>
    </row>
    <row r="740" spans="1:2" x14ac:dyDescent="0.25">
      <c r="A740" t="s">
        <v>296</v>
      </c>
      <c r="B740" t="s">
        <v>264</v>
      </c>
    </row>
    <row r="741" spans="1:2" x14ac:dyDescent="0.25">
      <c r="A741" t="s">
        <v>296</v>
      </c>
      <c r="B741" t="s">
        <v>264</v>
      </c>
    </row>
    <row r="742" spans="1:2" x14ac:dyDescent="0.25">
      <c r="A742" t="s">
        <v>296</v>
      </c>
      <c r="B742" t="s">
        <v>264</v>
      </c>
    </row>
    <row r="743" spans="1:2" x14ac:dyDescent="0.25">
      <c r="A743" t="s">
        <v>296</v>
      </c>
      <c r="B743" t="s">
        <v>264</v>
      </c>
    </row>
    <row r="744" spans="1:2" x14ac:dyDescent="0.25">
      <c r="A744" t="s">
        <v>296</v>
      </c>
      <c r="B744" t="s">
        <v>264</v>
      </c>
    </row>
    <row r="745" spans="1:2" x14ac:dyDescent="0.25">
      <c r="A745" t="s">
        <v>296</v>
      </c>
      <c r="B745" t="s">
        <v>264</v>
      </c>
    </row>
    <row r="746" spans="1:2" x14ac:dyDescent="0.25">
      <c r="A746" t="s">
        <v>296</v>
      </c>
      <c r="B746" t="s">
        <v>264</v>
      </c>
    </row>
    <row r="747" spans="1:2" x14ac:dyDescent="0.25">
      <c r="A747" t="s">
        <v>296</v>
      </c>
      <c r="B747" t="s">
        <v>264</v>
      </c>
    </row>
    <row r="748" spans="1:2" x14ac:dyDescent="0.25">
      <c r="A748" t="s">
        <v>296</v>
      </c>
      <c r="B748" t="s">
        <v>264</v>
      </c>
    </row>
    <row r="749" spans="1:2" x14ac:dyDescent="0.25">
      <c r="A749" t="s">
        <v>296</v>
      </c>
      <c r="B749" t="s">
        <v>264</v>
      </c>
    </row>
    <row r="750" spans="1:2" x14ac:dyDescent="0.25">
      <c r="A750" t="s">
        <v>296</v>
      </c>
      <c r="B750" t="s">
        <v>264</v>
      </c>
    </row>
    <row r="751" spans="1:2" x14ac:dyDescent="0.25">
      <c r="A751" t="s">
        <v>296</v>
      </c>
      <c r="B751" t="s">
        <v>264</v>
      </c>
    </row>
    <row r="752" spans="1:2" x14ac:dyDescent="0.25">
      <c r="A752" t="s">
        <v>296</v>
      </c>
      <c r="B752" t="s">
        <v>264</v>
      </c>
    </row>
    <row r="753" spans="1:2" x14ac:dyDescent="0.25">
      <c r="A753" t="s">
        <v>296</v>
      </c>
      <c r="B753" t="s">
        <v>264</v>
      </c>
    </row>
    <row r="754" spans="1:2" x14ac:dyDescent="0.25">
      <c r="A754" t="s">
        <v>296</v>
      </c>
      <c r="B754" t="s">
        <v>264</v>
      </c>
    </row>
    <row r="755" spans="1:2" x14ac:dyDescent="0.25">
      <c r="A755" t="s">
        <v>297</v>
      </c>
      <c r="B755" t="s">
        <v>263</v>
      </c>
    </row>
    <row r="756" spans="1:2" x14ac:dyDescent="0.25">
      <c r="A756" t="s">
        <v>297</v>
      </c>
      <c r="B756" t="s">
        <v>263</v>
      </c>
    </row>
    <row r="757" spans="1:2" x14ac:dyDescent="0.25">
      <c r="A757" t="s">
        <v>297</v>
      </c>
      <c r="B757" t="s">
        <v>263</v>
      </c>
    </row>
    <row r="758" spans="1:2" x14ac:dyDescent="0.25">
      <c r="A758" t="s">
        <v>297</v>
      </c>
      <c r="B758" t="s">
        <v>263</v>
      </c>
    </row>
    <row r="759" spans="1:2" x14ac:dyDescent="0.25">
      <c r="A759" t="s">
        <v>297</v>
      </c>
      <c r="B759" t="s">
        <v>263</v>
      </c>
    </row>
    <row r="760" spans="1:2" x14ac:dyDescent="0.25">
      <c r="A760" t="s">
        <v>297</v>
      </c>
      <c r="B760" t="s">
        <v>263</v>
      </c>
    </row>
    <row r="761" spans="1:2" x14ac:dyDescent="0.25">
      <c r="A761" t="s">
        <v>297</v>
      </c>
      <c r="B761" t="s">
        <v>263</v>
      </c>
    </row>
    <row r="762" spans="1:2" x14ac:dyDescent="0.25">
      <c r="A762" t="s">
        <v>297</v>
      </c>
      <c r="B762" t="s">
        <v>263</v>
      </c>
    </row>
    <row r="763" spans="1:2" x14ac:dyDescent="0.25">
      <c r="A763" t="s">
        <v>297</v>
      </c>
      <c r="B763" t="s">
        <v>263</v>
      </c>
    </row>
    <row r="764" spans="1:2" x14ac:dyDescent="0.25">
      <c r="A764" t="s">
        <v>297</v>
      </c>
      <c r="B764" t="s">
        <v>263</v>
      </c>
    </row>
    <row r="765" spans="1:2" x14ac:dyDescent="0.25">
      <c r="A765" t="s">
        <v>297</v>
      </c>
      <c r="B765" t="s">
        <v>263</v>
      </c>
    </row>
    <row r="766" spans="1:2" x14ac:dyDescent="0.25">
      <c r="A766" t="s">
        <v>297</v>
      </c>
      <c r="B766" t="s">
        <v>263</v>
      </c>
    </row>
    <row r="767" spans="1:2" x14ac:dyDescent="0.25">
      <c r="A767" t="s">
        <v>297</v>
      </c>
      <c r="B767" t="s">
        <v>263</v>
      </c>
    </row>
    <row r="768" spans="1:2" x14ac:dyDescent="0.25">
      <c r="A768" t="s">
        <v>297</v>
      </c>
      <c r="B768" t="s">
        <v>263</v>
      </c>
    </row>
    <row r="769" spans="1:2" x14ac:dyDescent="0.25">
      <c r="A769" t="s">
        <v>297</v>
      </c>
      <c r="B769" t="s">
        <v>263</v>
      </c>
    </row>
    <row r="770" spans="1:2" x14ac:dyDescent="0.25">
      <c r="A770" t="s">
        <v>297</v>
      </c>
      <c r="B770" t="s">
        <v>263</v>
      </c>
    </row>
    <row r="771" spans="1:2" x14ac:dyDescent="0.25">
      <c r="A771" t="s">
        <v>297</v>
      </c>
      <c r="B771" t="s">
        <v>263</v>
      </c>
    </row>
    <row r="772" spans="1:2" x14ac:dyDescent="0.25">
      <c r="A772" t="s">
        <v>297</v>
      </c>
      <c r="B772" t="s">
        <v>263</v>
      </c>
    </row>
    <row r="773" spans="1:2" x14ac:dyDescent="0.25">
      <c r="A773" t="s">
        <v>297</v>
      </c>
      <c r="B773" t="s">
        <v>263</v>
      </c>
    </row>
    <row r="774" spans="1:2" x14ac:dyDescent="0.25">
      <c r="A774" t="s">
        <v>297</v>
      </c>
      <c r="B774" t="s">
        <v>263</v>
      </c>
    </row>
    <row r="775" spans="1:2" x14ac:dyDescent="0.25">
      <c r="A775" t="s">
        <v>297</v>
      </c>
      <c r="B775" t="s">
        <v>263</v>
      </c>
    </row>
    <row r="776" spans="1:2" x14ac:dyDescent="0.25">
      <c r="A776" t="s">
        <v>297</v>
      </c>
      <c r="B776" t="s">
        <v>263</v>
      </c>
    </row>
    <row r="777" spans="1:2" x14ac:dyDescent="0.25">
      <c r="A777" t="s">
        <v>297</v>
      </c>
      <c r="B777" t="s">
        <v>263</v>
      </c>
    </row>
    <row r="778" spans="1:2" x14ac:dyDescent="0.25">
      <c r="A778" t="s">
        <v>297</v>
      </c>
      <c r="B778" t="s">
        <v>263</v>
      </c>
    </row>
    <row r="779" spans="1:2" x14ac:dyDescent="0.25">
      <c r="A779" t="s">
        <v>297</v>
      </c>
      <c r="B779" t="s">
        <v>263</v>
      </c>
    </row>
    <row r="780" spans="1:2" x14ac:dyDescent="0.25">
      <c r="A780" t="s">
        <v>297</v>
      </c>
      <c r="B780" t="s">
        <v>263</v>
      </c>
    </row>
    <row r="781" spans="1:2" x14ac:dyDescent="0.25">
      <c r="A781" t="s">
        <v>297</v>
      </c>
      <c r="B781" t="s">
        <v>263</v>
      </c>
    </row>
    <row r="782" spans="1:2" x14ac:dyDescent="0.25">
      <c r="A782" t="s">
        <v>297</v>
      </c>
      <c r="B782" t="s">
        <v>263</v>
      </c>
    </row>
    <row r="783" spans="1:2" x14ac:dyDescent="0.25">
      <c r="A783" t="s">
        <v>298</v>
      </c>
      <c r="B783" t="s">
        <v>265</v>
      </c>
    </row>
    <row r="784" spans="1:2" x14ac:dyDescent="0.25">
      <c r="A784" t="s">
        <v>298</v>
      </c>
      <c r="B784" t="s">
        <v>265</v>
      </c>
    </row>
    <row r="785" spans="1:2" x14ac:dyDescent="0.25">
      <c r="A785" t="s">
        <v>298</v>
      </c>
      <c r="B785" t="s">
        <v>265</v>
      </c>
    </row>
    <row r="786" spans="1:2" x14ac:dyDescent="0.25">
      <c r="A786" t="s">
        <v>298</v>
      </c>
      <c r="B786" t="s">
        <v>265</v>
      </c>
    </row>
    <row r="787" spans="1:2" x14ac:dyDescent="0.25">
      <c r="A787" t="s">
        <v>298</v>
      </c>
      <c r="B787" t="s">
        <v>265</v>
      </c>
    </row>
    <row r="788" spans="1:2" x14ac:dyDescent="0.25">
      <c r="A788" t="s">
        <v>298</v>
      </c>
      <c r="B788" t="s">
        <v>265</v>
      </c>
    </row>
    <row r="789" spans="1:2" x14ac:dyDescent="0.25">
      <c r="A789" t="s">
        <v>298</v>
      </c>
      <c r="B789" t="s">
        <v>265</v>
      </c>
    </row>
    <row r="790" spans="1:2" x14ac:dyDescent="0.25">
      <c r="A790" t="s">
        <v>298</v>
      </c>
      <c r="B790" t="s">
        <v>265</v>
      </c>
    </row>
    <row r="791" spans="1:2" x14ac:dyDescent="0.25">
      <c r="A791" t="s">
        <v>298</v>
      </c>
      <c r="B791" t="s">
        <v>265</v>
      </c>
    </row>
    <row r="792" spans="1:2" x14ac:dyDescent="0.25">
      <c r="A792" t="s">
        <v>298</v>
      </c>
      <c r="B792" t="s">
        <v>265</v>
      </c>
    </row>
    <row r="793" spans="1:2" x14ac:dyDescent="0.25">
      <c r="A793" t="s">
        <v>298</v>
      </c>
      <c r="B793" t="s">
        <v>265</v>
      </c>
    </row>
    <row r="794" spans="1:2" x14ac:dyDescent="0.25">
      <c r="A794" t="s">
        <v>298</v>
      </c>
      <c r="B794" t="s">
        <v>265</v>
      </c>
    </row>
    <row r="795" spans="1:2" x14ac:dyDescent="0.25">
      <c r="A795" t="s">
        <v>298</v>
      </c>
      <c r="B795" t="s">
        <v>265</v>
      </c>
    </row>
    <row r="796" spans="1:2" x14ac:dyDescent="0.25">
      <c r="A796" t="s">
        <v>298</v>
      </c>
      <c r="B796" t="s">
        <v>265</v>
      </c>
    </row>
    <row r="797" spans="1:2" x14ac:dyDescent="0.25">
      <c r="A797" t="s">
        <v>298</v>
      </c>
      <c r="B797" t="s">
        <v>265</v>
      </c>
    </row>
    <row r="798" spans="1:2" x14ac:dyDescent="0.25">
      <c r="A798" t="s">
        <v>298</v>
      </c>
      <c r="B798" t="s">
        <v>265</v>
      </c>
    </row>
    <row r="799" spans="1:2" x14ac:dyDescent="0.25">
      <c r="A799" t="s">
        <v>298</v>
      </c>
      <c r="B799" t="s">
        <v>265</v>
      </c>
    </row>
    <row r="800" spans="1:2" x14ac:dyDescent="0.25">
      <c r="A800" t="s">
        <v>298</v>
      </c>
      <c r="B800" t="s">
        <v>265</v>
      </c>
    </row>
    <row r="801" spans="1:2" x14ac:dyDescent="0.25">
      <c r="A801" t="s">
        <v>298</v>
      </c>
      <c r="B801" t="s">
        <v>265</v>
      </c>
    </row>
    <row r="802" spans="1:2" x14ac:dyDescent="0.25">
      <c r="A802" t="s">
        <v>298</v>
      </c>
      <c r="B802" t="s">
        <v>265</v>
      </c>
    </row>
    <row r="803" spans="1:2" x14ac:dyDescent="0.25">
      <c r="A803" t="s">
        <v>298</v>
      </c>
      <c r="B803" t="s">
        <v>265</v>
      </c>
    </row>
    <row r="804" spans="1:2" x14ac:dyDescent="0.25">
      <c r="A804" t="s">
        <v>298</v>
      </c>
      <c r="B804" t="s">
        <v>265</v>
      </c>
    </row>
    <row r="805" spans="1:2" x14ac:dyDescent="0.25">
      <c r="A805" t="s">
        <v>298</v>
      </c>
      <c r="B805" t="s">
        <v>265</v>
      </c>
    </row>
    <row r="806" spans="1:2" x14ac:dyDescent="0.25">
      <c r="A806" t="s">
        <v>299</v>
      </c>
      <c r="B806" t="s">
        <v>261</v>
      </c>
    </row>
    <row r="807" spans="1:2" x14ac:dyDescent="0.25">
      <c r="A807" t="s">
        <v>299</v>
      </c>
      <c r="B807" t="s">
        <v>261</v>
      </c>
    </row>
    <row r="808" spans="1:2" x14ac:dyDescent="0.25">
      <c r="A808" t="s">
        <v>299</v>
      </c>
      <c r="B808" t="s">
        <v>261</v>
      </c>
    </row>
    <row r="809" spans="1:2" x14ac:dyDescent="0.25">
      <c r="A809" t="s">
        <v>299</v>
      </c>
      <c r="B809" t="s">
        <v>261</v>
      </c>
    </row>
    <row r="810" spans="1:2" x14ac:dyDescent="0.25">
      <c r="A810" t="s">
        <v>299</v>
      </c>
      <c r="B810" t="s">
        <v>261</v>
      </c>
    </row>
    <row r="811" spans="1:2" x14ac:dyDescent="0.25">
      <c r="A811" t="s">
        <v>299</v>
      </c>
      <c r="B811" t="s">
        <v>261</v>
      </c>
    </row>
    <row r="812" spans="1:2" x14ac:dyDescent="0.25">
      <c r="A812" t="s">
        <v>299</v>
      </c>
      <c r="B812" t="s">
        <v>261</v>
      </c>
    </row>
    <row r="813" spans="1:2" x14ac:dyDescent="0.25">
      <c r="A813" t="s">
        <v>299</v>
      </c>
      <c r="B813" t="s">
        <v>261</v>
      </c>
    </row>
    <row r="814" spans="1:2" x14ac:dyDescent="0.25">
      <c r="A814" t="s">
        <v>299</v>
      </c>
      <c r="B814" t="s">
        <v>261</v>
      </c>
    </row>
    <row r="815" spans="1:2" x14ac:dyDescent="0.25">
      <c r="A815" t="s">
        <v>299</v>
      </c>
      <c r="B815" t="s">
        <v>261</v>
      </c>
    </row>
    <row r="816" spans="1:2" x14ac:dyDescent="0.25">
      <c r="A816" t="s">
        <v>299</v>
      </c>
      <c r="B816" t="s">
        <v>261</v>
      </c>
    </row>
    <row r="817" spans="1:2" x14ac:dyDescent="0.25">
      <c r="A817" t="s">
        <v>299</v>
      </c>
      <c r="B817" t="s">
        <v>261</v>
      </c>
    </row>
    <row r="818" spans="1:2" x14ac:dyDescent="0.25">
      <c r="A818" t="s">
        <v>299</v>
      </c>
      <c r="B818" t="s">
        <v>261</v>
      </c>
    </row>
    <row r="819" spans="1:2" x14ac:dyDescent="0.25">
      <c r="A819" t="s">
        <v>299</v>
      </c>
      <c r="B819" t="s">
        <v>261</v>
      </c>
    </row>
    <row r="820" spans="1:2" x14ac:dyDescent="0.25">
      <c r="A820" t="s">
        <v>299</v>
      </c>
      <c r="B820" t="s">
        <v>261</v>
      </c>
    </row>
    <row r="821" spans="1:2" x14ac:dyDescent="0.25">
      <c r="A821" t="s">
        <v>299</v>
      </c>
      <c r="B821" t="s">
        <v>261</v>
      </c>
    </row>
    <row r="822" spans="1:2" x14ac:dyDescent="0.25">
      <c r="A822" t="s">
        <v>299</v>
      </c>
      <c r="B822" t="s">
        <v>261</v>
      </c>
    </row>
    <row r="823" spans="1:2" x14ac:dyDescent="0.25">
      <c r="A823" t="s">
        <v>299</v>
      </c>
      <c r="B823" t="s">
        <v>261</v>
      </c>
    </row>
    <row r="824" spans="1:2" x14ac:dyDescent="0.25">
      <c r="A824" t="s">
        <v>299</v>
      </c>
      <c r="B824" t="s">
        <v>261</v>
      </c>
    </row>
    <row r="825" spans="1:2" x14ac:dyDescent="0.25">
      <c r="A825" t="s">
        <v>299</v>
      </c>
      <c r="B825" t="s">
        <v>261</v>
      </c>
    </row>
    <row r="826" spans="1:2" x14ac:dyDescent="0.25">
      <c r="A826" t="s">
        <v>299</v>
      </c>
      <c r="B826" t="s">
        <v>261</v>
      </c>
    </row>
    <row r="827" spans="1:2" x14ac:dyDescent="0.25">
      <c r="A827" t="s">
        <v>299</v>
      </c>
      <c r="B827" t="s">
        <v>261</v>
      </c>
    </row>
    <row r="828" spans="1:2" x14ac:dyDescent="0.25">
      <c r="A828" t="s">
        <v>299</v>
      </c>
      <c r="B828" t="s">
        <v>261</v>
      </c>
    </row>
    <row r="829" spans="1:2" x14ac:dyDescent="0.25">
      <c r="A829" t="s">
        <v>299</v>
      </c>
      <c r="B829" t="s">
        <v>261</v>
      </c>
    </row>
    <row r="830" spans="1:2" x14ac:dyDescent="0.25">
      <c r="A830" t="s">
        <v>299</v>
      </c>
      <c r="B830" t="s">
        <v>261</v>
      </c>
    </row>
    <row r="831" spans="1:2" x14ac:dyDescent="0.25">
      <c r="A831" t="s">
        <v>299</v>
      </c>
      <c r="B831" t="s">
        <v>261</v>
      </c>
    </row>
    <row r="832" spans="1:2" x14ac:dyDescent="0.25">
      <c r="A832" t="s">
        <v>300</v>
      </c>
      <c r="B832" t="s">
        <v>264</v>
      </c>
    </row>
    <row r="833" spans="1:2" x14ac:dyDescent="0.25">
      <c r="A833" t="s">
        <v>300</v>
      </c>
      <c r="B833" t="s">
        <v>264</v>
      </c>
    </row>
    <row r="834" spans="1:2" x14ac:dyDescent="0.25">
      <c r="A834" t="s">
        <v>300</v>
      </c>
      <c r="B834" t="s">
        <v>264</v>
      </c>
    </row>
    <row r="835" spans="1:2" x14ac:dyDescent="0.25">
      <c r="A835" t="s">
        <v>300</v>
      </c>
      <c r="B835" t="s">
        <v>264</v>
      </c>
    </row>
    <row r="836" spans="1:2" x14ac:dyDescent="0.25">
      <c r="A836" t="s">
        <v>300</v>
      </c>
      <c r="B836" t="s">
        <v>264</v>
      </c>
    </row>
    <row r="837" spans="1:2" x14ac:dyDescent="0.25">
      <c r="A837" t="s">
        <v>300</v>
      </c>
      <c r="B837" t="s">
        <v>264</v>
      </c>
    </row>
    <row r="838" spans="1:2" x14ac:dyDescent="0.25">
      <c r="A838" t="s">
        <v>300</v>
      </c>
      <c r="B838" t="s">
        <v>264</v>
      </c>
    </row>
    <row r="839" spans="1:2" x14ac:dyDescent="0.25">
      <c r="A839" t="s">
        <v>300</v>
      </c>
      <c r="B839" t="s">
        <v>264</v>
      </c>
    </row>
    <row r="840" spans="1:2" x14ac:dyDescent="0.25">
      <c r="A840" t="s">
        <v>300</v>
      </c>
      <c r="B840" t="s">
        <v>264</v>
      </c>
    </row>
    <row r="841" spans="1:2" x14ac:dyDescent="0.25">
      <c r="A841" t="s">
        <v>300</v>
      </c>
      <c r="B841" t="s">
        <v>264</v>
      </c>
    </row>
    <row r="842" spans="1:2" x14ac:dyDescent="0.25">
      <c r="A842" t="s">
        <v>300</v>
      </c>
      <c r="B842" t="s">
        <v>264</v>
      </c>
    </row>
    <row r="843" spans="1:2" x14ac:dyDescent="0.25">
      <c r="A843" t="s">
        <v>300</v>
      </c>
      <c r="B843" t="s">
        <v>264</v>
      </c>
    </row>
    <row r="844" spans="1:2" x14ac:dyDescent="0.25">
      <c r="A844" t="s">
        <v>300</v>
      </c>
      <c r="B844" t="s">
        <v>264</v>
      </c>
    </row>
    <row r="845" spans="1:2" x14ac:dyDescent="0.25">
      <c r="A845" t="s">
        <v>300</v>
      </c>
      <c r="B845" t="s">
        <v>264</v>
      </c>
    </row>
    <row r="846" spans="1:2" x14ac:dyDescent="0.25">
      <c r="A846" t="s">
        <v>300</v>
      </c>
      <c r="B846" t="s">
        <v>264</v>
      </c>
    </row>
    <row r="847" spans="1:2" x14ac:dyDescent="0.25">
      <c r="A847" t="s">
        <v>300</v>
      </c>
      <c r="B847" t="s">
        <v>264</v>
      </c>
    </row>
    <row r="848" spans="1:2" x14ac:dyDescent="0.25">
      <c r="A848" t="s">
        <v>300</v>
      </c>
      <c r="B848" t="s">
        <v>264</v>
      </c>
    </row>
    <row r="849" spans="1:2" x14ac:dyDescent="0.25">
      <c r="A849" t="s">
        <v>300</v>
      </c>
      <c r="B849" t="s">
        <v>264</v>
      </c>
    </row>
    <row r="850" spans="1:2" x14ac:dyDescent="0.25">
      <c r="A850" t="s">
        <v>300</v>
      </c>
      <c r="B850" t="s">
        <v>264</v>
      </c>
    </row>
    <row r="851" spans="1:2" x14ac:dyDescent="0.25">
      <c r="A851" t="s">
        <v>300</v>
      </c>
      <c r="B851" t="s">
        <v>264</v>
      </c>
    </row>
    <row r="852" spans="1:2" x14ac:dyDescent="0.25">
      <c r="A852" t="s">
        <v>300</v>
      </c>
      <c r="B852" t="s">
        <v>264</v>
      </c>
    </row>
    <row r="853" spans="1:2" x14ac:dyDescent="0.25">
      <c r="A853" t="s">
        <v>300</v>
      </c>
      <c r="B853" t="s">
        <v>264</v>
      </c>
    </row>
    <row r="854" spans="1:2" x14ac:dyDescent="0.25">
      <c r="A854" t="s">
        <v>300</v>
      </c>
      <c r="B854" t="s">
        <v>264</v>
      </c>
    </row>
    <row r="855" spans="1:2" x14ac:dyDescent="0.25">
      <c r="A855" t="s">
        <v>300</v>
      </c>
      <c r="B855" t="s">
        <v>264</v>
      </c>
    </row>
    <row r="856" spans="1:2" x14ac:dyDescent="0.25">
      <c r="A856" t="s">
        <v>300</v>
      </c>
      <c r="B856" t="s">
        <v>264</v>
      </c>
    </row>
    <row r="857" spans="1:2" x14ac:dyDescent="0.25">
      <c r="A857" t="s">
        <v>300</v>
      </c>
      <c r="B857" t="s">
        <v>264</v>
      </c>
    </row>
    <row r="858" spans="1:2" x14ac:dyDescent="0.25">
      <c r="A858" t="s">
        <v>301</v>
      </c>
      <c r="B858" t="s">
        <v>262</v>
      </c>
    </row>
    <row r="859" spans="1:2" x14ac:dyDescent="0.25">
      <c r="A859" t="s">
        <v>301</v>
      </c>
      <c r="B859" t="s">
        <v>262</v>
      </c>
    </row>
    <row r="860" spans="1:2" x14ac:dyDescent="0.25">
      <c r="A860" t="s">
        <v>301</v>
      </c>
      <c r="B860" t="s">
        <v>262</v>
      </c>
    </row>
    <row r="861" spans="1:2" x14ac:dyDescent="0.25">
      <c r="A861" t="s">
        <v>301</v>
      </c>
      <c r="B861" t="s">
        <v>262</v>
      </c>
    </row>
    <row r="862" spans="1:2" x14ac:dyDescent="0.25">
      <c r="A862" t="s">
        <v>301</v>
      </c>
      <c r="B862" t="s">
        <v>262</v>
      </c>
    </row>
    <row r="863" spans="1:2" x14ac:dyDescent="0.25">
      <c r="A863" t="s">
        <v>301</v>
      </c>
      <c r="B863" t="s">
        <v>262</v>
      </c>
    </row>
    <row r="864" spans="1:2" x14ac:dyDescent="0.25">
      <c r="A864" t="s">
        <v>301</v>
      </c>
      <c r="B864" t="s">
        <v>262</v>
      </c>
    </row>
    <row r="865" spans="1:2" x14ac:dyDescent="0.25">
      <c r="A865" t="s">
        <v>301</v>
      </c>
      <c r="B865" t="s">
        <v>262</v>
      </c>
    </row>
    <row r="866" spans="1:2" x14ac:dyDescent="0.25">
      <c r="A866" t="s">
        <v>301</v>
      </c>
      <c r="B866" t="s">
        <v>262</v>
      </c>
    </row>
    <row r="867" spans="1:2" x14ac:dyDescent="0.25">
      <c r="A867" t="s">
        <v>301</v>
      </c>
      <c r="B867" t="s">
        <v>262</v>
      </c>
    </row>
    <row r="868" spans="1:2" x14ac:dyDescent="0.25">
      <c r="A868" t="s">
        <v>301</v>
      </c>
      <c r="B868" t="s">
        <v>262</v>
      </c>
    </row>
    <row r="869" spans="1:2" x14ac:dyDescent="0.25">
      <c r="A869" t="s">
        <v>301</v>
      </c>
      <c r="B869" t="s">
        <v>262</v>
      </c>
    </row>
    <row r="870" spans="1:2" x14ac:dyDescent="0.25">
      <c r="A870" t="s">
        <v>301</v>
      </c>
      <c r="B870" t="s">
        <v>262</v>
      </c>
    </row>
    <row r="871" spans="1:2" x14ac:dyDescent="0.25">
      <c r="A871" t="s">
        <v>301</v>
      </c>
      <c r="B871" t="s">
        <v>262</v>
      </c>
    </row>
    <row r="872" spans="1:2" x14ac:dyDescent="0.25">
      <c r="A872" t="s">
        <v>301</v>
      </c>
      <c r="B872" t="s">
        <v>262</v>
      </c>
    </row>
    <row r="873" spans="1:2" x14ac:dyDescent="0.25">
      <c r="A873" t="s">
        <v>301</v>
      </c>
      <c r="B873" t="s">
        <v>262</v>
      </c>
    </row>
    <row r="874" spans="1:2" x14ac:dyDescent="0.25">
      <c r="A874" t="s">
        <v>301</v>
      </c>
      <c r="B874" t="s">
        <v>262</v>
      </c>
    </row>
    <row r="875" spans="1:2" x14ac:dyDescent="0.25">
      <c r="A875" t="s">
        <v>301</v>
      </c>
      <c r="B875" t="s">
        <v>262</v>
      </c>
    </row>
    <row r="876" spans="1:2" x14ac:dyDescent="0.25">
      <c r="A876" t="s">
        <v>301</v>
      </c>
      <c r="B876" t="s">
        <v>262</v>
      </c>
    </row>
    <row r="877" spans="1:2" x14ac:dyDescent="0.25">
      <c r="A877" t="s">
        <v>301</v>
      </c>
      <c r="B877" t="s">
        <v>262</v>
      </c>
    </row>
    <row r="878" spans="1:2" x14ac:dyDescent="0.25">
      <c r="A878" t="s">
        <v>301</v>
      </c>
      <c r="B878" t="s">
        <v>262</v>
      </c>
    </row>
    <row r="879" spans="1:2" x14ac:dyDescent="0.25">
      <c r="A879" t="s">
        <v>301</v>
      </c>
      <c r="B879" t="s">
        <v>262</v>
      </c>
    </row>
    <row r="880" spans="1:2" x14ac:dyDescent="0.25">
      <c r="A880" t="s">
        <v>301</v>
      </c>
      <c r="B880" t="s">
        <v>262</v>
      </c>
    </row>
    <row r="881" spans="1:2" x14ac:dyDescent="0.25">
      <c r="A881" t="s">
        <v>301</v>
      </c>
      <c r="B881" t="s">
        <v>262</v>
      </c>
    </row>
    <row r="882" spans="1:2" x14ac:dyDescent="0.25">
      <c r="A882" t="s">
        <v>301</v>
      </c>
      <c r="B882" t="s">
        <v>262</v>
      </c>
    </row>
    <row r="883" spans="1:2" x14ac:dyDescent="0.25">
      <c r="A883" t="s">
        <v>302</v>
      </c>
      <c r="B883" t="s">
        <v>264</v>
      </c>
    </row>
    <row r="884" spans="1:2" x14ac:dyDescent="0.25">
      <c r="A884" t="s">
        <v>302</v>
      </c>
      <c r="B884" t="s">
        <v>264</v>
      </c>
    </row>
    <row r="885" spans="1:2" x14ac:dyDescent="0.25">
      <c r="A885" t="s">
        <v>302</v>
      </c>
      <c r="B885" t="s">
        <v>264</v>
      </c>
    </row>
    <row r="886" spans="1:2" x14ac:dyDescent="0.25">
      <c r="A886" t="s">
        <v>302</v>
      </c>
      <c r="B886" t="s">
        <v>264</v>
      </c>
    </row>
    <row r="887" spans="1:2" x14ac:dyDescent="0.25">
      <c r="A887" t="s">
        <v>302</v>
      </c>
      <c r="B887" t="s">
        <v>264</v>
      </c>
    </row>
    <row r="888" spans="1:2" x14ac:dyDescent="0.25">
      <c r="A888" t="s">
        <v>302</v>
      </c>
      <c r="B888" t="s">
        <v>264</v>
      </c>
    </row>
    <row r="889" spans="1:2" x14ac:dyDescent="0.25">
      <c r="A889" t="s">
        <v>302</v>
      </c>
      <c r="B889" t="s">
        <v>264</v>
      </c>
    </row>
    <row r="890" spans="1:2" x14ac:dyDescent="0.25">
      <c r="A890" t="s">
        <v>302</v>
      </c>
      <c r="B890" t="s">
        <v>264</v>
      </c>
    </row>
    <row r="891" spans="1:2" x14ac:dyDescent="0.25">
      <c r="A891" t="s">
        <v>302</v>
      </c>
      <c r="B891" t="s">
        <v>264</v>
      </c>
    </row>
    <row r="892" spans="1:2" x14ac:dyDescent="0.25">
      <c r="A892" t="s">
        <v>302</v>
      </c>
      <c r="B892" t="s">
        <v>264</v>
      </c>
    </row>
    <row r="893" spans="1:2" x14ac:dyDescent="0.25">
      <c r="A893" t="s">
        <v>302</v>
      </c>
      <c r="B893" t="s">
        <v>264</v>
      </c>
    </row>
    <row r="894" spans="1:2" x14ac:dyDescent="0.25">
      <c r="A894" t="s">
        <v>302</v>
      </c>
      <c r="B894" t="s">
        <v>264</v>
      </c>
    </row>
    <row r="895" spans="1:2" x14ac:dyDescent="0.25">
      <c r="A895" t="s">
        <v>302</v>
      </c>
      <c r="B895" t="s">
        <v>264</v>
      </c>
    </row>
    <row r="896" spans="1:2" x14ac:dyDescent="0.25">
      <c r="A896" t="s">
        <v>302</v>
      </c>
      <c r="B896" t="s">
        <v>264</v>
      </c>
    </row>
    <row r="897" spans="1:2" x14ac:dyDescent="0.25">
      <c r="A897" t="s">
        <v>302</v>
      </c>
      <c r="B897" t="s">
        <v>264</v>
      </c>
    </row>
    <row r="898" spans="1:2" x14ac:dyDescent="0.25">
      <c r="A898" t="s">
        <v>302</v>
      </c>
      <c r="B898" t="s">
        <v>264</v>
      </c>
    </row>
    <row r="899" spans="1:2" x14ac:dyDescent="0.25">
      <c r="A899" t="s">
        <v>302</v>
      </c>
      <c r="B899" t="s">
        <v>264</v>
      </c>
    </row>
    <row r="900" spans="1:2" x14ac:dyDescent="0.25">
      <c r="A900" t="s">
        <v>302</v>
      </c>
      <c r="B900" t="s">
        <v>264</v>
      </c>
    </row>
    <row r="901" spans="1:2" x14ac:dyDescent="0.25">
      <c r="A901" t="s">
        <v>302</v>
      </c>
      <c r="B901" t="s">
        <v>264</v>
      </c>
    </row>
    <row r="902" spans="1:2" x14ac:dyDescent="0.25">
      <c r="A902" t="s">
        <v>302</v>
      </c>
      <c r="B902" t="s">
        <v>264</v>
      </c>
    </row>
    <row r="903" spans="1:2" x14ac:dyDescent="0.25">
      <c r="A903" t="s">
        <v>302</v>
      </c>
      <c r="B903" t="s">
        <v>264</v>
      </c>
    </row>
    <row r="904" spans="1:2" x14ac:dyDescent="0.25">
      <c r="A904" t="s">
        <v>302</v>
      </c>
      <c r="B904" t="s">
        <v>264</v>
      </c>
    </row>
    <row r="905" spans="1:2" x14ac:dyDescent="0.25">
      <c r="A905" t="s">
        <v>302</v>
      </c>
      <c r="B905" t="s">
        <v>264</v>
      </c>
    </row>
    <row r="906" spans="1:2" x14ac:dyDescent="0.25">
      <c r="A906" t="s">
        <v>302</v>
      </c>
      <c r="B906" t="s">
        <v>264</v>
      </c>
    </row>
    <row r="907" spans="1:2" x14ac:dyDescent="0.25">
      <c r="A907" t="s">
        <v>302</v>
      </c>
      <c r="B907" t="s">
        <v>264</v>
      </c>
    </row>
    <row r="908" spans="1:2" x14ac:dyDescent="0.25">
      <c r="A908" t="s">
        <v>302</v>
      </c>
      <c r="B908" t="s">
        <v>264</v>
      </c>
    </row>
    <row r="909" spans="1:2" x14ac:dyDescent="0.25">
      <c r="A909" t="s">
        <v>302</v>
      </c>
      <c r="B909" t="s">
        <v>264</v>
      </c>
    </row>
    <row r="910" spans="1:2" x14ac:dyDescent="0.25">
      <c r="A910" t="s">
        <v>303</v>
      </c>
      <c r="B910" t="s">
        <v>264</v>
      </c>
    </row>
    <row r="911" spans="1:2" x14ac:dyDescent="0.25">
      <c r="A911" t="s">
        <v>303</v>
      </c>
      <c r="B911" t="s">
        <v>264</v>
      </c>
    </row>
    <row r="912" spans="1:2" x14ac:dyDescent="0.25">
      <c r="A912" t="s">
        <v>303</v>
      </c>
      <c r="B912" t="s">
        <v>264</v>
      </c>
    </row>
    <row r="913" spans="1:2" x14ac:dyDescent="0.25">
      <c r="A913" t="s">
        <v>303</v>
      </c>
      <c r="B913" t="s">
        <v>264</v>
      </c>
    </row>
    <row r="914" spans="1:2" x14ac:dyDescent="0.25">
      <c r="A914" t="s">
        <v>303</v>
      </c>
      <c r="B914" t="s">
        <v>264</v>
      </c>
    </row>
    <row r="915" spans="1:2" x14ac:dyDescent="0.25">
      <c r="A915" t="s">
        <v>303</v>
      </c>
      <c r="B915" t="s">
        <v>264</v>
      </c>
    </row>
    <row r="916" spans="1:2" x14ac:dyDescent="0.25">
      <c r="A916" t="s">
        <v>303</v>
      </c>
      <c r="B916" t="s">
        <v>264</v>
      </c>
    </row>
    <row r="917" spans="1:2" x14ac:dyDescent="0.25">
      <c r="A917" t="s">
        <v>303</v>
      </c>
      <c r="B917" t="s">
        <v>264</v>
      </c>
    </row>
    <row r="918" spans="1:2" x14ac:dyDescent="0.25">
      <c r="A918" t="s">
        <v>303</v>
      </c>
      <c r="B918" t="s">
        <v>264</v>
      </c>
    </row>
    <row r="919" spans="1:2" x14ac:dyDescent="0.25">
      <c r="A919" t="s">
        <v>303</v>
      </c>
      <c r="B919" t="s">
        <v>264</v>
      </c>
    </row>
    <row r="920" spans="1:2" x14ac:dyDescent="0.25">
      <c r="A920" t="s">
        <v>303</v>
      </c>
      <c r="B920" t="s">
        <v>264</v>
      </c>
    </row>
    <row r="921" spans="1:2" x14ac:dyDescent="0.25">
      <c r="A921" t="s">
        <v>303</v>
      </c>
      <c r="B921" t="s">
        <v>264</v>
      </c>
    </row>
    <row r="922" spans="1:2" x14ac:dyDescent="0.25">
      <c r="A922" t="s">
        <v>303</v>
      </c>
      <c r="B922" t="s">
        <v>264</v>
      </c>
    </row>
    <row r="923" spans="1:2" x14ac:dyDescent="0.25">
      <c r="A923" t="s">
        <v>303</v>
      </c>
      <c r="B923" t="s">
        <v>264</v>
      </c>
    </row>
    <row r="924" spans="1:2" x14ac:dyDescent="0.25">
      <c r="A924" t="s">
        <v>303</v>
      </c>
      <c r="B924" t="s">
        <v>264</v>
      </c>
    </row>
    <row r="925" spans="1:2" x14ac:dyDescent="0.25">
      <c r="A925" t="s">
        <v>303</v>
      </c>
      <c r="B925" t="s">
        <v>264</v>
      </c>
    </row>
    <row r="926" spans="1:2" x14ac:dyDescent="0.25">
      <c r="A926" t="s">
        <v>303</v>
      </c>
      <c r="B926" t="s">
        <v>264</v>
      </c>
    </row>
    <row r="927" spans="1:2" x14ac:dyDescent="0.25">
      <c r="A927" t="s">
        <v>303</v>
      </c>
      <c r="B927" t="s">
        <v>264</v>
      </c>
    </row>
    <row r="928" spans="1:2" x14ac:dyDescent="0.25">
      <c r="A928" t="s">
        <v>303</v>
      </c>
      <c r="B928" t="s">
        <v>264</v>
      </c>
    </row>
    <row r="929" spans="1:2" x14ac:dyDescent="0.25">
      <c r="A929" t="s">
        <v>303</v>
      </c>
      <c r="B929" t="s">
        <v>264</v>
      </c>
    </row>
    <row r="930" spans="1:2" x14ac:dyDescent="0.25">
      <c r="A930" t="s">
        <v>303</v>
      </c>
      <c r="B930" t="s">
        <v>264</v>
      </c>
    </row>
    <row r="931" spans="1:2" x14ac:dyDescent="0.25">
      <c r="A931" t="s">
        <v>303</v>
      </c>
      <c r="B931" t="s">
        <v>264</v>
      </c>
    </row>
    <row r="932" spans="1:2" x14ac:dyDescent="0.25">
      <c r="A932" t="s">
        <v>303</v>
      </c>
      <c r="B932" t="s">
        <v>264</v>
      </c>
    </row>
    <row r="933" spans="1:2" x14ac:dyDescent="0.25">
      <c r="A933" t="s">
        <v>303</v>
      </c>
      <c r="B933" t="s">
        <v>264</v>
      </c>
    </row>
    <row r="934" spans="1:2" x14ac:dyDescent="0.25">
      <c r="A934" t="s">
        <v>303</v>
      </c>
      <c r="B934" t="s">
        <v>264</v>
      </c>
    </row>
    <row r="935" spans="1:2" x14ac:dyDescent="0.25">
      <c r="A935" t="s">
        <v>303</v>
      </c>
      <c r="B935" t="s">
        <v>264</v>
      </c>
    </row>
    <row r="936" spans="1:2" x14ac:dyDescent="0.25">
      <c r="A936" t="s">
        <v>303</v>
      </c>
      <c r="B936" t="s">
        <v>264</v>
      </c>
    </row>
    <row r="937" spans="1:2" x14ac:dyDescent="0.25">
      <c r="A937" t="s">
        <v>304</v>
      </c>
      <c r="B937" t="s">
        <v>266</v>
      </c>
    </row>
    <row r="938" spans="1:2" x14ac:dyDescent="0.25">
      <c r="A938" t="s">
        <v>304</v>
      </c>
      <c r="B938" t="s">
        <v>266</v>
      </c>
    </row>
    <row r="939" spans="1:2" x14ac:dyDescent="0.25">
      <c r="A939" t="s">
        <v>304</v>
      </c>
      <c r="B939" t="s">
        <v>266</v>
      </c>
    </row>
    <row r="940" spans="1:2" x14ac:dyDescent="0.25">
      <c r="A940" t="s">
        <v>304</v>
      </c>
      <c r="B940" t="s">
        <v>266</v>
      </c>
    </row>
    <row r="941" spans="1:2" x14ac:dyDescent="0.25">
      <c r="A941" t="s">
        <v>304</v>
      </c>
      <c r="B941" t="s">
        <v>266</v>
      </c>
    </row>
    <row r="942" spans="1:2" x14ac:dyDescent="0.25">
      <c r="A942" t="s">
        <v>304</v>
      </c>
      <c r="B942" t="s">
        <v>266</v>
      </c>
    </row>
    <row r="943" spans="1:2" x14ac:dyDescent="0.25">
      <c r="A943" t="s">
        <v>304</v>
      </c>
      <c r="B943" t="s">
        <v>266</v>
      </c>
    </row>
    <row r="944" spans="1:2" x14ac:dyDescent="0.25">
      <c r="A944" t="s">
        <v>304</v>
      </c>
      <c r="B944" t="s">
        <v>266</v>
      </c>
    </row>
    <row r="945" spans="1:2" x14ac:dyDescent="0.25">
      <c r="A945" t="s">
        <v>304</v>
      </c>
      <c r="B945" t="s">
        <v>266</v>
      </c>
    </row>
    <row r="946" spans="1:2" x14ac:dyDescent="0.25">
      <c r="A946" t="s">
        <v>304</v>
      </c>
      <c r="B946" t="s">
        <v>266</v>
      </c>
    </row>
    <row r="947" spans="1:2" x14ac:dyDescent="0.25">
      <c r="A947" t="s">
        <v>304</v>
      </c>
      <c r="B947" t="s">
        <v>266</v>
      </c>
    </row>
    <row r="948" spans="1:2" x14ac:dyDescent="0.25">
      <c r="A948" t="s">
        <v>304</v>
      </c>
      <c r="B948" t="s">
        <v>266</v>
      </c>
    </row>
    <row r="949" spans="1:2" x14ac:dyDescent="0.25">
      <c r="A949" t="s">
        <v>304</v>
      </c>
      <c r="B949" t="s">
        <v>266</v>
      </c>
    </row>
    <row r="950" spans="1:2" x14ac:dyDescent="0.25">
      <c r="A950" t="s">
        <v>304</v>
      </c>
      <c r="B950" t="s">
        <v>266</v>
      </c>
    </row>
    <row r="951" spans="1:2" x14ac:dyDescent="0.25">
      <c r="A951" t="s">
        <v>304</v>
      </c>
      <c r="B951" t="s">
        <v>266</v>
      </c>
    </row>
    <row r="952" spans="1:2" x14ac:dyDescent="0.25">
      <c r="A952" t="s">
        <v>304</v>
      </c>
      <c r="B952" t="s">
        <v>266</v>
      </c>
    </row>
    <row r="953" spans="1:2" x14ac:dyDescent="0.25">
      <c r="A953" t="s">
        <v>304</v>
      </c>
      <c r="B953" t="s">
        <v>266</v>
      </c>
    </row>
    <row r="954" spans="1:2" x14ac:dyDescent="0.25">
      <c r="A954" t="s">
        <v>304</v>
      </c>
      <c r="B954" t="s">
        <v>266</v>
      </c>
    </row>
    <row r="955" spans="1:2" x14ac:dyDescent="0.25">
      <c r="A955" t="s">
        <v>304</v>
      </c>
      <c r="B955" t="s">
        <v>266</v>
      </c>
    </row>
    <row r="956" spans="1:2" x14ac:dyDescent="0.25">
      <c r="A956" t="s">
        <v>304</v>
      </c>
      <c r="B956" t="s">
        <v>266</v>
      </c>
    </row>
    <row r="957" spans="1:2" x14ac:dyDescent="0.25">
      <c r="A957" t="s">
        <v>304</v>
      </c>
      <c r="B957" t="s">
        <v>266</v>
      </c>
    </row>
    <row r="958" spans="1:2" x14ac:dyDescent="0.25">
      <c r="A958" t="s">
        <v>304</v>
      </c>
      <c r="B958" t="s">
        <v>266</v>
      </c>
    </row>
    <row r="959" spans="1:2" x14ac:dyDescent="0.25">
      <c r="A959" t="s">
        <v>304</v>
      </c>
      <c r="B959" t="s">
        <v>266</v>
      </c>
    </row>
    <row r="960" spans="1:2" x14ac:dyDescent="0.25">
      <c r="A960" t="s">
        <v>304</v>
      </c>
      <c r="B960" t="s">
        <v>266</v>
      </c>
    </row>
    <row r="961" spans="1:2" x14ac:dyDescent="0.25">
      <c r="A961" t="s">
        <v>304</v>
      </c>
      <c r="B961" t="s">
        <v>266</v>
      </c>
    </row>
    <row r="962" spans="1:2" x14ac:dyDescent="0.25">
      <c r="A962" t="s">
        <v>304</v>
      </c>
      <c r="B962" t="s">
        <v>266</v>
      </c>
    </row>
    <row r="963" spans="1:2" x14ac:dyDescent="0.25">
      <c r="A963" t="s">
        <v>305</v>
      </c>
      <c r="B963" t="s">
        <v>264</v>
      </c>
    </row>
    <row r="964" spans="1:2" x14ac:dyDescent="0.25">
      <c r="A964" t="s">
        <v>305</v>
      </c>
      <c r="B964" t="s">
        <v>264</v>
      </c>
    </row>
    <row r="965" spans="1:2" x14ac:dyDescent="0.25">
      <c r="A965" t="s">
        <v>305</v>
      </c>
      <c r="B965" t="s">
        <v>264</v>
      </c>
    </row>
    <row r="966" spans="1:2" x14ac:dyDescent="0.25">
      <c r="A966" t="s">
        <v>305</v>
      </c>
      <c r="B966" t="s">
        <v>264</v>
      </c>
    </row>
    <row r="967" spans="1:2" x14ac:dyDescent="0.25">
      <c r="A967" t="s">
        <v>305</v>
      </c>
      <c r="B967" t="s">
        <v>264</v>
      </c>
    </row>
    <row r="968" spans="1:2" x14ac:dyDescent="0.25">
      <c r="A968" t="s">
        <v>305</v>
      </c>
      <c r="B968" t="s">
        <v>264</v>
      </c>
    </row>
    <row r="969" spans="1:2" x14ac:dyDescent="0.25">
      <c r="A969" t="s">
        <v>305</v>
      </c>
      <c r="B969" t="s">
        <v>264</v>
      </c>
    </row>
    <row r="970" spans="1:2" x14ac:dyDescent="0.25">
      <c r="A970" t="s">
        <v>305</v>
      </c>
      <c r="B970" t="s">
        <v>264</v>
      </c>
    </row>
    <row r="971" spans="1:2" x14ac:dyDescent="0.25">
      <c r="A971" t="s">
        <v>305</v>
      </c>
      <c r="B971" t="s">
        <v>264</v>
      </c>
    </row>
    <row r="972" spans="1:2" x14ac:dyDescent="0.25">
      <c r="A972" t="s">
        <v>305</v>
      </c>
      <c r="B972" t="s">
        <v>264</v>
      </c>
    </row>
    <row r="973" spans="1:2" x14ac:dyDescent="0.25">
      <c r="A973" t="s">
        <v>305</v>
      </c>
      <c r="B973" t="s">
        <v>264</v>
      </c>
    </row>
    <row r="974" spans="1:2" x14ac:dyDescent="0.25">
      <c r="A974" t="s">
        <v>305</v>
      </c>
      <c r="B974" t="s">
        <v>264</v>
      </c>
    </row>
    <row r="975" spans="1:2" x14ac:dyDescent="0.25">
      <c r="A975" t="s">
        <v>305</v>
      </c>
      <c r="B975" t="s">
        <v>264</v>
      </c>
    </row>
    <row r="976" spans="1:2" x14ac:dyDescent="0.25">
      <c r="A976" t="s">
        <v>305</v>
      </c>
      <c r="B976" t="s">
        <v>264</v>
      </c>
    </row>
    <row r="977" spans="1:2" x14ac:dyDescent="0.25">
      <c r="A977" t="s">
        <v>305</v>
      </c>
      <c r="B977" t="s">
        <v>264</v>
      </c>
    </row>
    <row r="978" spans="1:2" x14ac:dyDescent="0.25">
      <c r="A978" t="s">
        <v>305</v>
      </c>
      <c r="B978" t="s">
        <v>264</v>
      </c>
    </row>
    <row r="979" spans="1:2" x14ac:dyDescent="0.25">
      <c r="A979" t="s">
        <v>305</v>
      </c>
      <c r="B979" t="s">
        <v>264</v>
      </c>
    </row>
    <row r="980" spans="1:2" x14ac:dyDescent="0.25">
      <c r="A980" t="s">
        <v>305</v>
      </c>
      <c r="B980" t="s">
        <v>264</v>
      </c>
    </row>
    <row r="981" spans="1:2" x14ac:dyDescent="0.25">
      <c r="A981" t="s">
        <v>305</v>
      </c>
      <c r="B981" t="s">
        <v>264</v>
      </c>
    </row>
    <row r="982" spans="1:2" x14ac:dyDescent="0.25">
      <c r="A982" t="s">
        <v>305</v>
      </c>
      <c r="B982" t="s">
        <v>264</v>
      </c>
    </row>
    <row r="983" spans="1:2" x14ac:dyDescent="0.25">
      <c r="A983" t="s">
        <v>305</v>
      </c>
      <c r="B983" t="s">
        <v>264</v>
      </c>
    </row>
    <row r="984" spans="1:2" x14ac:dyDescent="0.25">
      <c r="A984" t="s">
        <v>305</v>
      </c>
      <c r="B984" t="s">
        <v>264</v>
      </c>
    </row>
    <row r="985" spans="1:2" x14ac:dyDescent="0.25">
      <c r="A985" t="s">
        <v>305</v>
      </c>
      <c r="B985" t="s">
        <v>264</v>
      </c>
    </row>
    <row r="986" spans="1:2" x14ac:dyDescent="0.25">
      <c r="A986" t="s">
        <v>305</v>
      </c>
      <c r="B986" t="s">
        <v>264</v>
      </c>
    </row>
    <row r="987" spans="1:2" x14ac:dyDescent="0.25">
      <c r="A987" t="s">
        <v>305</v>
      </c>
      <c r="B987" t="s">
        <v>264</v>
      </c>
    </row>
    <row r="988" spans="1:2" x14ac:dyDescent="0.25">
      <c r="A988" t="s">
        <v>305</v>
      </c>
      <c r="B988" t="s">
        <v>264</v>
      </c>
    </row>
    <row r="989" spans="1:2" x14ac:dyDescent="0.25">
      <c r="A989" t="s">
        <v>305</v>
      </c>
      <c r="B989" t="s">
        <v>264</v>
      </c>
    </row>
    <row r="990" spans="1:2" x14ac:dyDescent="0.25">
      <c r="A990" t="s">
        <v>306</v>
      </c>
      <c r="B990" t="s">
        <v>264</v>
      </c>
    </row>
    <row r="991" spans="1:2" x14ac:dyDescent="0.25">
      <c r="A991" t="s">
        <v>306</v>
      </c>
      <c r="B991" t="s">
        <v>264</v>
      </c>
    </row>
    <row r="992" spans="1:2" x14ac:dyDescent="0.25">
      <c r="A992" t="s">
        <v>306</v>
      </c>
      <c r="B992" t="s">
        <v>264</v>
      </c>
    </row>
    <row r="993" spans="1:2" x14ac:dyDescent="0.25">
      <c r="A993" t="s">
        <v>306</v>
      </c>
      <c r="B993" t="s">
        <v>264</v>
      </c>
    </row>
    <row r="994" spans="1:2" x14ac:dyDescent="0.25">
      <c r="A994" t="s">
        <v>306</v>
      </c>
      <c r="B994" t="s">
        <v>264</v>
      </c>
    </row>
    <row r="995" spans="1:2" x14ac:dyDescent="0.25">
      <c r="A995" t="s">
        <v>306</v>
      </c>
      <c r="B995" t="s">
        <v>264</v>
      </c>
    </row>
    <row r="996" spans="1:2" x14ac:dyDescent="0.25">
      <c r="A996" t="s">
        <v>306</v>
      </c>
      <c r="B996" t="s">
        <v>264</v>
      </c>
    </row>
    <row r="997" spans="1:2" x14ac:dyDescent="0.25">
      <c r="A997" t="s">
        <v>306</v>
      </c>
      <c r="B997" t="s">
        <v>264</v>
      </c>
    </row>
    <row r="998" spans="1:2" x14ac:dyDescent="0.25">
      <c r="A998" t="s">
        <v>306</v>
      </c>
      <c r="B998" t="s">
        <v>264</v>
      </c>
    </row>
    <row r="999" spans="1:2" x14ac:dyDescent="0.25">
      <c r="A999" t="s">
        <v>306</v>
      </c>
      <c r="B999" t="s">
        <v>264</v>
      </c>
    </row>
    <row r="1000" spans="1:2" x14ac:dyDescent="0.25">
      <c r="A1000" t="s">
        <v>306</v>
      </c>
      <c r="B1000" t="s">
        <v>264</v>
      </c>
    </row>
    <row r="1001" spans="1:2" x14ac:dyDescent="0.25">
      <c r="A1001" t="s">
        <v>306</v>
      </c>
      <c r="B1001" t="s">
        <v>264</v>
      </c>
    </row>
    <row r="1002" spans="1:2" x14ac:dyDescent="0.25">
      <c r="A1002" t="s">
        <v>306</v>
      </c>
      <c r="B1002" t="s">
        <v>264</v>
      </c>
    </row>
    <row r="1003" spans="1:2" x14ac:dyDescent="0.25">
      <c r="A1003" t="s">
        <v>306</v>
      </c>
      <c r="B1003" t="s">
        <v>264</v>
      </c>
    </row>
    <row r="1004" spans="1:2" x14ac:dyDescent="0.25">
      <c r="A1004" t="s">
        <v>306</v>
      </c>
      <c r="B1004" t="s">
        <v>264</v>
      </c>
    </row>
    <row r="1005" spans="1:2" x14ac:dyDescent="0.25">
      <c r="A1005" t="s">
        <v>306</v>
      </c>
      <c r="B1005" t="s">
        <v>264</v>
      </c>
    </row>
    <row r="1006" spans="1:2" x14ac:dyDescent="0.25">
      <c r="A1006" t="s">
        <v>306</v>
      </c>
      <c r="B1006" t="s">
        <v>264</v>
      </c>
    </row>
    <row r="1007" spans="1:2" x14ac:dyDescent="0.25">
      <c r="A1007" t="s">
        <v>306</v>
      </c>
      <c r="B1007" t="s">
        <v>264</v>
      </c>
    </row>
    <row r="1008" spans="1:2" x14ac:dyDescent="0.25">
      <c r="A1008" t="s">
        <v>306</v>
      </c>
      <c r="B1008" t="s">
        <v>264</v>
      </c>
    </row>
    <row r="1009" spans="1:2" x14ac:dyDescent="0.25">
      <c r="A1009" t="s">
        <v>306</v>
      </c>
      <c r="B1009" t="s">
        <v>264</v>
      </c>
    </row>
    <row r="1010" spans="1:2" x14ac:dyDescent="0.25">
      <c r="A1010" t="s">
        <v>306</v>
      </c>
      <c r="B1010" t="s">
        <v>264</v>
      </c>
    </row>
    <row r="1011" spans="1:2" x14ac:dyDescent="0.25">
      <c r="A1011" t="s">
        <v>306</v>
      </c>
      <c r="B1011" t="s">
        <v>264</v>
      </c>
    </row>
    <row r="1012" spans="1:2" x14ac:dyDescent="0.25">
      <c r="A1012" t="s">
        <v>306</v>
      </c>
      <c r="B1012" t="s">
        <v>264</v>
      </c>
    </row>
    <row r="1013" spans="1:2" x14ac:dyDescent="0.25">
      <c r="A1013" t="s">
        <v>306</v>
      </c>
      <c r="B1013" t="s">
        <v>264</v>
      </c>
    </row>
    <row r="1014" spans="1:2" x14ac:dyDescent="0.25">
      <c r="A1014" t="s">
        <v>306</v>
      </c>
      <c r="B1014" t="s">
        <v>264</v>
      </c>
    </row>
    <row r="1015" spans="1:2" x14ac:dyDescent="0.25">
      <c r="A1015" t="s">
        <v>307</v>
      </c>
      <c r="B1015" t="s">
        <v>262</v>
      </c>
    </row>
    <row r="1016" spans="1:2" x14ac:dyDescent="0.25">
      <c r="A1016" t="s">
        <v>307</v>
      </c>
      <c r="B1016" t="s">
        <v>262</v>
      </c>
    </row>
    <row r="1017" spans="1:2" x14ac:dyDescent="0.25">
      <c r="A1017" t="s">
        <v>307</v>
      </c>
      <c r="B1017" t="s">
        <v>262</v>
      </c>
    </row>
    <row r="1018" spans="1:2" x14ac:dyDescent="0.25">
      <c r="A1018" t="s">
        <v>307</v>
      </c>
      <c r="B1018" t="s">
        <v>262</v>
      </c>
    </row>
    <row r="1019" spans="1:2" x14ac:dyDescent="0.25">
      <c r="A1019" t="s">
        <v>307</v>
      </c>
      <c r="B1019" t="s">
        <v>262</v>
      </c>
    </row>
    <row r="1020" spans="1:2" x14ac:dyDescent="0.25">
      <c r="A1020" t="s">
        <v>307</v>
      </c>
      <c r="B1020" t="s">
        <v>262</v>
      </c>
    </row>
    <row r="1021" spans="1:2" x14ac:dyDescent="0.25">
      <c r="A1021" t="s">
        <v>307</v>
      </c>
      <c r="B1021" t="s">
        <v>262</v>
      </c>
    </row>
    <row r="1022" spans="1:2" x14ac:dyDescent="0.25">
      <c r="A1022" t="s">
        <v>307</v>
      </c>
      <c r="B1022" t="s">
        <v>262</v>
      </c>
    </row>
    <row r="1023" spans="1:2" x14ac:dyDescent="0.25">
      <c r="A1023" t="s">
        <v>307</v>
      </c>
      <c r="B1023" t="s">
        <v>262</v>
      </c>
    </row>
    <row r="1024" spans="1:2" x14ac:dyDescent="0.25">
      <c r="A1024" t="s">
        <v>307</v>
      </c>
      <c r="B1024" t="s">
        <v>262</v>
      </c>
    </row>
    <row r="1025" spans="1:2" x14ac:dyDescent="0.25">
      <c r="A1025" t="s">
        <v>307</v>
      </c>
      <c r="B1025" t="s">
        <v>262</v>
      </c>
    </row>
    <row r="1026" spans="1:2" x14ac:dyDescent="0.25">
      <c r="A1026" t="s">
        <v>307</v>
      </c>
      <c r="B1026" t="s">
        <v>262</v>
      </c>
    </row>
    <row r="1027" spans="1:2" x14ac:dyDescent="0.25">
      <c r="A1027" t="s">
        <v>307</v>
      </c>
      <c r="B1027" t="s">
        <v>262</v>
      </c>
    </row>
    <row r="1028" spans="1:2" x14ac:dyDescent="0.25">
      <c r="A1028" t="s">
        <v>307</v>
      </c>
      <c r="B1028" t="s">
        <v>262</v>
      </c>
    </row>
    <row r="1029" spans="1:2" x14ac:dyDescent="0.25">
      <c r="A1029" t="s">
        <v>307</v>
      </c>
      <c r="B1029" t="s">
        <v>262</v>
      </c>
    </row>
    <row r="1030" spans="1:2" x14ac:dyDescent="0.25">
      <c r="A1030" t="s">
        <v>307</v>
      </c>
      <c r="B1030" t="s">
        <v>262</v>
      </c>
    </row>
    <row r="1031" spans="1:2" x14ac:dyDescent="0.25">
      <c r="A1031" t="s">
        <v>307</v>
      </c>
      <c r="B1031" t="s">
        <v>262</v>
      </c>
    </row>
    <row r="1032" spans="1:2" x14ac:dyDescent="0.25">
      <c r="A1032" t="s">
        <v>307</v>
      </c>
      <c r="B1032" t="s">
        <v>262</v>
      </c>
    </row>
    <row r="1033" spans="1:2" x14ac:dyDescent="0.25">
      <c r="A1033" t="s">
        <v>307</v>
      </c>
      <c r="B1033" t="s">
        <v>262</v>
      </c>
    </row>
    <row r="1034" spans="1:2" x14ac:dyDescent="0.25">
      <c r="A1034" t="s">
        <v>307</v>
      </c>
      <c r="B1034" t="s">
        <v>262</v>
      </c>
    </row>
    <row r="1035" spans="1:2" x14ac:dyDescent="0.25">
      <c r="A1035" t="s">
        <v>307</v>
      </c>
      <c r="B1035" t="s">
        <v>262</v>
      </c>
    </row>
    <row r="1036" spans="1:2" x14ac:dyDescent="0.25">
      <c r="A1036" t="s">
        <v>307</v>
      </c>
      <c r="B1036" t="s">
        <v>262</v>
      </c>
    </row>
    <row r="1037" spans="1:2" x14ac:dyDescent="0.25">
      <c r="A1037" t="s">
        <v>307</v>
      </c>
      <c r="B1037" t="s">
        <v>262</v>
      </c>
    </row>
    <row r="1038" spans="1:2" x14ac:dyDescent="0.25">
      <c r="A1038" t="s">
        <v>307</v>
      </c>
      <c r="B1038" t="s">
        <v>262</v>
      </c>
    </row>
    <row r="1039" spans="1:2" x14ac:dyDescent="0.25">
      <c r="A1039" t="s">
        <v>307</v>
      </c>
      <c r="B1039" t="s">
        <v>262</v>
      </c>
    </row>
    <row r="1040" spans="1:2" x14ac:dyDescent="0.25">
      <c r="A1040" t="s">
        <v>307</v>
      </c>
      <c r="B1040" t="s">
        <v>262</v>
      </c>
    </row>
    <row r="1041" spans="1:2" x14ac:dyDescent="0.25">
      <c r="A1041" t="s">
        <v>307</v>
      </c>
      <c r="B1041" t="s">
        <v>262</v>
      </c>
    </row>
    <row r="1042" spans="1:2" x14ac:dyDescent="0.25">
      <c r="A1042" t="s">
        <v>307</v>
      </c>
      <c r="B1042" t="s">
        <v>262</v>
      </c>
    </row>
    <row r="1043" spans="1:2" x14ac:dyDescent="0.25">
      <c r="A1043" t="s">
        <v>307</v>
      </c>
      <c r="B1043" t="s">
        <v>262</v>
      </c>
    </row>
    <row r="1044" spans="1:2" x14ac:dyDescent="0.25">
      <c r="A1044" t="s">
        <v>307</v>
      </c>
      <c r="B1044" t="s">
        <v>262</v>
      </c>
    </row>
    <row r="1045" spans="1:2" x14ac:dyDescent="0.25">
      <c r="A1045" t="s">
        <v>307</v>
      </c>
      <c r="B1045" t="s">
        <v>262</v>
      </c>
    </row>
    <row r="1046" spans="1:2" x14ac:dyDescent="0.25">
      <c r="A1046" t="s">
        <v>307</v>
      </c>
      <c r="B1046" t="s">
        <v>262</v>
      </c>
    </row>
    <row r="1047" spans="1:2" x14ac:dyDescent="0.25">
      <c r="A1047" t="s">
        <v>307</v>
      </c>
      <c r="B1047" t="s">
        <v>262</v>
      </c>
    </row>
    <row r="1048" spans="1:2" x14ac:dyDescent="0.25">
      <c r="A1048" t="s">
        <v>307</v>
      </c>
      <c r="B1048" t="s">
        <v>262</v>
      </c>
    </row>
    <row r="1049" spans="1:2" x14ac:dyDescent="0.25">
      <c r="A1049" t="s">
        <v>307</v>
      </c>
      <c r="B1049" t="s">
        <v>262</v>
      </c>
    </row>
    <row r="1050" spans="1:2" x14ac:dyDescent="0.25">
      <c r="A1050" t="s">
        <v>307</v>
      </c>
      <c r="B1050" t="s">
        <v>262</v>
      </c>
    </row>
    <row r="1051" spans="1:2" x14ac:dyDescent="0.25">
      <c r="A1051" t="s">
        <v>307</v>
      </c>
      <c r="B1051" t="s">
        <v>262</v>
      </c>
    </row>
    <row r="1052" spans="1:2" x14ac:dyDescent="0.25">
      <c r="A1052" t="s">
        <v>307</v>
      </c>
      <c r="B1052" t="s">
        <v>262</v>
      </c>
    </row>
    <row r="1053" spans="1:2" x14ac:dyDescent="0.25">
      <c r="A1053" t="s">
        <v>307</v>
      </c>
      <c r="B1053" t="s">
        <v>262</v>
      </c>
    </row>
    <row r="1054" spans="1:2" x14ac:dyDescent="0.25">
      <c r="A1054" t="s">
        <v>307</v>
      </c>
      <c r="B1054" t="s">
        <v>262</v>
      </c>
    </row>
    <row r="1055" spans="1:2" x14ac:dyDescent="0.25">
      <c r="A1055" t="s">
        <v>307</v>
      </c>
      <c r="B1055" t="s">
        <v>262</v>
      </c>
    </row>
    <row r="1056" spans="1:2" x14ac:dyDescent="0.25">
      <c r="A1056" t="s">
        <v>307</v>
      </c>
      <c r="B1056" t="s">
        <v>262</v>
      </c>
    </row>
    <row r="1057" spans="1:2" x14ac:dyDescent="0.25">
      <c r="A1057" t="s">
        <v>307</v>
      </c>
      <c r="B1057" t="s">
        <v>262</v>
      </c>
    </row>
    <row r="1058" spans="1:2" x14ac:dyDescent="0.25">
      <c r="A1058" t="s">
        <v>307</v>
      </c>
      <c r="B1058" t="s">
        <v>262</v>
      </c>
    </row>
    <row r="1059" spans="1:2" x14ac:dyDescent="0.25">
      <c r="A1059" t="s">
        <v>307</v>
      </c>
      <c r="B1059" t="s">
        <v>262</v>
      </c>
    </row>
    <row r="1060" spans="1:2" x14ac:dyDescent="0.25">
      <c r="A1060" t="s">
        <v>307</v>
      </c>
      <c r="B1060" t="s">
        <v>262</v>
      </c>
    </row>
    <row r="1061" spans="1:2" x14ac:dyDescent="0.25">
      <c r="A1061" t="s">
        <v>307</v>
      </c>
      <c r="B1061" t="s">
        <v>262</v>
      </c>
    </row>
    <row r="1062" spans="1:2" x14ac:dyDescent="0.25">
      <c r="A1062" t="s">
        <v>307</v>
      </c>
      <c r="B1062" t="s">
        <v>262</v>
      </c>
    </row>
    <row r="1063" spans="1:2" x14ac:dyDescent="0.25">
      <c r="A1063" t="s">
        <v>307</v>
      </c>
      <c r="B1063" t="s">
        <v>262</v>
      </c>
    </row>
    <row r="1064" spans="1:2" x14ac:dyDescent="0.25">
      <c r="A1064" t="s">
        <v>307</v>
      </c>
      <c r="B1064" t="s">
        <v>262</v>
      </c>
    </row>
    <row r="1065" spans="1:2" x14ac:dyDescent="0.25">
      <c r="A1065" t="s">
        <v>307</v>
      </c>
      <c r="B1065" t="s">
        <v>262</v>
      </c>
    </row>
    <row r="1066" spans="1:2" x14ac:dyDescent="0.25">
      <c r="A1066" t="s">
        <v>307</v>
      </c>
      <c r="B1066" t="s">
        <v>262</v>
      </c>
    </row>
    <row r="1067" spans="1:2" x14ac:dyDescent="0.25">
      <c r="A1067" t="s">
        <v>308</v>
      </c>
      <c r="B1067" t="s">
        <v>267</v>
      </c>
    </row>
    <row r="1068" spans="1:2" x14ac:dyDescent="0.25">
      <c r="A1068" t="s">
        <v>308</v>
      </c>
      <c r="B1068" t="s">
        <v>267</v>
      </c>
    </row>
    <row r="1069" spans="1:2" x14ac:dyDescent="0.25">
      <c r="A1069" t="s">
        <v>308</v>
      </c>
      <c r="B1069" t="s">
        <v>267</v>
      </c>
    </row>
    <row r="1070" spans="1:2" x14ac:dyDescent="0.25">
      <c r="A1070" t="s">
        <v>308</v>
      </c>
      <c r="B1070" t="s">
        <v>267</v>
      </c>
    </row>
    <row r="1071" spans="1:2" x14ac:dyDescent="0.25">
      <c r="A1071" t="s">
        <v>308</v>
      </c>
      <c r="B1071" t="s">
        <v>267</v>
      </c>
    </row>
    <row r="1072" spans="1:2" x14ac:dyDescent="0.25">
      <c r="A1072" t="s">
        <v>308</v>
      </c>
      <c r="B1072" t="s">
        <v>267</v>
      </c>
    </row>
    <row r="1073" spans="1:2" x14ac:dyDescent="0.25">
      <c r="A1073" t="s">
        <v>308</v>
      </c>
      <c r="B1073" t="s">
        <v>267</v>
      </c>
    </row>
    <row r="1074" spans="1:2" x14ac:dyDescent="0.25">
      <c r="A1074" t="s">
        <v>308</v>
      </c>
      <c r="B1074" t="s">
        <v>267</v>
      </c>
    </row>
    <row r="1075" spans="1:2" x14ac:dyDescent="0.25">
      <c r="A1075" t="s">
        <v>308</v>
      </c>
      <c r="B1075" t="s">
        <v>267</v>
      </c>
    </row>
    <row r="1076" spans="1:2" x14ac:dyDescent="0.25">
      <c r="A1076" t="s">
        <v>308</v>
      </c>
      <c r="B1076" t="s">
        <v>267</v>
      </c>
    </row>
    <row r="1077" spans="1:2" x14ac:dyDescent="0.25">
      <c r="A1077" t="s">
        <v>308</v>
      </c>
      <c r="B1077" t="s">
        <v>267</v>
      </c>
    </row>
    <row r="1078" spans="1:2" x14ac:dyDescent="0.25">
      <c r="A1078" t="s">
        <v>308</v>
      </c>
      <c r="B1078" t="s">
        <v>267</v>
      </c>
    </row>
    <row r="1079" spans="1:2" x14ac:dyDescent="0.25">
      <c r="A1079" t="s">
        <v>308</v>
      </c>
      <c r="B1079" t="s">
        <v>267</v>
      </c>
    </row>
    <row r="1080" spans="1:2" x14ac:dyDescent="0.25">
      <c r="A1080" t="s">
        <v>308</v>
      </c>
      <c r="B1080" t="s">
        <v>267</v>
      </c>
    </row>
    <row r="1081" spans="1:2" x14ac:dyDescent="0.25">
      <c r="A1081" t="s">
        <v>308</v>
      </c>
      <c r="B1081" t="s">
        <v>267</v>
      </c>
    </row>
    <row r="1082" spans="1:2" x14ac:dyDescent="0.25">
      <c r="A1082" t="s">
        <v>308</v>
      </c>
      <c r="B1082" t="s">
        <v>267</v>
      </c>
    </row>
    <row r="1083" spans="1:2" x14ac:dyDescent="0.25">
      <c r="A1083" t="s">
        <v>308</v>
      </c>
      <c r="B1083" t="s">
        <v>267</v>
      </c>
    </row>
    <row r="1084" spans="1:2" x14ac:dyDescent="0.25">
      <c r="A1084" t="s">
        <v>308</v>
      </c>
      <c r="B1084" t="s">
        <v>267</v>
      </c>
    </row>
    <row r="1085" spans="1:2" x14ac:dyDescent="0.25">
      <c r="A1085" t="s">
        <v>308</v>
      </c>
      <c r="B1085" t="s">
        <v>267</v>
      </c>
    </row>
    <row r="1086" spans="1:2" x14ac:dyDescent="0.25">
      <c r="A1086" t="s">
        <v>308</v>
      </c>
      <c r="B1086" t="s">
        <v>267</v>
      </c>
    </row>
    <row r="1087" spans="1:2" x14ac:dyDescent="0.25">
      <c r="A1087" t="s">
        <v>308</v>
      </c>
      <c r="B1087" t="s">
        <v>267</v>
      </c>
    </row>
    <row r="1088" spans="1:2" x14ac:dyDescent="0.25">
      <c r="A1088" t="s">
        <v>308</v>
      </c>
      <c r="B1088" t="s">
        <v>267</v>
      </c>
    </row>
    <row r="1089" spans="1:2" x14ac:dyDescent="0.25">
      <c r="A1089" t="s">
        <v>308</v>
      </c>
      <c r="B1089" t="s">
        <v>267</v>
      </c>
    </row>
    <row r="1090" spans="1:2" x14ac:dyDescent="0.25">
      <c r="A1090" t="s">
        <v>308</v>
      </c>
      <c r="B1090" t="s">
        <v>267</v>
      </c>
    </row>
    <row r="1091" spans="1:2" x14ac:dyDescent="0.25">
      <c r="A1091" t="s">
        <v>308</v>
      </c>
      <c r="B1091" t="s">
        <v>267</v>
      </c>
    </row>
    <row r="1092" spans="1:2" x14ac:dyDescent="0.25">
      <c r="A1092" t="s">
        <v>309</v>
      </c>
      <c r="B1092" t="s">
        <v>262</v>
      </c>
    </row>
    <row r="1093" spans="1:2" x14ac:dyDescent="0.25">
      <c r="A1093" t="s">
        <v>309</v>
      </c>
      <c r="B1093" t="s">
        <v>262</v>
      </c>
    </row>
    <row r="1094" spans="1:2" x14ac:dyDescent="0.25">
      <c r="A1094" t="s">
        <v>309</v>
      </c>
      <c r="B1094" t="s">
        <v>262</v>
      </c>
    </row>
    <row r="1095" spans="1:2" x14ac:dyDescent="0.25">
      <c r="A1095" t="s">
        <v>309</v>
      </c>
      <c r="B1095" t="s">
        <v>262</v>
      </c>
    </row>
    <row r="1096" spans="1:2" x14ac:dyDescent="0.25">
      <c r="A1096" t="s">
        <v>309</v>
      </c>
      <c r="B1096" t="s">
        <v>262</v>
      </c>
    </row>
    <row r="1097" spans="1:2" x14ac:dyDescent="0.25">
      <c r="A1097" t="s">
        <v>309</v>
      </c>
      <c r="B1097" t="s">
        <v>262</v>
      </c>
    </row>
    <row r="1098" spans="1:2" x14ac:dyDescent="0.25">
      <c r="A1098" t="s">
        <v>309</v>
      </c>
      <c r="B1098" t="s">
        <v>262</v>
      </c>
    </row>
    <row r="1099" spans="1:2" x14ac:dyDescent="0.25">
      <c r="A1099" t="s">
        <v>309</v>
      </c>
      <c r="B1099" t="s">
        <v>262</v>
      </c>
    </row>
    <row r="1100" spans="1:2" x14ac:dyDescent="0.25">
      <c r="A1100" t="s">
        <v>309</v>
      </c>
      <c r="B1100" t="s">
        <v>262</v>
      </c>
    </row>
    <row r="1101" spans="1:2" x14ac:dyDescent="0.25">
      <c r="A1101" t="s">
        <v>309</v>
      </c>
      <c r="B1101" t="s">
        <v>262</v>
      </c>
    </row>
    <row r="1102" spans="1:2" x14ac:dyDescent="0.25">
      <c r="A1102" t="s">
        <v>309</v>
      </c>
      <c r="B1102" t="s">
        <v>262</v>
      </c>
    </row>
    <row r="1103" spans="1:2" x14ac:dyDescent="0.25">
      <c r="A1103" t="s">
        <v>309</v>
      </c>
      <c r="B1103" t="s">
        <v>262</v>
      </c>
    </row>
    <row r="1104" spans="1:2" x14ac:dyDescent="0.25">
      <c r="A1104" t="s">
        <v>309</v>
      </c>
      <c r="B1104" t="s">
        <v>262</v>
      </c>
    </row>
    <row r="1105" spans="1:2" x14ac:dyDescent="0.25">
      <c r="A1105" t="s">
        <v>309</v>
      </c>
      <c r="B1105" t="s">
        <v>262</v>
      </c>
    </row>
    <row r="1106" spans="1:2" x14ac:dyDescent="0.25">
      <c r="A1106" t="s">
        <v>309</v>
      </c>
      <c r="B1106" t="s">
        <v>262</v>
      </c>
    </row>
    <row r="1107" spans="1:2" x14ac:dyDescent="0.25">
      <c r="A1107" t="s">
        <v>309</v>
      </c>
      <c r="B1107" t="s">
        <v>262</v>
      </c>
    </row>
    <row r="1108" spans="1:2" x14ac:dyDescent="0.25">
      <c r="A1108" t="s">
        <v>309</v>
      </c>
      <c r="B1108" t="s">
        <v>262</v>
      </c>
    </row>
    <row r="1109" spans="1:2" x14ac:dyDescent="0.25">
      <c r="A1109" t="s">
        <v>309</v>
      </c>
      <c r="B1109" t="s">
        <v>262</v>
      </c>
    </row>
    <row r="1110" spans="1:2" x14ac:dyDescent="0.25">
      <c r="A1110" t="s">
        <v>309</v>
      </c>
      <c r="B1110" t="s">
        <v>262</v>
      </c>
    </row>
    <row r="1111" spans="1:2" x14ac:dyDescent="0.25">
      <c r="A1111" t="s">
        <v>309</v>
      </c>
      <c r="B1111" t="s">
        <v>262</v>
      </c>
    </row>
    <row r="1112" spans="1:2" x14ac:dyDescent="0.25">
      <c r="A1112" t="s">
        <v>309</v>
      </c>
      <c r="B1112" t="s">
        <v>262</v>
      </c>
    </row>
    <row r="1113" spans="1:2" x14ac:dyDescent="0.25">
      <c r="A1113" t="s">
        <v>309</v>
      </c>
      <c r="B1113" t="s">
        <v>262</v>
      </c>
    </row>
    <row r="1114" spans="1:2" x14ac:dyDescent="0.25">
      <c r="A1114" t="s">
        <v>309</v>
      </c>
      <c r="B1114" t="s">
        <v>262</v>
      </c>
    </row>
    <row r="1115" spans="1:2" x14ac:dyDescent="0.25">
      <c r="A1115" t="s">
        <v>309</v>
      </c>
      <c r="B1115" t="s">
        <v>262</v>
      </c>
    </row>
    <row r="1116" spans="1:2" x14ac:dyDescent="0.25">
      <c r="A1116" t="s">
        <v>310</v>
      </c>
      <c r="B1116" t="s">
        <v>264</v>
      </c>
    </row>
    <row r="1117" spans="1:2" x14ac:dyDescent="0.25">
      <c r="A1117" t="s">
        <v>310</v>
      </c>
      <c r="B1117" t="s">
        <v>264</v>
      </c>
    </row>
    <row r="1118" spans="1:2" x14ac:dyDescent="0.25">
      <c r="A1118" t="s">
        <v>310</v>
      </c>
      <c r="B1118" t="s">
        <v>264</v>
      </c>
    </row>
    <row r="1119" spans="1:2" x14ac:dyDescent="0.25">
      <c r="A1119" t="s">
        <v>310</v>
      </c>
      <c r="B1119" t="s">
        <v>264</v>
      </c>
    </row>
    <row r="1120" spans="1:2" x14ac:dyDescent="0.25">
      <c r="A1120" t="s">
        <v>310</v>
      </c>
      <c r="B1120" t="s">
        <v>264</v>
      </c>
    </row>
    <row r="1121" spans="1:2" x14ac:dyDescent="0.25">
      <c r="A1121" t="s">
        <v>310</v>
      </c>
      <c r="B1121" t="s">
        <v>264</v>
      </c>
    </row>
    <row r="1122" spans="1:2" x14ac:dyDescent="0.25">
      <c r="A1122" t="s">
        <v>310</v>
      </c>
      <c r="B1122" t="s">
        <v>264</v>
      </c>
    </row>
    <row r="1123" spans="1:2" x14ac:dyDescent="0.25">
      <c r="A1123" t="s">
        <v>310</v>
      </c>
      <c r="B1123" t="s">
        <v>264</v>
      </c>
    </row>
    <row r="1124" spans="1:2" x14ac:dyDescent="0.25">
      <c r="A1124" t="s">
        <v>310</v>
      </c>
      <c r="B1124" t="s">
        <v>264</v>
      </c>
    </row>
    <row r="1125" spans="1:2" x14ac:dyDescent="0.25">
      <c r="A1125" t="s">
        <v>310</v>
      </c>
      <c r="B1125" t="s">
        <v>264</v>
      </c>
    </row>
    <row r="1126" spans="1:2" x14ac:dyDescent="0.25">
      <c r="A1126" t="s">
        <v>310</v>
      </c>
      <c r="B1126" t="s">
        <v>264</v>
      </c>
    </row>
    <row r="1127" spans="1:2" x14ac:dyDescent="0.25">
      <c r="A1127" t="s">
        <v>310</v>
      </c>
      <c r="B1127" t="s">
        <v>264</v>
      </c>
    </row>
    <row r="1128" spans="1:2" x14ac:dyDescent="0.25">
      <c r="A1128" t="s">
        <v>310</v>
      </c>
      <c r="B1128" t="s">
        <v>264</v>
      </c>
    </row>
    <row r="1129" spans="1:2" x14ac:dyDescent="0.25">
      <c r="A1129" t="s">
        <v>310</v>
      </c>
      <c r="B1129" t="s">
        <v>264</v>
      </c>
    </row>
    <row r="1130" spans="1:2" x14ac:dyDescent="0.25">
      <c r="A1130" t="s">
        <v>310</v>
      </c>
      <c r="B1130" t="s">
        <v>264</v>
      </c>
    </row>
    <row r="1131" spans="1:2" x14ac:dyDescent="0.25">
      <c r="A1131" t="s">
        <v>310</v>
      </c>
      <c r="B1131" t="s">
        <v>264</v>
      </c>
    </row>
    <row r="1132" spans="1:2" x14ac:dyDescent="0.25">
      <c r="A1132" t="s">
        <v>310</v>
      </c>
      <c r="B1132" t="s">
        <v>264</v>
      </c>
    </row>
    <row r="1133" spans="1:2" x14ac:dyDescent="0.25">
      <c r="A1133" t="s">
        <v>310</v>
      </c>
      <c r="B1133" t="s">
        <v>264</v>
      </c>
    </row>
    <row r="1134" spans="1:2" x14ac:dyDescent="0.25">
      <c r="A1134" t="s">
        <v>310</v>
      </c>
      <c r="B1134" t="s">
        <v>264</v>
      </c>
    </row>
    <row r="1135" spans="1:2" x14ac:dyDescent="0.25">
      <c r="A1135" t="s">
        <v>310</v>
      </c>
      <c r="B1135" t="s">
        <v>264</v>
      </c>
    </row>
    <row r="1136" spans="1:2" x14ac:dyDescent="0.25">
      <c r="A1136" t="s">
        <v>310</v>
      </c>
      <c r="B1136" t="s">
        <v>264</v>
      </c>
    </row>
    <row r="1137" spans="1:2" x14ac:dyDescent="0.25">
      <c r="A1137" t="s">
        <v>310</v>
      </c>
      <c r="B1137" t="s">
        <v>264</v>
      </c>
    </row>
    <row r="1138" spans="1:2" x14ac:dyDescent="0.25">
      <c r="A1138" t="s">
        <v>310</v>
      </c>
      <c r="B1138" t="s">
        <v>264</v>
      </c>
    </row>
    <row r="1139" spans="1:2" x14ac:dyDescent="0.25">
      <c r="A1139" t="s">
        <v>310</v>
      </c>
      <c r="B1139" t="s">
        <v>264</v>
      </c>
    </row>
    <row r="1140" spans="1:2" x14ac:dyDescent="0.25">
      <c r="A1140" t="s">
        <v>310</v>
      </c>
      <c r="B1140" t="s">
        <v>264</v>
      </c>
    </row>
    <row r="1141" spans="1:2" x14ac:dyDescent="0.25">
      <c r="A1141" t="s">
        <v>310</v>
      </c>
      <c r="B1141" t="s">
        <v>264</v>
      </c>
    </row>
    <row r="1142" spans="1:2" x14ac:dyDescent="0.25">
      <c r="A1142" t="s">
        <v>311</v>
      </c>
      <c r="B1142" t="s">
        <v>262</v>
      </c>
    </row>
    <row r="1143" spans="1:2" x14ac:dyDescent="0.25">
      <c r="A1143" t="s">
        <v>311</v>
      </c>
      <c r="B1143" t="s">
        <v>262</v>
      </c>
    </row>
    <row r="1144" spans="1:2" x14ac:dyDescent="0.25">
      <c r="A1144" t="s">
        <v>311</v>
      </c>
      <c r="B1144" t="s">
        <v>262</v>
      </c>
    </row>
    <row r="1145" spans="1:2" x14ac:dyDescent="0.25">
      <c r="A1145" t="s">
        <v>311</v>
      </c>
      <c r="B1145" t="s">
        <v>262</v>
      </c>
    </row>
    <row r="1146" spans="1:2" x14ac:dyDescent="0.25">
      <c r="A1146" t="s">
        <v>311</v>
      </c>
      <c r="B1146" t="s">
        <v>262</v>
      </c>
    </row>
    <row r="1147" spans="1:2" x14ac:dyDescent="0.25">
      <c r="A1147" t="s">
        <v>311</v>
      </c>
      <c r="B1147" t="s">
        <v>262</v>
      </c>
    </row>
    <row r="1148" spans="1:2" x14ac:dyDescent="0.25">
      <c r="A1148" t="s">
        <v>311</v>
      </c>
      <c r="B1148" t="s">
        <v>262</v>
      </c>
    </row>
    <row r="1149" spans="1:2" x14ac:dyDescent="0.25">
      <c r="A1149" t="s">
        <v>311</v>
      </c>
      <c r="B1149" t="s">
        <v>262</v>
      </c>
    </row>
    <row r="1150" spans="1:2" x14ac:dyDescent="0.25">
      <c r="A1150" t="s">
        <v>311</v>
      </c>
      <c r="B1150" t="s">
        <v>262</v>
      </c>
    </row>
    <row r="1151" spans="1:2" x14ac:dyDescent="0.25">
      <c r="A1151" t="s">
        <v>311</v>
      </c>
      <c r="B1151" t="s">
        <v>262</v>
      </c>
    </row>
    <row r="1152" spans="1:2" x14ac:dyDescent="0.25">
      <c r="A1152" t="s">
        <v>311</v>
      </c>
      <c r="B1152" t="s">
        <v>262</v>
      </c>
    </row>
    <row r="1153" spans="1:2" x14ac:dyDescent="0.25">
      <c r="A1153" t="s">
        <v>311</v>
      </c>
      <c r="B1153" t="s">
        <v>262</v>
      </c>
    </row>
    <row r="1154" spans="1:2" x14ac:dyDescent="0.25">
      <c r="A1154" t="s">
        <v>311</v>
      </c>
      <c r="B1154" t="s">
        <v>262</v>
      </c>
    </row>
    <row r="1155" spans="1:2" x14ac:dyDescent="0.25">
      <c r="A1155" t="s">
        <v>311</v>
      </c>
      <c r="B1155" t="s">
        <v>262</v>
      </c>
    </row>
    <row r="1156" spans="1:2" x14ac:dyDescent="0.25">
      <c r="A1156" t="s">
        <v>311</v>
      </c>
      <c r="B1156" t="s">
        <v>262</v>
      </c>
    </row>
    <row r="1157" spans="1:2" x14ac:dyDescent="0.25">
      <c r="A1157" t="s">
        <v>311</v>
      </c>
      <c r="B1157" t="s">
        <v>262</v>
      </c>
    </row>
    <row r="1158" spans="1:2" x14ac:dyDescent="0.25">
      <c r="A1158" t="s">
        <v>311</v>
      </c>
      <c r="B1158" t="s">
        <v>262</v>
      </c>
    </row>
    <row r="1159" spans="1:2" x14ac:dyDescent="0.25">
      <c r="A1159" t="s">
        <v>311</v>
      </c>
      <c r="B1159" t="s">
        <v>262</v>
      </c>
    </row>
    <row r="1160" spans="1:2" x14ac:dyDescent="0.25">
      <c r="A1160" t="s">
        <v>311</v>
      </c>
      <c r="B1160" t="s">
        <v>262</v>
      </c>
    </row>
    <row r="1161" spans="1:2" x14ac:dyDescent="0.25">
      <c r="A1161" t="s">
        <v>311</v>
      </c>
      <c r="B1161" t="s">
        <v>262</v>
      </c>
    </row>
    <row r="1162" spans="1:2" x14ac:dyDescent="0.25">
      <c r="A1162" t="s">
        <v>311</v>
      </c>
      <c r="B1162" t="s">
        <v>262</v>
      </c>
    </row>
    <row r="1163" spans="1:2" x14ac:dyDescent="0.25">
      <c r="A1163" t="s">
        <v>311</v>
      </c>
      <c r="B1163" t="s">
        <v>262</v>
      </c>
    </row>
    <row r="1164" spans="1:2" x14ac:dyDescent="0.25">
      <c r="A1164" t="s">
        <v>311</v>
      </c>
      <c r="B1164" t="s">
        <v>262</v>
      </c>
    </row>
    <row r="1165" spans="1:2" x14ac:dyDescent="0.25">
      <c r="A1165" t="s">
        <v>311</v>
      </c>
      <c r="B1165" t="s">
        <v>262</v>
      </c>
    </row>
    <row r="1166" spans="1:2" x14ac:dyDescent="0.25">
      <c r="A1166" t="s">
        <v>311</v>
      </c>
      <c r="B1166" t="s">
        <v>262</v>
      </c>
    </row>
    <row r="1167" spans="1:2" x14ac:dyDescent="0.25">
      <c r="A1167" t="s">
        <v>312</v>
      </c>
      <c r="B1167" t="s">
        <v>262</v>
      </c>
    </row>
    <row r="1168" spans="1:2" x14ac:dyDescent="0.25">
      <c r="A1168" t="s">
        <v>312</v>
      </c>
      <c r="B1168" t="s">
        <v>262</v>
      </c>
    </row>
    <row r="1169" spans="1:2" x14ac:dyDescent="0.25">
      <c r="A1169" t="s">
        <v>312</v>
      </c>
      <c r="B1169" t="s">
        <v>262</v>
      </c>
    </row>
    <row r="1170" spans="1:2" x14ac:dyDescent="0.25">
      <c r="A1170" t="s">
        <v>312</v>
      </c>
      <c r="B1170" t="s">
        <v>262</v>
      </c>
    </row>
    <row r="1171" spans="1:2" x14ac:dyDescent="0.25">
      <c r="A1171" t="s">
        <v>312</v>
      </c>
      <c r="B1171" t="s">
        <v>262</v>
      </c>
    </row>
    <row r="1172" spans="1:2" x14ac:dyDescent="0.25">
      <c r="A1172" t="s">
        <v>312</v>
      </c>
      <c r="B1172" t="s">
        <v>262</v>
      </c>
    </row>
    <row r="1173" spans="1:2" x14ac:dyDescent="0.25">
      <c r="A1173" t="s">
        <v>312</v>
      </c>
      <c r="B1173" t="s">
        <v>262</v>
      </c>
    </row>
    <row r="1174" spans="1:2" x14ac:dyDescent="0.25">
      <c r="A1174" t="s">
        <v>312</v>
      </c>
      <c r="B1174" t="s">
        <v>262</v>
      </c>
    </row>
    <row r="1175" spans="1:2" x14ac:dyDescent="0.25">
      <c r="A1175" t="s">
        <v>312</v>
      </c>
      <c r="B1175" t="s">
        <v>262</v>
      </c>
    </row>
    <row r="1176" spans="1:2" x14ac:dyDescent="0.25">
      <c r="A1176" t="s">
        <v>312</v>
      </c>
      <c r="B1176" t="s">
        <v>262</v>
      </c>
    </row>
    <row r="1177" spans="1:2" x14ac:dyDescent="0.25">
      <c r="A1177" t="s">
        <v>312</v>
      </c>
      <c r="B1177" t="s">
        <v>262</v>
      </c>
    </row>
    <row r="1178" spans="1:2" x14ac:dyDescent="0.25">
      <c r="A1178" t="s">
        <v>312</v>
      </c>
      <c r="B1178" t="s">
        <v>262</v>
      </c>
    </row>
    <row r="1179" spans="1:2" x14ac:dyDescent="0.25">
      <c r="A1179" t="s">
        <v>312</v>
      </c>
      <c r="B1179" t="s">
        <v>262</v>
      </c>
    </row>
    <row r="1180" spans="1:2" x14ac:dyDescent="0.25">
      <c r="A1180" t="s">
        <v>312</v>
      </c>
      <c r="B1180" t="s">
        <v>262</v>
      </c>
    </row>
    <row r="1181" spans="1:2" x14ac:dyDescent="0.25">
      <c r="A1181" t="s">
        <v>312</v>
      </c>
      <c r="B1181" t="s">
        <v>262</v>
      </c>
    </row>
    <row r="1182" spans="1:2" x14ac:dyDescent="0.25">
      <c r="A1182" t="s">
        <v>312</v>
      </c>
      <c r="B1182" t="s">
        <v>262</v>
      </c>
    </row>
    <row r="1183" spans="1:2" x14ac:dyDescent="0.25">
      <c r="A1183" t="s">
        <v>312</v>
      </c>
      <c r="B1183" t="s">
        <v>262</v>
      </c>
    </row>
    <row r="1184" spans="1:2" x14ac:dyDescent="0.25">
      <c r="A1184" t="s">
        <v>312</v>
      </c>
      <c r="B1184" t="s">
        <v>262</v>
      </c>
    </row>
    <row r="1185" spans="1:2" x14ac:dyDescent="0.25">
      <c r="A1185" t="s">
        <v>312</v>
      </c>
      <c r="B1185" t="s">
        <v>262</v>
      </c>
    </row>
    <row r="1186" spans="1:2" x14ac:dyDescent="0.25">
      <c r="A1186" t="s">
        <v>312</v>
      </c>
      <c r="B1186" t="s">
        <v>262</v>
      </c>
    </row>
    <row r="1187" spans="1:2" x14ac:dyDescent="0.25">
      <c r="A1187" t="s">
        <v>312</v>
      </c>
      <c r="B1187" t="s">
        <v>262</v>
      </c>
    </row>
    <row r="1188" spans="1:2" x14ac:dyDescent="0.25">
      <c r="A1188" t="s">
        <v>312</v>
      </c>
      <c r="B1188" t="s">
        <v>262</v>
      </c>
    </row>
    <row r="1189" spans="1:2" x14ac:dyDescent="0.25">
      <c r="A1189" t="s">
        <v>312</v>
      </c>
      <c r="B1189" t="s">
        <v>262</v>
      </c>
    </row>
    <row r="1190" spans="1:2" x14ac:dyDescent="0.25">
      <c r="A1190" t="s">
        <v>312</v>
      </c>
      <c r="B1190" t="s">
        <v>262</v>
      </c>
    </row>
    <row r="1191" spans="1:2" x14ac:dyDescent="0.25">
      <c r="A1191" t="s">
        <v>312</v>
      </c>
      <c r="B1191" t="s">
        <v>262</v>
      </c>
    </row>
    <row r="1192" spans="1:2" x14ac:dyDescent="0.25">
      <c r="A1192" t="s">
        <v>313</v>
      </c>
      <c r="B1192" t="s">
        <v>261</v>
      </c>
    </row>
    <row r="1193" spans="1:2" x14ac:dyDescent="0.25">
      <c r="A1193" t="s">
        <v>313</v>
      </c>
      <c r="B1193" t="s">
        <v>261</v>
      </c>
    </row>
    <row r="1194" spans="1:2" x14ac:dyDescent="0.25">
      <c r="A1194" t="s">
        <v>313</v>
      </c>
      <c r="B1194" t="s">
        <v>261</v>
      </c>
    </row>
    <row r="1195" spans="1:2" x14ac:dyDescent="0.25">
      <c r="A1195" t="s">
        <v>313</v>
      </c>
      <c r="B1195" t="s">
        <v>261</v>
      </c>
    </row>
    <row r="1196" spans="1:2" x14ac:dyDescent="0.25">
      <c r="A1196" t="s">
        <v>313</v>
      </c>
      <c r="B1196" t="s">
        <v>261</v>
      </c>
    </row>
    <row r="1197" spans="1:2" x14ac:dyDescent="0.25">
      <c r="A1197" t="s">
        <v>313</v>
      </c>
      <c r="B1197" t="s">
        <v>261</v>
      </c>
    </row>
    <row r="1198" spans="1:2" x14ac:dyDescent="0.25">
      <c r="A1198" t="s">
        <v>313</v>
      </c>
      <c r="B1198" t="s">
        <v>261</v>
      </c>
    </row>
    <row r="1199" spans="1:2" x14ac:dyDescent="0.25">
      <c r="A1199" t="s">
        <v>313</v>
      </c>
      <c r="B1199" t="s">
        <v>261</v>
      </c>
    </row>
    <row r="1200" spans="1:2" x14ac:dyDescent="0.25">
      <c r="A1200" t="s">
        <v>313</v>
      </c>
      <c r="B1200" t="s">
        <v>261</v>
      </c>
    </row>
    <row r="1201" spans="1:2" x14ac:dyDescent="0.25">
      <c r="A1201" t="s">
        <v>313</v>
      </c>
      <c r="B1201" t="s">
        <v>261</v>
      </c>
    </row>
    <row r="1202" spans="1:2" x14ac:dyDescent="0.25">
      <c r="A1202" t="s">
        <v>313</v>
      </c>
      <c r="B1202" t="s">
        <v>261</v>
      </c>
    </row>
    <row r="1203" spans="1:2" x14ac:dyDescent="0.25">
      <c r="A1203" t="s">
        <v>313</v>
      </c>
      <c r="B1203" t="s">
        <v>261</v>
      </c>
    </row>
    <row r="1204" spans="1:2" x14ac:dyDescent="0.25">
      <c r="A1204" t="s">
        <v>313</v>
      </c>
      <c r="B1204" t="s">
        <v>261</v>
      </c>
    </row>
    <row r="1205" spans="1:2" x14ac:dyDescent="0.25">
      <c r="A1205" t="s">
        <v>313</v>
      </c>
      <c r="B1205" t="s">
        <v>261</v>
      </c>
    </row>
    <row r="1206" spans="1:2" x14ac:dyDescent="0.25">
      <c r="A1206" t="s">
        <v>313</v>
      </c>
      <c r="B1206" t="s">
        <v>261</v>
      </c>
    </row>
    <row r="1207" spans="1:2" x14ac:dyDescent="0.25">
      <c r="A1207" t="s">
        <v>313</v>
      </c>
      <c r="B1207" t="s">
        <v>261</v>
      </c>
    </row>
    <row r="1208" spans="1:2" x14ac:dyDescent="0.25">
      <c r="A1208" t="s">
        <v>313</v>
      </c>
      <c r="B1208" t="s">
        <v>261</v>
      </c>
    </row>
    <row r="1209" spans="1:2" x14ac:dyDescent="0.25">
      <c r="A1209" t="s">
        <v>313</v>
      </c>
      <c r="B1209" t="s">
        <v>261</v>
      </c>
    </row>
    <row r="1210" spans="1:2" x14ac:dyDescent="0.25">
      <c r="A1210" t="s">
        <v>313</v>
      </c>
      <c r="B1210" t="s">
        <v>261</v>
      </c>
    </row>
    <row r="1211" spans="1:2" x14ac:dyDescent="0.25">
      <c r="A1211" t="s">
        <v>313</v>
      </c>
      <c r="B1211" t="s">
        <v>261</v>
      </c>
    </row>
    <row r="1212" spans="1:2" x14ac:dyDescent="0.25">
      <c r="A1212" t="s">
        <v>313</v>
      </c>
      <c r="B1212" t="s">
        <v>261</v>
      </c>
    </row>
    <row r="1213" spans="1:2" x14ac:dyDescent="0.25">
      <c r="A1213" t="s">
        <v>313</v>
      </c>
      <c r="B1213" t="s">
        <v>261</v>
      </c>
    </row>
    <row r="1214" spans="1:2" x14ac:dyDescent="0.25">
      <c r="A1214" t="s">
        <v>313</v>
      </c>
      <c r="B1214" t="s">
        <v>261</v>
      </c>
    </row>
    <row r="1215" spans="1:2" x14ac:dyDescent="0.25">
      <c r="A1215" t="s">
        <v>313</v>
      </c>
      <c r="B1215" t="s">
        <v>261</v>
      </c>
    </row>
    <row r="1216" spans="1:2" x14ac:dyDescent="0.25">
      <c r="A1216" t="s">
        <v>313</v>
      </c>
      <c r="B1216" t="s">
        <v>261</v>
      </c>
    </row>
    <row r="1217" spans="1:2" x14ac:dyDescent="0.25">
      <c r="A1217" t="s">
        <v>314</v>
      </c>
      <c r="B1217" t="s">
        <v>264</v>
      </c>
    </row>
    <row r="1218" spans="1:2" x14ac:dyDescent="0.25">
      <c r="A1218" t="s">
        <v>314</v>
      </c>
      <c r="B1218" t="s">
        <v>264</v>
      </c>
    </row>
    <row r="1219" spans="1:2" x14ac:dyDescent="0.25">
      <c r="A1219" t="s">
        <v>314</v>
      </c>
      <c r="B1219" t="s">
        <v>264</v>
      </c>
    </row>
    <row r="1220" spans="1:2" x14ac:dyDescent="0.25">
      <c r="A1220" t="s">
        <v>314</v>
      </c>
      <c r="B1220" t="s">
        <v>264</v>
      </c>
    </row>
    <row r="1221" spans="1:2" x14ac:dyDescent="0.25">
      <c r="A1221" t="s">
        <v>314</v>
      </c>
      <c r="B1221" t="s">
        <v>264</v>
      </c>
    </row>
    <row r="1222" spans="1:2" x14ac:dyDescent="0.25">
      <c r="A1222" t="s">
        <v>314</v>
      </c>
      <c r="B1222" t="s">
        <v>264</v>
      </c>
    </row>
    <row r="1223" spans="1:2" x14ac:dyDescent="0.25">
      <c r="A1223" t="s">
        <v>314</v>
      </c>
      <c r="B1223" t="s">
        <v>264</v>
      </c>
    </row>
    <row r="1224" spans="1:2" x14ac:dyDescent="0.25">
      <c r="A1224" t="s">
        <v>314</v>
      </c>
      <c r="B1224" t="s">
        <v>264</v>
      </c>
    </row>
    <row r="1225" spans="1:2" x14ac:dyDescent="0.25">
      <c r="A1225" t="s">
        <v>314</v>
      </c>
      <c r="B1225" t="s">
        <v>264</v>
      </c>
    </row>
    <row r="1226" spans="1:2" x14ac:dyDescent="0.25">
      <c r="A1226" t="s">
        <v>314</v>
      </c>
      <c r="B1226" t="s">
        <v>264</v>
      </c>
    </row>
    <row r="1227" spans="1:2" x14ac:dyDescent="0.25">
      <c r="A1227" t="s">
        <v>314</v>
      </c>
      <c r="B1227" t="s">
        <v>264</v>
      </c>
    </row>
    <row r="1228" spans="1:2" x14ac:dyDescent="0.25">
      <c r="A1228" t="s">
        <v>314</v>
      </c>
      <c r="B1228" t="s">
        <v>264</v>
      </c>
    </row>
    <row r="1229" spans="1:2" x14ac:dyDescent="0.25">
      <c r="A1229" t="s">
        <v>314</v>
      </c>
      <c r="B1229" t="s">
        <v>264</v>
      </c>
    </row>
    <row r="1230" spans="1:2" x14ac:dyDescent="0.25">
      <c r="A1230" t="s">
        <v>314</v>
      </c>
      <c r="B1230" t="s">
        <v>264</v>
      </c>
    </row>
    <row r="1231" spans="1:2" x14ac:dyDescent="0.25">
      <c r="A1231" t="s">
        <v>314</v>
      </c>
      <c r="B1231" t="s">
        <v>264</v>
      </c>
    </row>
    <row r="1232" spans="1:2" x14ac:dyDescent="0.25">
      <c r="A1232" t="s">
        <v>314</v>
      </c>
      <c r="B1232" t="s">
        <v>264</v>
      </c>
    </row>
    <row r="1233" spans="1:2" x14ac:dyDescent="0.25">
      <c r="A1233" t="s">
        <v>314</v>
      </c>
      <c r="B1233" t="s">
        <v>264</v>
      </c>
    </row>
    <row r="1234" spans="1:2" x14ac:dyDescent="0.25">
      <c r="A1234" t="s">
        <v>314</v>
      </c>
      <c r="B1234" t="s">
        <v>264</v>
      </c>
    </row>
    <row r="1235" spans="1:2" x14ac:dyDescent="0.25">
      <c r="A1235" t="s">
        <v>314</v>
      </c>
      <c r="B1235" t="s">
        <v>264</v>
      </c>
    </row>
    <row r="1236" spans="1:2" x14ac:dyDescent="0.25">
      <c r="A1236" t="s">
        <v>314</v>
      </c>
      <c r="B1236" t="s">
        <v>264</v>
      </c>
    </row>
    <row r="1237" spans="1:2" x14ac:dyDescent="0.25">
      <c r="A1237" t="s">
        <v>314</v>
      </c>
      <c r="B1237" t="s">
        <v>264</v>
      </c>
    </row>
    <row r="1238" spans="1:2" x14ac:dyDescent="0.25">
      <c r="A1238" t="s">
        <v>314</v>
      </c>
      <c r="B1238" t="s">
        <v>264</v>
      </c>
    </row>
    <row r="1239" spans="1:2" x14ac:dyDescent="0.25">
      <c r="A1239" t="s">
        <v>314</v>
      </c>
      <c r="B1239" t="s">
        <v>264</v>
      </c>
    </row>
    <row r="1240" spans="1:2" x14ac:dyDescent="0.25">
      <c r="A1240" t="s">
        <v>314</v>
      </c>
      <c r="B1240" t="s">
        <v>264</v>
      </c>
    </row>
    <row r="1241" spans="1:2" x14ac:dyDescent="0.25">
      <c r="A1241" t="s">
        <v>314</v>
      </c>
      <c r="B1241" t="s">
        <v>264</v>
      </c>
    </row>
    <row r="1242" spans="1:2" x14ac:dyDescent="0.25">
      <c r="A1242" t="s">
        <v>314</v>
      </c>
      <c r="B1242" t="s">
        <v>264</v>
      </c>
    </row>
    <row r="1243" spans="1:2" x14ac:dyDescent="0.25">
      <c r="A1243" t="s">
        <v>315</v>
      </c>
      <c r="B1243" t="s">
        <v>262</v>
      </c>
    </row>
    <row r="1244" spans="1:2" x14ac:dyDescent="0.25">
      <c r="A1244" t="s">
        <v>315</v>
      </c>
      <c r="B1244" t="s">
        <v>262</v>
      </c>
    </row>
    <row r="1245" spans="1:2" x14ac:dyDescent="0.25">
      <c r="A1245" t="s">
        <v>315</v>
      </c>
      <c r="B1245" t="s">
        <v>262</v>
      </c>
    </row>
    <row r="1246" spans="1:2" x14ac:dyDescent="0.25">
      <c r="A1246" t="s">
        <v>315</v>
      </c>
      <c r="B1246" t="s">
        <v>262</v>
      </c>
    </row>
    <row r="1247" spans="1:2" x14ac:dyDescent="0.25">
      <c r="A1247" t="s">
        <v>315</v>
      </c>
      <c r="B1247" t="s">
        <v>262</v>
      </c>
    </row>
    <row r="1248" spans="1:2" x14ac:dyDescent="0.25">
      <c r="A1248" t="s">
        <v>315</v>
      </c>
      <c r="B1248" t="s">
        <v>262</v>
      </c>
    </row>
    <row r="1249" spans="1:2" x14ac:dyDescent="0.25">
      <c r="A1249" t="s">
        <v>315</v>
      </c>
      <c r="B1249" t="s">
        <v>262</v>
      </c>
    </row>
    <row r="1250" spans="1:2" x14ac:dyDescent="0.25">
      <c r="A1250" t="s">
        <v>315</v>
      </c>
      <c r="B1250" t="s">
        <v>262</v>
      </c>
    </row>
    <row r="1251" spans="1:2" x14ac:dyDescent="0.25">
      <c r="A1251" t="s">
        <v>315</v>
      </c>
      <c r="B1251" t="s">
        <v>262</v>
      </c>
    </row>
    <row r="1252" spans="1:2" x14ac:dyDescent="0.25">
      <c r="A1252" t="s">
        <v>315</v>
      </c>
      <c r="B1252" t="s">
        <v>262</v>
      </c>
    </row>
    <row r="1253" spans="1:2" x14ac:dyDescent="0.25">
      <c r="A1253" t="s">
        <v>315</v>
      </c>
      <c r="B1253" t="s">
        <v>262</v>
      </c>
    </row>
    <row r="1254" spans="1:2" x14ac:dyDescent="0.25">
      <c r="A1254" t="s">
        <v>315</v>
      </c>
      <c r="B1254" t="s">
        <v>262</v>
      </c>
    </row>
    <row r="1255" spans="1:2" x14ac:dyDescent="0.25">
      <c r="A1255" t="s">
        <v>315</v>
      </c>
      <c r="B1255" t="s">
        <v>262</v>
      </c>
    </row>
    <row r="1256" spans="1:2" x14ac:dyDescent="0.25">
      <c r="A1256" t="s">
        <v>315</v>
      </c>
      <c r="B1256" t="s">
        <v>262</v>
      </c>
    </row>
    <row r="1257" spans="1:2" x14ac:dyDescent="0.25">
      <c r="A1257" t="s">
        <v>315</v>
      </c>
      <c r="B1257" t="s">
        <v>262</v>
      </c>
    </row>
    <row r="1258" spans="1:2" x14ac:dyDescent="0.25">
      <c r="A1258" t="s">
        <v>315</v>
      </c>
      <c r="B1258" t="s">
        <v>262</v>
      </c>
    </row>
    <row r="1259" spans="1:2" x14ac:dyDescent="0.25">
      <c r="A1259" t="s">
        <v>315</v>
      </c>
      <c r="B1259" t="s">
        <v>262</v>
      </c>
    </row>
    <row r="1260" spans="1:2" x14ac:dyDescent="0.25">
      <c r="A1260" t="s">
        <v>315</v>
      </c>
      <c r="B1260" t="s">
        <v>262</v>
      </c>
    </row>
    <row r="1261" spans="1:2" x14ac:dyDescent="0.25">
      <c r="A1261" t="s">
        <v>315</v>
      </c>
      <c r="B1261" t="s">
        <v>262</v>
      </c>
    </row>
    <row r="1262" spans="1:2" x14ac:dyDescent="0.25">
      <c r="A1262" t="s">
        <v>315</v>
      </c>
      <c r="B1262" t="s">
        <v>262</v>
      </c>
    </row>
    <row r="1263" spans="1:2" x14ac:dyDescent="0.25">
      <c r="A1263" t="s">
        <v>315</v>
      </c>
      <c r="B1263" t="s">
        <v>262</v>
      </c>
    </row>
    <row r="1264" spans="1:2" x14ac:dyDescent="0.25">
      <c r="A1264" t="s">
        <v>315</v>
      </c>
      <c r="B1264" t="s">
        <v>262</v>
      </c>
    </row>
    <row r="1265" spans="1:2" x14ac:dyDescent="0.25">
      <c r="A1265" t="s">
        <v>315</v>
      </c>
      <c r="B1265" t="s">
        <v>262</v>
      </c>
    </row>
    <row r="1266" spans="1:2" x14ac:dyDescent="0.25">
      <c r="A1266" t="s">
        <v>315</v>
      </c>
      <c r="B1266" t="s">
        <v>262</v>
      </c>
    </row>
    <row r="1267" spans="1:2" x14ac:dyDescent="0.25">
      <c r="A1267" t="s">
        <v>315</v>
      </c>
      <c r="B1267" t="s">
        <v>262</v>
      </c>
    </row>
    <row r="1268" spans="1:2" x14ac:dyDescent="0.25">
      <c r="A1268" t="s">
        <v>315</v>
      </c>
      <c r="B1268" t="s">
        <v>262</v>
      </c>
    </row>
    <row r="1269" spans="1:2" x14ac:dyDescent="0.25">
      <c r="A1269" t="s">
        <v>316</v>
      </c>
      <c r="B1269" t="s">
        <v>264</v>
      </c>
    </row>
    <row r="1270" spans="1:2" x14ac:dyDescent="0.25">
      <c r="A1270" t="s">
        <v>316</v>
      </c>
      <c r="B1270" t="s">
        <v>264</v>
      </c>
    </row>
    <row r="1271" spans="1:2" x14ac:dyDescent="0.25">
      <c r="A1271" t="s">
        <v>316</v>
      </c>
      <c r="B1271" t="s">
        <v>264</v>
      </c>
    </row>
    <row r="1272" spans="1:2" x14ac:dyDescent="0.25">
      <c r="A1272" t="s">
        <v>316</v>
      </c>
      <c r="B1272" t="s">
        <v>264</v>
      </c>
    </row>
    <row r="1273" spans="1:2" x14ac:dyDescent="0.25">
      <c r="A1273" t="s">
        <v>316</v>
      </c>
      <c r="B1273" t="s">
        <v>264</v>
      </c>
    </row>
    <row r="1274" spans="1:2" x14ac:dyDescent="0.25">
      <c r="A1274" t="s">
        <v>316</v>
      </c>
      <c r="B1274" t="s">
        <v>264</v>
      </c>
    </row>
    <row r="1275" spans="1:2" x14ac:dyDescent="0.25">
      <c r="A1275" t="s">
        <v>316</v>
      </c>
      <c r="B1275" t="s">
        <v>264</v>
      </c>
    </row>
    <row r="1276" spans="1:2" x14ac:dyDescent="0.25">
      <c r="A1276" t="s">
        <v>316</v>
      </c>
      <c r="B1276" t="s">
        <v>264</v>
      </c>
    </row>
    <row r="1277" spans="1:2" x14ac:dyDescent="0.25">
      <c r="A1277" t="s">
        <v>316</v>
      </c>
      <c r="B1277" t="s">
        <v>264</v>
      </c>
    </row>
    <row r="1278" spans="1:2" x14ac:dyDescent="0.25">
      <c r="A1278" t="s">
        <v>316</v>
      </c>
      <c r="B1278" t="s">
        <v>264</v>
      </c>
    </row>
    <row r="1279" spans="1:2" x14ac:dyDescent="0.25">
      <c r="A1279" t="s">
        <v>316</v>
      </c>
      <c r="B1279" t="s">
        <v>264</v>
      </c>
    </row>
    <row r="1280" spans="1:2" x14ac:dyDescent="0.25">
      <c r="A1280" t="s">
        <v>316</v>
      </c>
      <c r="B1280" t="s">
        <v>264</v>
      </c>
    </row>
    <row r="1281" spans="1:2" x14ac:dyDescent="0.25">
      <c r="A1281" t="s">
        <v>316</v>
      </c>
      <c r="B1281" t="s">
        <v>264</v>
      </c>
    </row>
    <row r="1282" spans="1:2" x14ac:dyDescent="0.25">
      <c r="A1282" t="s">
        <v>316</v>
      </c>
      <c r="B1282" t="s">
        <v>264</v>
      </c>
    </row>
    <row r="1283" spans="1:2" x14ac:dyDescent="0.25">
      <c r="A1283" t="s">
        <v>316</v>
      </c>
      <c r="B1283" t="s">
        <v>264</v>
      </c>
    </row>
    <row r="1284" spans="1:2" x14ac:dyDescent="0.25">
      <c r="A1284" t="s">
        <v>316</v>
      </c>
      <c r="B1284" t="s">
        <v>264</v>
      </c>
    </row>
    <row r="1285" spans="1:2" x14ac:dyDescent="0.25">
      <c r="A1285" t="s">
        <v>316</v>
      </c>
      <c r="B1285" t="s">
        <v>264</v>
      </c>
    </row>
    <row r="1286" spans="1:2" x14ac:dyDescent="0.25">
      <c r="A1286" t="s">
        <v>316</v>
      </c>
      <c r="B1286" t="s">
        <v>264</v>
      </c>
    </row>
    <row r="1287" spans="1:2" x14ac:dyDescent="0.25">
      <c r="A1287" t="s">
        <v>316</v>
      </c>
      <c r="B1287" t="s">
        <v>264</v>
      </c>
    </row>
    <row r="1288" spans="1:2" x14ac:dyDescent="0.25">
      <c r="A1288" t="s">
        <v>316</v>
      </c>
      <c r="B1288" t="s">
        <v>264</v>
      </c>
    </row>
    <row r="1289" spans="1:2" x14ac:dyDescent="0.25">
      <c r="A1289" t="s">
        <v>316</v>
      </c>
      <c r="B1289" t="s">
        <v>264</v>
      </c>
    </row>
    <row r="1290" spans="1:2" x14ac:dyDescent="0.25">
      <c r="A1290" t="s">
        <v>316</v>
      </c>
      <c r="B1290" t="s">
        <v>264</v>
      </c>
    </row>
    <row r="1291" spans="1:2" x14ac:dyDescent="0.25">
      <c r="A1291" t="s">
        <v>317</v>
      </c>
      <c r="B1291" t="s">
        <v>264</v>
      </c>
    </row>
    <row r="1292" spans="1:2" x14ac:dyDescent="0.25">
      <c r="A1292" t="s">
        <v>317</v>
      </c>
      <c r="B1292" t="s">
        <v>264</v>
      </c>
    </row>
    <row r="1293" spans="1:2" x14ac:dyDescent="0.25">
      <c r="A1293" t="s">
        <v>317</v>
      </c>
      <c r="B1293" t="s">
        <v>264</v>
      </c>
    </row>
    <row r="1294" spans="1:2" x14ac:dyDescent="0.25">
      <c r="A1294" t="s">
        <v>317</v>
      </c>
      <c r="B1294" t="s">
        <v>264</v>
      </c>
    </row>
    <row r="1295" spans="1:2" x14ac:dyDescent="0.25">
      <c r="A1295" t="s">
        <v>317</v>
      </c>
      <c r="B1295" t="s">
        <v>264</v>
      </c>
    </row>
    <row r="1296" spans="1:2" x14ac:dyDescent="0.25">
      <c r="A1296" t="s">
        <v>317</v>
      </c>
      <c r="B1296" t="s">
        <v>264</v>
      </c>
    </row>
    <row r="1297" spans="1:2" x14ac:dyDescent="0.25">
      <c r="A1297" t="s">
        <v>317</v>
      </c>
      <c r="B1297" t="s">
        <v>264</v>
      </c>
    </row>
    <row r="1298" spans="1:2" x14ac:dyDescent="0.25">
      <c r="A1298" t="s">
        <v>317</v>
      </c>
      <c r="B1298" t="s">
        <v>264</v>
      </c>
    </row>
    <row r="1299" spans="1:2" x14ac:dyDescent="0.25">
      <c r="A1299" t="s">
        <v>317</v>
      </c>
      <c r="B1299" t="s">
        <v>264</v>
      </c>
    </row>
    <row r="1300" spans="1:2" x14ac:dyDescent="0.25">
      <c r="A1300" t="s">
        <v>317</v>
      </c>
      <c r="B1300" t="s">
        <v>264</v>
      </c>
    </row>
    <row r="1301" spans="1:2" x14ac:dyDescent="0.25">
      <c r="A1301" t="s">
        <v>317</v>
      </c>
      <c r="B1301" t="s">
        <v>264</v>
      </c>
    </row>
    <row r="1302" spans="1:2" x14ac:dyDescent="0.25">
      <c r="A1302" t="s">
        <v>317</v>
      </c>
      <c r="B1302" t="s">
        <v>264</v>
      </c>
    </row>
    <row r="1303" spans="1:2" x14ac:dyDescent="0.25">
      <c r="A1303" t="s">
        <v>317</v>
      </c>
      <c r="B1303" t="s">
        <v>264</v>
      </c>
    </row>
    <row r="1304" spans="1:2" x14ac:dyDescent="0.25">
      <c r="A1304" t="s">
        <v>317</v>
      </c>
      <c r="B1304" t="s">
        <v>264</v>
      </c>
    </row>
    <row r="1305" spans="1:2" x14ac:dyDescent="0.25">
      <c r="A1305" t="s">
        <v>317</v>
      </c>
      <c r="B1305" t="s">
        <v>264</v>
      </c>
    </row>
    <row r="1306" spans="1:2" x14ac:dyDescent="0.25">
      <c r="A1306" t="s">
        <v>317</v>
      </c>
      <c r="B1306" t="s">
        <v>264</v>
      </c>
    </row>
    <row r="1307" spans="1:2" x14ac:dyDescent="0.25">
      <c r="A1307" t="s">
        <v>317</v>
      </c>
      <c r="B1307" t="s">
        <v>264</v>
      </c>
    </row>
    <row r="1308" spans="1:2" x14ac:dyDescent="0.25">
      <c r="A1308" t="s">
        <v>317</v>
      </c>
      <c r="B1308" t="s">
        <v>264</v>
      </c>
    </row>
    <row r="1309" spans="1:2" x14ac:dyDescent="0.25">
      <c r="A1309" t="s">
        <v>317</v>
      </c>
      <c r="B1309" t="s">
        <v>264</v>
      </c>
    </row>
    <row r="1310" spans="1:2" x14ac:dyDescent="0.25">
      <c r="A1310" t="s">
        <v>317</v>
      </c>
      <c r="B1310" t="s">
        <v>264</v>
      </c>
    </row>
    <row r="1311" spans="1:2" x14ac:dyDescent="0.25">
      <c r="A1311" t="s">
        <v>317</v>
      </c>
      <c r="B1311" t="s">
        <v>264</v>
      </c>
    </row>
    <row r="1312" spans="1:2" x14ac:dyDescent="0.25">
      <c r="A1312" t="s">
        <v>317</v>
      </c>
      <c r="B1312" t="s">
        <v>264</v>
      </c>
    </row>
    <row r="1313" spans="1:2" x14ac:dyDescent="0.25">
      <c r="A1313" t="s">
        <v>317</v>
      </c>
      <c r="B1313" t="s">
        <v>264</v>
      </c>
    </row>
    <row r="1314" spans="1:2" x14ac:dyDescent="0.25">
      <c r="A1314" t="s">
        <v>317</v>
      </c>
      <c r="B1314" t="s">
        <v>264</v>
      </c>
    </row>
    <row r="1315" spans="1:2" x14ac:dyDescent="0.25">
      <c r="A1315" t="s">
        <v>317</v>
      </c>
      <c r="B1315" t="s">
        <v>264</v>
      </c>
    </row>
    <row r="1316" spans="1:2" x14ac:dyDescent="0.25">
      <c r="A1316" t="s">
        <v>317</v>
      </c>
      <c r="B1316" t="s">
        <v>264</v>
      </c>
    </row>
    <row r="1317" spans="1:2" x14ac:dyDescent="0.25">
      <c r="A1317" t="s">
        <v>318</v>
      </c>
      <c r="B1317" t="s">
        <v>263</v>
      </c>
    </row>
    <row r="1318" spans="1:2" x14ac:dyDescent="0.25">
      <c r="A1318" t="s">
        <v>318</v>
      </c>
      <c r="B1318" t="s">
        <v>263</v>
      </c>
    </row>
    <row r="1319" spans="1:2" x14ac:dyDescent="0.25">
      <c r="A1319" t="s">
        <v>318</v>
      </c>
      <c r="B1319" t="s">
        <v>263</v>
      </c>
    </row>
    <row r="1320" spans="1:2" x14ac:dyDescent="0.25">
      <c r="A1320" t="s">
        <v>318</v>
      </c>
      <c r="B1320" t="s">
        <v>263</v>
      </c>
    </row>
    <row r="1321" spans="1:2" x14ac:dyDescent="0.25">
      <c r="A1321" t="s">
        <v>318</v>
      </c>
      <c r="B1321" t="s">
        <v>263</v>
      </c>
    </row>
    <row r="1322" spans="1:2" x14ac:dyDescent="0.25">
      <c r="A1322" t="s">
        <v>318</v>
      </c>
      <c r="B1322" t="s">
        <v>263</v>
      </c>
    </row>
    <row r="1323" spans="1:2" x14ac:dyDescent="0.25">
      <c r="A1323" t="s">
        <v>318</v>
      </c>
      <c r="B1323" t="s">
        <v>263</v>
      </c>
    </row>
    <row r="1324" spans="1:2" x14ac:dyDescent="0.25">
      <c r="A1324" t="s">
        <v>318</v>
      </c>
      <c r="B1324" t="s">
        <v>263</v>
      </c>
    </row>
    <row r="1325" spans="1:2" x14ac:dyDescent="0.25">
      <c r="A1325" t="s">
        <v>318</v>
      </c>
      <c r="B1325" t="s">
        <v>263</v>
      </c>
    </row>
    <row r="1326" spans="1:2" x14ac:dyDescent="0.25">
      <c r="A1326" t="s">
        <v>318</v>
      </c>
      <c r="B1326" t="s">
        <v>263</v>
      </c>
    </row>
    <row r="1327" spans="1:2" x14ac:dyDescent="0.25">
      <c r="A1327" t="s">
        <v>318</v>
      </c>
      <c r="B1327" t="s">
        <v>263</v>
      </c>
    </row>
    <row r="1328" spans="1:2" x14ac:dyDescent="0.25">
      <c r="A1328" t="s">
        <v>318</v>
      </c>
      <c r="B1328" t="s">
        <v>263</v>
      </c>
    </row>
    <row r="1329" spans="1:2" x14ac:dyDescent="0.25">
      <c r="A1329" t="s">
        <v>318</v>
      </c>
      <c r="B1329" t="s">
        <v>263</v>
      </c>
    </row>
    <row r="1330" spans="1:2" x14ac:dyDescent="0.25">
      <c r="A1330" t="s">
        <v>318</v>
      </c>
      <c r="B1330" t="s">
        <v>263</v>
      </c>
    </row>
    <row r="1331" spans="1:2" x14ac:dyDescent="0.25">
      <c r="A1331" t="s">
        <v>318</v>
      </c>
      <c r="B1331" t="s">
        <v>263</v>
      </c>
    </row>
    <row r="1332" spans="1:2" x14ac:dyDescent="0.25">
      <c r="A1332" t="s">
        <v>318</v>
      </c>
      <c r="B1332" t="s">
        <v>263</v>
      </c>
    </row>
    <row r="1333" spans="1:2" x14ac:dyDescent="0.25">
      <c r="A1333" t="s">
        <v>318</v>
      </c>
      <c r="B1333" t="s">
        <v>263</v>
      </c>
    </row>
    <row r="1334" spans="1:2" x14ac:dyDescent="0.25">
      <c r="A1334" t="s">
        <v>318</v>
      </c>
      <c r="B1334" t="s">
        <v>263</v>
      </c>
    </row>
    <row r="1335" spans="1:2" x14ac:dyDescent="0.25">
      <c r="A1335" t="s">
        <v>318</v>
      </c>
      <c r="B1335" t="s">
        <v>263</v>
      </c>
    </row>
    <row r="1336" spans="1:2" x14ac:dyDescent="0.25">
      <c r="A1336" t="s">
        <v>318</v>
      </c>
      <c r="B1336" t="s">
        <v>263</v>
      </c>
    </row>
    <row r="1337" spans="1:2" x14ac:dyDescent="0.25">
      <c r="A1337" t="s">
        <v>318</v>
      </c>
      <c r="B1337" t="s">
        <v>263</v>
      </c>
    </row>
    <row r="1338" spans="1:2" x14ac:dyDescent="0.25">
      <c r="A1338" t="s">
        <v>318</v>
      </c>
      <c r="B1338" t="s">
        <v>263</v>
      </c>
    </row>
    <row r="1339" spans="1:2" x14ac:dyDescent="0.25">
      <c r="A1339" t="s">
        <v>318</v>
      </c>
      <c r="B1339" t="s">
        <v>263</v>
      </c>
    </row>
    <row r="1340" spans="1:2" x14ac:dyDescent="0.25">
      <c r="A1340" t="s">
        <v>318</v>
      </c>
      <c r="B1340" t="s">
        <v>263</v>
      </c>
    </row>
    <row r="1341" spans="1:2" x14ac:dyDescent="0.25">
      <c r="A1341" t="s">
        <v>318</v>
      </c>
      <c r="B1341" t="s">
        <v>263</v>
      </c>
    </row>
    <row r="1342" spans="1:2" x14ac:dyDescent="0.25">
      <c r="A1342" t="s">
        <v>318</v>
      </c>
      <c r="B1342" t="s">
        <v>263</v>
      </c>
    </row>
    <row r="1343" spans="1:2" x14ac:dyDescent="0.25">
      <c r="A1343" t="s">
        <v>318</v>
      </c>
      <c r="B1343" t="s">
        <v>263</v>
      </c>
    </row>
    <row r="1344" spans="1:2" x14ac:dyDescent="0.25">
      <c r="A1344" t="s">
        <v>319</v>
      </c>
      <c r="B1344" t="s">
        <v>264</v>
      </c>
    </row>
    <row r="1345" spans="1:2" x14ac:dyDescent="0.25">
      <c r="A1345" t="s">
        <v>319</v>
      </c>
      <c r="B1345" t="s">
        <v>264</v>
      </c>
    </row>
    <row r="1346" spans="1:2" x14ac:dyDescent="0.25">
      <c r="A1346" t="s">
        <v>319</v>
      </c>
      <c r="B1346" t="s">
        <v>264</v>
      </c>
    </row>
    <row r="1347" spans="1:2" x14ac:dyDescent="0.25">
      <c r="A1347" t="s">
        <v>319</v>
      </c>
      <c r="B1347" t="s">
        <v>264</v>
      </c>
    </row>
    <row r="1348" spans="1:2" x14ac:dyDescent="0.25">
      <c r="A1348" t="s">
        <v>319</v>
      </c>
      <c r="B1348" t="s">
        <v>264</v>
      </c>
    </row>
    <row r="1349" spans="1:2" x14ac:dyDescent="0.25">
      <c r="A1349" t="s">
        <v>319</v>
      </c>
      <c r="B1349" t="s">
        <v>264</v>
      </c>
    </row>
    <row r="1350" spans="1:2" x14ac:dyDescent="0.25">
      <c r="A1350" t="s">
        <v>319</v>
      </c>
      <c r="B1350" t="s">
        <v>264</v>
      </c>
    </row>
    <row r="1351" spans="1:2" x14ac:dyDescent="0.25">
      <c r="A1351" t="s">
        <v>319</v>
      </c>
      <c r="B1351" t="s">
        <v>264</v>
      </c>
    </row>
    <row r="1352" spans="1:2" x14ac:dyDescent="0.25">
      <c r="A1352" t="s">
        <v>319</v>
      </c>
      <c r="B1352" t="s">
        <v>264</v>
      </c>
    </row>
    <row r="1353" spans="1:2" x14ac:dyDescent="0.25">
      <c r="A1353" t="s">
        <v>319</v>
      </c>
      <c r="B1353" t="s">
        <v>264</v>
      </c>
    </row>
    <row r="1354" spans="1:2" x14ac:dyDescent="0.25">
      <c r="A1354" t="s">
        <v>319</v>
      </c>
      <c r="B1354" t="s">
        <v>264</v>
      </c>
    </row>
    <row r="1355" spans="1:2" x14ac:dyDescent="0.25">
      <c r="A1355" t="s">
        <v>319</v>
      </c>
      <c r="B1355" t="s">
        <v>264</v>
      </c>
    </row>
    <row r="1356" spans="1:2" x14ac:dyDescent="0.25">
      <c r="A1356" t="s">
        <v>319</v>
      </c>
      <c r="B1356" t="s">
        <v>264</v>
      </c>
    </row>
    <row r="1357" spans="1:2" x14ac:dyDescent="0.25">
      <c r="A1357" t="s">
        <v>319</v>
      </c>
      <c r="B1357" t="s">
        <v>264</v>
      </c>
    </row>
    <row r="1358" spans="1:2" x14ac:dyDescent="0.25">
      <c r="A1358" t="s">
        <v>319</v>
      </c>
      <c r="B1358" t="s">
        <v>264</v>
      </c>
    </row>
    <row r="1359" spans="1:2" x14ac:dyDescent="0.25">
      <c r="A1359" t="s">
        <v>319</v>
      </c>
      <c r="B1359" t="s">
        <v>264</v>
      </c>
    </row>
    <row r="1360" spans="1:2" x14ac:dyDescent="0.25">
      <c r="A1360" t="s">
        <v>319</v>
      </c>
      <c r="B1360" t="s">
        <v>264</v>
      </c>
    </row>
    <row r="1361" spans="1:2" x14ac:dyDescent="0.25">
      <c r="A1361" t="s">
        <v>319</v>
      </c>
      <c r="B1361" t="s">
        <v>264</v>
      </c>
    </row>
    <row r="1362" spans="1:2" x14ac:dyDescent="0.25">
      <c r="A1362" t="s">
        <v>319</v>
      </c>
      <c r="B1362" t="s">
        <v>264</v>
      </c>
    </row>
    <row r="1363" spans="1:2" x14ac:dyDescent="0.25">
      <c r="A1363" t="s">
        <v>319</v>
      </c>
      <c r="B1363" t="s">
        <v>264</v>
      </c>
    </row>
    <row r="1364" spans="1:2" x14ac:dyDescent="0.25">
      <c r="A1364" t="s">
        <v>319</v>
      </c>
      <c r="B1364" t="s">
        <v>264</v>
      </c>
    </row>
    <row r="1365" spans="1:2" x14ac:dyDescent="0.25">
      <c r="A1365" t="s">
        <v>319</v>
      </c>
      <c r="B1365" t="s">
        <v>264</v>
      </c>
    </row>
    <row r="1366" spans="1:2" x14ac:dyDescent="0.25">
      <c r="A1366" t="s">
        <v>319</v>
      </c>
      <c r="B1366" t="s">
        <v>264</v>
      </c>
    </row>
    <row r="1367" spans="1:2" x14ac:dyDescent="0.25">
      <c r="A1367" t="s">
        <v>319</v>
      </c>
      <c r="B1367" t="s">
        <v>264</v>
      </c>
    </row>
    <row r="1368" spans="1:2" x14ac:dyDescent="0.25">
      <c r="A1368" t="s">
        <v>319</v>
      </c>
      <c r="B1368" t="s">
        <v>264</v>
      </c>
    </row>
    <row r="1369" spans="1:2" x14ac:dyDescent="0.25">
      <c r="A1369" t="s">
        <v>319</v>
      </c>
      <c r="B1369" t="s">
        <v>264</v>
      </c>
    </row>
    <row r="1370" spans="1:2" x14ac:dyDescent="0.25">
      <c r="A1370" t="s">
        <v>319</v>
      </c>
      <c r="B1370" t="s">
        <v>264</v>
      </c>
    </row>
    <row r="1371" spans="1:2" x14ac:dyDescent="0.25">
      <c r="A1371" t="s">
        <v>320</v>
      </c>
      <c r="B1371" t="s">
        <v>262</v>
      </c>
    </row>
    <row r="1372" spans="1:2" x14ac:dyDescent="0.25">
      <c r="A1372" t="s">
        <v>320</v>
      </c>
      <c r="B1372" t="s">
        <v>262</v>
      </c>
    </row>
    <row r="1373" spans="1:2" x14ac:dyDescent="0.25">
      <c r="A1373" t="s">
        <v>320</v>
      </c>
      <c r="B1373" t="s">
        <v>262</v>
      </c>
    </row>
    <row r="1374" spans="1:2" x14ac:dyDescent="0.25">
      <c r="A1374" t="s">
        <v>320</v>
      </c>
      <c r="B1374" t="s">
        <v>262</v>
      </c>
    </row>
    <row r="1375" spans="1:2" x14ac:dyDescent="0.25">
      <c r="A1375" t="s">
        <v>320</v>
      </c>
      <c r="B1375" t="s">
        <v>262</v>
      </c>
    </row>
    <row r="1376" spans="1:2" x14ac:dyDescent="0.25">
      <c r="A1376" t="s">
        <v>320</v>
      </c>
      <c r="B1376" t="s">
        <v>262</v>
      </c>
    </row>
    <row r="1377" spans="1:2" x14ac:dyDescent="0.25">
      <c r="A1377" t="s">
        <v>320</v>
      </c>
      <c r="B1377" t="s">
        <v>262</v>
      </c>
    </row>
    <row r="1378" spans="1:2" x14ac:dyDescent="0.25">
      <c r="A1378" t="s">
        <v>320</v>
      </c>
      <c r="B1378" t="s">
        <v>262</v>
      </c>
    </row>
    <row r="1379" spans="1:2" x14ac:dyDescent="0.25">
      <c r="A1379" t="s">
        <v>320</v>
      </c>
      <c r="B1379" t="s">
        <v>262</v>
      </c>
    </row>
    <row r="1380" spans="1:2" x14ac:dyDescent="0.25">
      <c r="A1380" t="s">
        <v>320</v>
      </c>
      <c r="B1380" t="s">
        <v>262</v>
      </c>
    </row>
    <row r="1381" spans="1:2" x14ac:dyDescent="0.25">
      <c r="A1381" t="s">
        <v>320</v>
      </c>
      <c r="B1381" t="s">
        <v>262</v>
      </c>
    </row>
    <row r="1382" spans="1:2" x14ac:dyDescent="0.25">
      <c r="A1382" t="s">
        <v>320</v>
      </c>
      <c r="B1382" t="s">
        <v>262</v>
      </c>
    </row>
    <row r="1383" spans="1:2" x14ac:dyDescent="0.25">
      <c r="A1383" t="s">
        <v>320</v>
      </c>
      <c r="B1383" t="s">
        <v>262</v>
      </c>
    </row>
    <row r="1384" spans="1:2" x14ac:dyDescent="0.25">
      <c r="A1384" t="s">
        <v>320</v>
      </c>
      <c r="B1384" t="s">
        <v>262</v>
      </c>
    </row>
    <row r="1385" spans="1:2" x14ac:dyDescent="0.25">
      <c r="A1385" t="s">
        <v>320</v>
      </c>
      <c r="B1385" t="s">
        <v>262</v>
      </c>
    </row>
    <row r="1386" spans="1:2" x14ac:dyDescent="0.25">
      <c r="A1386" t="s">
        <v>320</v>
      </c>
      <c r="B1386" t="s">
        <v>262</v>
      </c>
    </row>
    <row r="1387" spans="1:2" x14ac:dyDescent="0.25">
      <c r="A1387" t="s">
        <v>320</v>
      </c>
      <c r="B1387" t="s">
        <v>262</v>
      </c>
    </row>
    <row r="1388" spans="1:2" x14ac:dyDescent="0.25">
      <c r="A1388" t="s">
        <v>320</v>
      </c>
      <c r="B1388" t="s">
        <v>262</v>
      </c>
    </row>
    <row r="1389" spans="1:2" x14ac:dyDescent="0.25">
      <c r="A1389" t="s">
        <v>320</v>
      </c>
      <c r="B1389" t="s">
        <v>262</v>
      </c>
    </row>
    <row r="1390" spans="1:2" x14ac:dyDescent="0.25">
      <c r="A1390" t="s">
        <v>320</v>
      </c>
      <c r="B1390" t="s">
        <v>262</v>
      </c>
    </row>
    <row r="1391" spans="1:2" x14ac:dyDescent="0.25">
      <c r="A1391" t="s">
        <v>320</v>
      </c>
      <c r="B1391" t="s">
        <v>262</v>
      </c>
    </row>
    <row r="1392" spans="1:2" x14ac:dyDescent="0.25">
      <c r="A1392" t="s">
        <v>320</v>
      </c>
      <c r="B1392" t="s">
        <v>262</v>
      </c>
    </row>
    <row r="1393" spans="1:2" x14ac:dyDescent="0.25">
      <c r="A1393" t="s">
        <v>320</v>
      </c>
      <c r="B1393" t="s">
        <v>262</v>
      </c>
    </row>
    <row r="1394" spans="1:2" x14ac:dyDescent="0.25">
      <c r="A1394" t="s">
        <v>320</v>
      </c>
      <c r="B1394" t="s">
        <v>262</v>
      </c>
    </row>
    <row r="1395" spans="1:2" x14ac:dyDescent="0.25">
      <c r="A1395" t="s">
        <v>321</v>
      </c>
      <c r="B1395" t="s">
        <v>262</v>
      </c>
    </row>
    <row r="1396" spans="1:2" x14ac:dyDescent="0.25">
      <c r="A1396" t="s">
        <v>321</v>
      </c>
      <c r="B1396" t="s">
        <v>262</v>
      </c>
    </row>
    <row r="1397" spans="1:2" x14ac:dyDescent="0.25">
      <c r="A1397" t="s">
        <v>321</v>
      </c>
      <c r="B1397" t="s">
        <v>262</v>
      </c>
    </row>
    <row r="1398" spans="1:2" x14ac:dyDescent="0.25">
      <c r="A1398" t="s">
        <v>321</v>
      </c>
      <c r="B1398" t="s">
        <v>262</v>
      </c>
    </row>
    <row r="1399" spans="1:2" x14ac:dyDescent="0.25">
      <c r="A1399" t="s">
        <v>321</v>
      </c>
      <c r="B1399" t="s">
        <v>262</v>
      </c>
    </row>
    <row r="1400" spans="1:2" x14ac:dyDescent="0.25">
      <c r="A1400" t="s">
        <v>321</v>
      </c>
      <c r="B1400" t="s">
        <v>262</v>
      </c>
    </row>
    <row r="1401" spans="1:2" x14ac:dyDescent="0.25">
      <c r="A1401" t="s">
        <v>321</v>
      </c>
      <c r="B1401" t="s">
        <v>262</v>
      </c>
    </row>
    <row r="1402" spans="1:2" x14ac:dyDescent="0.25">
      <c r="A1402" t="s">
        <v>321</v>
      </c>
      <c r="B1402" t="s">
        <v>262</v>
      </c>
    </row>
    <row r="1403" spans="1:2" x14ac:dyDescent="0.25">
      <c r="A1403" t="s">
        <v>321</v>
      </c>
      <c r="B1403" t="s">
        <v>262</v>
      </c>
    </row>
    <row r="1404" spans="1:2" x14ac:dyDescent="0.25">
      <c r="A1404" t="s">
        <v>321</v>
      </c>
      <c r="B1404" t="s">
        <v>262</v>
      </c>
    </row>
    <row r="1405" spans="1:2" x14ac:dyDescent="0.25">
      <c r="A1405" t="s">
        <v>321</v>
      </c>
      <c r="B1405" t="s">
        <v>262</v>
      </c>
    </row>
    <row r="1406" spans="1:2" x14ac:dyDescent="0.25">
      <c r="A1406" t="s">
        <v>321</v>
      </c>
      <c r="B1406" t="s">
        <v>262</v>
      </c>
    </row>
    <row r="1407" spans="1:2" x14ac:dyDescent="0.25">
      <c r="A1407" t="s">
        <v>321</v>
      </c>
      <c r="B1407" t="s">
        <v>262</v>
      </c>
    </row>
    <row r="1408" spans="1:2" x14ac:dyDescent="0.25">
      <c r="A1408" t="s">
        <v>321</v>
      </c>
      <c r="B1408" t="s">
        <v>262</v>
      </c>
    </row>
    <row r="1409" spans="1:2" x14ac:dyDescent="0.25">
      <c r="A1409" t="s">
        <v>321</v>
      </c>
      <c r="B1409" t="s">
        <v>262</v>
      </c>
    </row>
    <row r="1410" spans="1:2" x14ac:dyDescent="0.25">
      <c r="A1410" t="s">
        <v>321</v>
      </c>
      <c r="B1410" t="s">
        <v>262</v>
      </c>
    </row>
    <row r="1411" spans="1:2" x14ac:dyDescent="0.25">
      <c r="A1411" t="s">
        <v>321</v>
      </c>
      <c r="B1411" t="s">
        <v>262</v>
      </c>
    </row>
    <row r="1412" spans="1:2" x14ac:dyDescent="0.25">
      <c r="A1412" t="s">
        <v>321</v>
      </c>
      <c r="B1412" t="s">
        <v>262</v>
      </c>
    </row>
    <row r="1413" spans="1:2" x14ac:dyDescent="0.25">
      <c r="A1413" t="s">
        <v>321</v>
      </c>
      <c r="B1413" t="s">
        <v>262</v>
      </c>
    </row>
    <row r="1414" spans="1:2" x14ac:dyDescent="0.25">
      <c r="A1414" t="s">
        <v>321</v>
      </c>
      <c r="B1414" t="s">
        <v>262</v>
      </c>
    </row>
    <row r="1415" spans="1:2" x14ac:dyDescent="0.25">
      <c r="A1415" t="s">
        <v>321</v>
      </c>
      <c r="B1415" t="s">
        <v>262</v>
      </c>
    </row>
    <row r="1416" spans="1:2" x14ac:dyDescent="0.25">
      <c r="A1416" t="s">
        <v>321</v>
      </c>
      <c r="B1416" t="s">
        <v>262</v>
      </c>
    </row>
    <row r="1417" spans="1:2" x14ac:dyDescent="0.25">
      <c r="A1417" t="s">
        <v>322</v>
      </c>
      <c r="B1417" t="s">
        <v>262</v>
      </c>
    </row>
    <row r="1418" spans="1:2" x14ac:dyDescent="0.25">
      <c r="A1418" t="s">
        <v>322</v>
      </c>
      <c r="B1418" t="s">
        <v>262</v>
      </c>
    </row>
    <row r="1419" spans="1:2" x14ac:dyDescent="0.25">
      <c r="A1419" t="s">
        <v>322</v>
      </c>
      <c r="B1419" t="s">
        <v>262</v>
      </c>
    </row>
    <row r="1420" spans="1:2" x14ac:dyDescent="0.25">
      <c r="A1420" t="s">
        <v>322</v>
      </c>
      <c r="B1420" t="s">
        <v>262</v>
      </c>
    </row>
    <row r="1421" spans="1:2" x14ac:dyDescent="0.25">
      <c r="A1421" t="s">
        <v>322</v>
      </c>
      <c r="B1421" t="s">
        <v>262</v>
      </c>
    </row>
    <row r="1422" spans="1:2" x14ac:dyDescent="0.25">
      <c r="A1422" t="s">
        <v>322</v>
      </c>
      <c r="B1422" t="s">
        <v>262</v>
      </c>
    </row>
    <row r="1423" spans="1:2" x14ac:dyDescent="0.25">
      <c r="A1423" t="s">
        <v>322</v>
      </c>
      <c r="B1423" t="s">
        <v>262</v>
      </c>
    </row>
    <row r="1424" spans="1:2" x14ac:dyDescent="0.25">
      <c r="A1424" t="s">
        <v>322</v>
      </c>
      <c r="B1424" t="s">
        <v>262</v>
      </c>
    </row>
    <row r="1425" spans="1:2" x14ac:dyDescent="0.25">
      <c r="A1425" t="s">
        <v>322</v>
      </c>
      <c r="B1425" t="s">
        <v>262</v>
      </c>
    </row>
    <row r="1426" spans="1:2" x14ac:dyDescent="0.25">
      <c r="A1426" t="s">
        <v>322</v>
      </c>
      <c r="B1426" t="s">
        <v>262</v>
      </c>
    </row>
    <row r="1427" spans="1:2" x14ac:dyDescent="0.25">
      <c r="A1427" t="s">
        <v>322</v>
      </c>
      <c r="B1427" t="s">
        <v>262</v>
      </c>
    </row>
    <row r="1428" spans="1:2" x14ac:dyDescent="0.25">
      <c r="A1428" t="s">
        <v>322</v>
      </c>
      <c r="B1428" t="s">
        <v>262</v>
      </c>
    </row>
    <row r="1429" spans="1:2" x14ac:dyDescent="0.25">
      <c r="A1429" t="s">
        <v>322</v>
      </c>
      <c r="B1429" t="s">
        <v>262</v>
      </c>
    </row>
    <row r="1430" spans="1:2" x14ac:dyDescent="0.25">
      <c r="A1430" t="s">
        <v>322</v>
      </c>
      <c r="B1430" t="s">
        <v>262</v>
      </c>
    </row>
    <row r="1431" spans="1:2" x14ac:dyDescent="0.25">
      <c r="A1431" t="s">
        <v>322</v>
      </c>
      <c r="B1431" t="s">
        <v>262</v>
      </c>
    </row>
    <row r="1432" spans="1:2" x14ac:dyDescent="0.25">
      <c r="A1432" t="s">
        <v>322</v>
      </c>
      <c r="B1432" t="s">
        <v>262</v>
      </c>
    </row>
    <row r="1433" spans="1:2" x14ac:dyDescent="0.25">
      <c r="A1433" t="s">
        <v>322</v>
      </c>
      <c r="B1433" t="s">
        <v>262</v>
      </c>
    </row>
    <row r="1434" spans="1:2" x14ac:dyDescent="0.25">
      <c r="A1434" t="s">
        <v>322</v>
      </c>
      <c r="B1434" t="s">
        <v>262</v>
      </c>
    </row>
    <row r="1435" spans="1:2" x14ac:dyDescent="0.25">
      <c r="A1435" t="s">
        <v>322</v>
      </c>
      <c r="B1435" t="s">
        <v>262</v>
      </c>
    </row>
    <row r="1436" spans="1:2" x14ac:dyDescent="0.25">
      <c r="A1436" t="s">
        <v>322</v>
      </c>
      <c r="B1436" t="s">
        <v>262</v>
      </c>
    </row>
    <row r="1437" spans="1:2" x14ac:dyDescent="0.25">
      <c r="A1437" t="s">
        <v>322</v>
      </c>
      <c r="B1437" t="s">
        <v>262</v>
      </c>
    </row>
    <row r="1438" spans="1:2" x14ac:dyDescent="0.25">
      <c r="A1438" t="s">
        <v>322</v>
      </c>
      <c r="B1438" t="s">
        <v>262</v>
      </c>
    </row>
    <row r="1439" spans="1:2" x14ac:dyDescent="0.25">
      <c r="A1439" t="s">
        <v>322</v>
      </c>
      <c r="B1439" t="s">
        <v>262</v>
      </c>
    </row>
    <row r="1440" spans="1:2" x14ac:dyDescent="0.25">
      <c r="A1440" t="s">
        <v>323</v>
      </c>
      <c r="B1440" t="s">
        <v>262</v>
      </c>
    </row>
    <row r="1441" spans="1:2" x14ac:dyDescent="0.25">
      <c r="A1441" t="s">
        <v>323</v>
      </c>
      <c r="B1441" t="s">
        <v>262</v>
      </c>
    </row>
    <row r="1442" spans="1:2" x14ac:dyDescent="0.25">
      <c r="A1442" t="s">
        <v>323</v>
      </c>
      <c r="B1442" t="s">
        <v>262</v>
      </c>
    </row>
    <row r="1443" spans="1:2" x14ac:dyDescent="0.25">
      <c r="A1443" t="s">
        <v>323</v>
      </c>
      <c r="B1443" t="s">
        <v>262</v>
      </c>
    </row>
    <row r="1444" spans="1:2" x14ac:dyDescent="0.25">
      <c r="A1444" t="s">
        <v>323</v>
      </c>
      <c r="B1444" t="s">
        <v>262</v>
      </c>
    </row>
    <row r="1445" spans="1:2" x14ac:dyDescent="0.25">
      <c r="A1445" t="s">
        <v>323</v>
      </c>
      <c r="B1445" t="s">
        <v>262</v>
      </c>
    </row>
    <row r="1446" spans="1:2" x14ac:dyDescent="0.25">
      <c r="A1446" t="s">
        <v>323</v>
      </c>
      <c r="B1446" t="s">
        <v>262</v>
      </c>
    </row>
    <row r="1447" spans="1:2" x14ac:dyDescent="0.25">
      <c r="A1447" t="s">
        <v>323</v>
      </c>
      <c r="B1447" t="s">
        <v>262</v>
      </c>
    </row>
    <row r="1448" spans="1:2" x14ac:dyDescent="0.25">
      <c r="A1448" t="s">
        <v>323</v>
      </c>
      <c r="B1448" t="s">
        <v>262</v>
      </c>
    </row>
    <row r="1449" spans="1:2" x14ac:dyDescent="0.25">
      <c r="A1449" t="s">
        <v>323</v>
      </c>
      <c r="B1449" t="s">
        <v>262</v>
      </c>
    </row>
    <row r="1450" spans="1:2" x14ac:dyDescent="0.25">
      <c r="A1450" t="s">
        <v>323</v>
      </c>
      <c r="B1450" t="s">
        <v>262</v>
      </c>
    </row>
    <row r="1451" spans="1:2" x14ac:dyDescent="0.25">
      <c r="A1451" t="s">
        <v>323</v>
      </c>
      <c r="B1451" t="s">
        <v>262</v>
      </c>
    </row>
    <row r="1452" spans="1:2" x14ac:dyDescent="0.25">
      <c r="A1452" t="s">
        <v>323</v>
      </c>
      <c r="B1452" t="s">
        <v>262</v>
      </c>
    </row>
    <row r="1453" spans="1:2" x14ac:dyDescent="0.25">
      <c r="A1453" t="s">
        <v>323</v>
      </c>
      <c r="B1453" t="s">
        <v>262</v>
      </c>
    </row>
    <row r="1454" spans="1:2" x14ac:dyDescent="0.25">
      <c r="A1454" t="s">
        <v>323</v>
      </c>
      <c r="B1454" t="s">
        <v>262</v>
      </c>
    </row>
    <row r="1455" spans="1:2" x14ac:dyDescent="0.25">
      <c r="A1455" t="s">
        <v>323</v>
      </c>
      <c r="B1455" t="s">
        <v>262</v>
      </c>
    </row>
    <row r="1456" spans="1:2" x14ac:dyDescent="0.25">
      <c r="A1456" t="s">
        <v>323</v>
      </c>
      <c r="B1456" t="s">
        <v>262</v>
      </c>
    </row>
    <row r="1457" spans="1:2" x14ac:dyDescent="0.25">
      <c r="A1457" t="s">
        <v>323</v>
      </c>
      <c r="B1457" t="s">
        <v>262</v>
      </c>
    </row>
    <row r="1458" spans="1:2" x14ac:dyDescent="0.25">
      <c r="A1458" t="s">
        <v>323</v>
      </c>
      <c r="B1458" t="s">
        <v>262</v>
      </c>
    </row>
    <row r="1459" spans="1:2" x14ac:dyDescent="0.25">
      <c r="A1459" t="s">
        <v>323</v>
      </c>
      <c r="B1459" t="s">
        <v>262</v>
      </c>
    </row>
    <row r="1460" spans="1:2" x14ac:dyDescent="0.25">
      <c r="A1460" t="s">
        <v>323</v>
      </c>
      <c r="B1460" t="s">
        <v>262</v>
      </c>
    </row>
    <row r="1461" spans="1:2" x14ac:dyDescent="0.25">
      <c r="A1461" t="s">
        <v>323</v>
      </c>
      <c r="B1461" t="s">
        <v>262</v>
      </c>
    </row>
    <row r="1462" spans="1:2" x14ac:dyDescent="0.25">
      <c r="A1462" t="s">
        <v>323</v>
      </c>
      <c r="B1462" t="s">
        <v>262</v>
      </c>
    </row>
    <row r="1463" spans="1:2" x14ac:dyDescent="0.25">
      <c r="A1463" t="s">
        <v>323</v>
      </c>
      <c r="B1463" t="s">
        <v>262</v>
      </c>
    </row>
    <row r="1464" spans="1:2" x14ac:dyDescent="0.25">
      <c r="A1464" t="s">
        <v>323</v>
      </c>
      <c r="B1464" t="s">
        <v>262</v>
      </c>
    </row>
    <row r="1465" spans="1:2" x14ac:dyDescent="0.25">
      <c r="A1465" t="s">
        <v>323</v>
      </c>
      <c r="B1465" t="s">
        <v>262</v>
      </c>
    </row>
    <row r="1466" spans="1:2" x14ac:dyDescent="0.25">
      <c r="A1466" t="s">
        <v>323</v>
      </c>
      <c r="B1466" t="s">
        <v>262</v>
      </c>
    </row>
    <row r="1467" spans="1:2" x14ac:dyDescent="0.25">
      <c r="A1467" t="s">
        <v>323</v>
      </c>
      <c r="B1467" t="s">
        <v>262</v>
      </c>
    </row>
    <row r="1468" spans="1:2" x14ac:dyDescent="0.25">
      <c r="A1468" t="s">
        <v>324</v>
      </c>
      <c r="B1468" t="s">
        <v>261</v>
      </c>
    </row>
    <row r="1469" spans="1:2" x14ac:dyDescent="0.25">
      <c r="A1469" t="s">
        <v>324</v>
      </c>
      <c r="B1469" t="s">
        <v>261</v>
      </c>
    </row>
    <row r="1470" spans="1:2" x14ac:dyDescent="0.25">
      <c r="A1470" t="s">
        <v>324</v>
      </c>
      <c r="B1470" t="s">
        <v>261</v>
      </c>
    </row>
    <row r="1471" spans="1:2" x14ac:dyDescent="0.25">
      <c r="A1471" t="s">
        <v>324</v>
      </c>
      <c r="B1471" t="s">
        <v>261</v>
      </c>
    </row>
    <row r="1472" spans="1:2" x14ac:dyDescent="0.25">
      <c r="A1472" t="s">
        <v>324</v>
      </c>
      <c r="B1472" t="s">
        <v>261</v>
      </c>
    </row>
    <row r="1473" spans="1:2" x14ac:dyDescent="0.25">
      <c r="A1473" t="s">
        <v>324</v>
      </c>
      <c r="B1473" t="s">
        <v>261</v>
      </c>
    </row>
    <row r="1474" spans="1:2" x14ac:dyDescent="0.25">
      <c r="A1474" t="s">
        <v>324</v>
      </c>
      <c r="B1474" t="s">
        <v>261</v>
      </c>
    </row>
    <row r="1475" spans="1:2" x14ac:dyDescent="0.25">
      <c r="A1475" t="s">
        <v>324</v>
      </c>
      <c r="B1475" t="s">
        <v>261</v>
      </c>
    </row>
    <row r="1476" spans="1:2" x14ac:dyDescent="0.25">
      <c r="A1476" t="s">
        <v>324</v>
      </c>
      <c r="B1476" t="s">
        <v>261</v>
      </c>
    </row>
    <row r="1477" spans="1:2" x14ac:dyDescent="0.25">
      <c r="A1477" t="s">
        <v>324</v>
      </c>
      <c r="B1477" t="s">
        <v>261</v>
      </c>
    </row>
    <row r="1478" spans="1:2" x14ac:dyDescent="0.25">
      <c r="A1478" t="s">
        <v>324</v>
      </c>
      <c r="B1478" t="s">
        <v>261</v>
      </c>
    </row>
    <row r="1479" spans="1:2" x14ac:dyDescent="0.25">
      <c r="A1479" t="s">
        <v>324</v>
      </c>
      <c r="B1479" t="s">
        <v>261</v>
      </c>
    </row>
    <row r="1480" spans="1:2" x14ac:dyDescent="0.25">
      <c r="A1480" t="s">
        <v>324</v>
      </c>
      <c r="B1480" t="s">
        <v>261</v>
      </c>
    </row>
    <row r="1481" spans="1:2" x14ac:dyDescent="0.25">
      <c r="A1481" t="s">
        <v>324</v>
      </c>
      <c r="B1481" t="s">
        <v>261</v>
      </c>
    </row>
    <row r="1482" spans="1:2" x14ac:dyDescent="0.25">
      <c r="A1482" t="s">
        <v>324</v>
      </c>
      <c r="B1482" t="s">
        <v>261</v>
      </c>
    </row>
    <row r="1483" spans="1:2" x14ac:dyDescent="0.25">
      <c r="A1483" t="s">
        <v>324</v>
      </c>
      <c r="B1483" t="s">
        <v>261</v>
      </c>
    </row>
    <row r="1484" spans="1:2" x14ac:dyDescent="0.25">
      <c r="A1484" t="s">
        <v>324</v>
      </c>
      <c r="B1484" t="s">
        <v>261</v>
      </c>
    </row>
    <row r="1485" spans="1:2" x14ac:dyDescent="0.25">
      <c r="A1485" t="s">
        <v>324</v>
      </c>
      <c r="B1485" t="s">
        <v>261</v>
      </c>
    </row>
    <row r="1486" spans="1:2" x14ac:dyDescent="0.25">
      <c r="A1486" t="s">
        <v>324</v>
      </c>
      <c r="B1486" t="s">
        <v>261</v>
      </c>
    </row>
    <row r="1487" spans="1:2" x14ac:dyDescent="0.25">
      <c r="A1487" t="s">
        <v>324</v>
      </c>
      <c r="B1487" t="s">
        <v>261</v>
      </c>
    </row>
    <row r="1488" spans="1:2" x14ac:dyDescent="0.25">
      <c r="A1488" t="s">
        <v>324</v>
      </c>
      <c r="B1488" t="s">
        <v>261</v>
      </c>
    </row>
    <row r="1489" spans="1:2" x14ac:dyDescent="0.25">
      <c r="A1489" t="s">
        <v>324</v>
      </c>
      <c r="B1489" t="s">
        <v>261</v>
      </c>
    </row>
    <row r="1490" spans="1:2" x14ac:dyDescent="0.25">
      <c r="A1490" t="s">
        <v>324</v>
      </c>
      <c r="B1490" t="s">
        <v>261</v>
      </c>
    </row>
    <row r="1491" spans="1:2" x14ac:dyDescent="0.25">
      <c r="A1491" t="s">
        <v>324</v>
      </c>
      <c r="B1491" t="s">
        <v>261</v>
      </c>
    </row>
    <row r="1492" spans="1:2" x14ac:dyDescent="0.25">
      <c r="A1492" t="s">
        <v>324</v>
      </c>
      <c r="B1492" t="s">
        <v>261</v>
      </c>
    </row>
    <row r="1493" spans="1:2" x14ac:dyDescent="0.25">
      <c r="A1493" t="s">
        <v>324</v>
      </c>
      <c r="B1493" t="s">
        <v>261</v>
      </c>
    </row>
    <row r="1494" spans="1:2" x14ac:dyDescent="0.25">
      <c r="A1494" t="s">
        <v>325</v>
      </c>
      <c r="B1494" t="s">
        <v>262</v>
      </c>
    </row>
    <row r="1495" spans="1:2" x14ac:dyDescent="0.25">
      <c r="A1495" t="s">
        <v>325</v>
      </c>
      <c r="B1495" t="s">
        <v>262</v>
      </c>
    </row>
    <row r="1496" spans="1:2" x14ac:dyDescent="0.25">
      <c r="A1496" t="s">
        <v>325</v>
      </c>
      <c r="B1496" t="s">
        <v>262</v>
      </c>
    </row>
    <row r="1497" spans="1:2" x14ac:dyDescent="0.25">
      <c r="A1497" t="s">
        <v>325</v>
      </c>
      <c r="B1497" t="s">
        <v>262</v>
      </c>
    </row>
    <row r="1498" spans="1:2" x14ac:dyDescent="0.25">
      <c r="A1498" t="s">
        <v>325</v>
      </c>
      <c r="B1498" t="s">
        <v>262</v>
      </c>
    </row>
    <row r="1499" spans="1:2" x14ac:dyDescent="0.25">
      <c r="A1499" t="s">
        <v>325</v>
      </c>
      <c r="B1499" t="s">
        <v>262</v>
      </c>
    </row>
    <row r="1500" spans="1:2" x14ac:dyDescent="0.25">
      <c r="A1500" t="s">
        <v>325</v>
      </c>
      <c r="B1500" t="s">
        <v>262</v>
      </c>
    </row>
    <row r="1501" spans="1:2" x14ac:dyDescent="0.25">
      <c r="A1501" t="s">
        <v>325</v>
      </c>
      <c r="B1501" t="s">
        <v>262</v>
      </c>
    </row>
    <row r="1502" spans="1:2" x14ac:dyDescent="0.25">
      <c r="A1502" t="s">
        <v>325</v>
      </c>
      <c r="B1502" t="s">
        <v>262</v>
      </c>
    </row>
    <row r="1503" spans="1:2" x14ac:dyDescent="0.25">
      <c r="A1503" t="s">
        <v>325</v>
      </c>
      <c r="B1503" t="s">
        <v>262</v>
      </c>
    </row>
    <row r="1504" spans="1:2" x14ac:dyDescent="0.25">
      <c r="A1504" t="s">
        <v>325</v>
      </c>
      <c r="B1504" t="s">
        <v>262</v>
      </c>
    </row>
    <row r="1505" spans="1:2" x14ac:dyDescent="0.25">
      <c r="A1505" t="s">
        <v>325</v>
      </c>
      <c r="B1505" t="s">
        <v>262</v>
      </c>
    </row>
    <row r="1506" spans="1:2" x14ac:dyDescent="0.25">
      <c r="A1506" t="s">
        <v>325</v>
      </c>
      <c r="B1506" t="s">
        <v>262</v>
      </c>
    </row>
    <row r="1507" spans="1:2" x14ac:dyDescent="0.25">
      <c r="A1507" t="s">
        <v>325</v>
      </c>
      <c r="B1507" t="s">
        <v>262</v>
      </c>
    </row>
    <row r="1508" spans="1:2" x14ac:dyDescent="0.25">
      <c r="A1508" t="s">
        <v>325</v>
      </c>
      <c r="B1508" t="s">
        <v>262</v>
      </c>
    </row>
    <row r="1509" spans="1:2" x14ac:dyDescent="0.25">
      <c r="A1509" t="s">
        <v>325</v>
      </c>
      <c r="B1509" t="s">
        <v>262</v>
      </c>
    </row>
    <row r="1510" spans="1:2" x14ac:dyDescent="0.25">
      <c r="A1510" t="s">
        <v>325</v>
      </c>
      <c r="B1510" t="s">
        <v>262</v>
      </c>
    </row>
    <row r="1511" spans="1:2" x14ac:dyDescent="0.25">
      <c r="A1511" t="s">
        <v>325</v>
      </c>
      <c r="B1511" t="s">
        <v>262</v>
      </c>
    </row>
    <row r="1512" spans="1:2" x14ac:dyDescent="0.25">
      <c r="A1512" t="s">
        <v>325</v>
      </c>
      <c r="B1512" t="s">
        <v>262</v>
      </c>
    </row>
    <row r="1513" spans="1:2" x14ac:dyDescent="0.25">
      <c r="A1513" t="s">
        <v>325</v>
      </c>
      <c r="B1513" t="s">
        <v>262</v>
      </c>
    </row>
    <row r="1514" spans="1:2" x14ac:dyDescent="0.25">
      <c r="A1514" t="s">
        <v>325</v>
      </c>
      <c r="B1514" t="s">
        <v>262</v>
      </c>
    </row>
    <row r="1515" spans="1:2" x14ac:dyDescent="0.25">
      <c r="A1515" t="s">
        <v>325</v>
      </c>
      <c r="B1515" t="s">
        <v>262</v>
      </c>
    </row>
    <row r="1516" spans="1:2" x14ac:dyDescent="0.25">
      <c r="A1516" t="s">
        <v>325</v>
      </c>
      <c r="B1516" t="s">
        <v>262</v>
      </c>
    </row>
    <row r="1517" spans="1:2" x14ac:dyDescent="0.25">
      <c r="A1517" t="s">
        <v>325</v>
      </c>
      <c r="B1517" t="s">
        <v>262</v>
      </c>
    </row>
    <row r="1518" spans="1:2" x14ac:dyDescent="0.25">
      <c r="A1518" t="s">
        <v>326</v>
      </c>
      <c r="B1518" t="s">
        <v>265</v>
      </c>
    </row>
    <row r="1519" spans="1:2" x14ac:dyDescent="0.25">
      <c r="A1519" t="s">
        <v>326</v>
      </c>
      <c r="B1519" t="s">
        <v>265</v>
      </c>
    </row>
    <row r="1520" spans="1:2" x14ac:dyDescent="0.25">
      <c r="A1520" t="s">
        <v>326</v>
      </c>
      <c r="B1520" t="s">
        <v>265</v>
      </c>
    </row>
    <row r="1521" spans="1:2" x14ac:dyDescent="0.25">
      <c r="A1521" t="s">
        <v>326</v>
      </c>
      <c r="B1521" t="s">
        <v>265</v>
      </c>
    </row>
    <row r="1522" spans="1:2" x14ac:dyDescent="0.25">
      <c r="A1522" t="s">
        <v>326</v>
      </c>
      <c r="B1522" t="s">
        <v>265</v>
      </c>
    </row>
    <row r="1523" spans="1:2" x14ac:dyDescent="0.25">
      <c r="A1523" t="s">
        <v>326</v>
      </c>
      <c r="B1523" t="s">
        <v>265</v>
      </c>
    </row>
    <row r="1524" spans="1:2" x14ac:dyDescent="0.25">
      <c r="A1524" t="s">
        <v>326</v>
      </c>
      <c r="B1524" t="s">
        <v>265</v>
      </c>
    </row>
    <row r="1525" spans="1:2" x14ac:dyDescent="0.25">
      <c r="A1525" t="s">
        <v>326</v>
      </c>
      <c r="B1525" t="s">
        <v>265</v>
      </c>
    </row>
    <row r="1526" spans="1:2" x14ac:dyDescent="0.25">
      <c r="A1526" t="s">
        <v>326</v>
      </c>
      <c r="B1526" t="s">
        <v>265</v>
      </c>
    </row>
    <row r="1527" spans="1:2" x14ac:dyDescent="0.25">
      <c r="A1527" t="s">
        <v>326</v>
      </c>
      <c r="B1527" t="s">
        <v>265</v>
      </c>
    </row>
    <row r="1528" spans="1:2" x14ac:dyDescent="0.25">
      <c r="A1528" t="s">
        <v>326</v>
      </c>
      <c r="B1528" t="s">
        <v>265</v>
      </c>
    </row>
    <row r="1529" spans="1:2" x14ac:dyDescent="0.25">
      <c r="A1529" t="s">
        <v>326</v>
      </c>
      <c r="B1529" t="s">
        <v>265</v>
      </c>
    </row>
    <row r="1530" spans="1:2" x14ac:dyDescent="0.25">
      <c r="A1530" t="s">
        <v>326</v>
      </c>
      <c r="B1530" t="s">
        <v>265</v>
      </c>
    </row>
    <row r="1531" spans="1:2" x14ac:dyDescent="0.25">
      <c r="A1531" t="s">
        <v>326</v>
      </c>
      <c r="B1531" t="s">
        <v>265</v>
      </c>
    </row>
    <row r="1532" spans="1:2" x14ac:dyDescent="0.25">
      <c r="A1532" t="s">
        <v>326</v>
      </c>
      <c r="B1532" t="s">
        <v>265</v>
      </c>
    </row>
    <row r="1533" spans="1:2" x14ac:dyDescent="0.25">
      <c r="A1533" t="s">
        <v>326</v>
      </c>
      <c r="B1533" t="s">
        <v>265</v>
      </c>
    </row>
    <row r="1534" spans="1:2" x14ac:dyDescent="0.25">
      <c r="A1534" t="s">
        <v>326</v>
      </c>
      <c r="B1534" t="s">
        <v>265</v>
      </c>
    </row>
    <row r="1535" spans="1:2" x14ac:dyDescent="0.25">
      <c r="A1535" t="s">
        <v>326</v>
      </c>
      <c r="B1535" t="s">
        <v>265</v>
      </c>
    </row>
    <row r="1536" spans="1:2" x14ac:dyDescent="0.25">
      <c r="A1536" t="s">
        <v>326</v>
      </c>
      <c r="B1536" t="s">
        <v>265</v>
      </c>
    </row>
    <row r="1537" spans="1:2" x14ac:dyDescent="0.25">
      <c r="A1537" t="s">
        <v>326</v>
      </c>
      <c r="B1537" t="s">
        <v>265</v>
      </c>
    </row>
    <row r="1538" spans="1:2" x14ac:dyDescent="0.25">
      <c r="A1538" t="s">
        <v>326</v>
      </c>
      <c r="B1538" t="s">
        <v>265</v>
      </c>
    </row>
    <row r="1539" spans="1:2" x14ac:dyDescent="0.25">
      <c r="A1539" t="s">
        <v>326</v>
      </c>
      <c r="B1539" t="s">
        <v>265</v>
      </c>
    </row>
    <row r="1540" spans="1:2" x14ac:dyDescent="0.25">
      <c r="A1540" t="s">
        <v>326</v>
      </c>
      <c r="B1540" t="s">
        <v>265</v>
      </c>
    </row>
    <row r="1541" spans="1:2" x14ac:dyDescent="0.25">
      <c r="A1541" t="s">
        <v>327</v>
      </c>
      <c r="B1541" t="s">
        <v>264</v>
      </c>
    </row>
    <row r="1542" spans="1:2" x14ac:dyDescent="0.25">
      <c r="A1542" t="s">
        <v>327</v>
      </c>
      <c r="B1542" t="s">
        <v>264</v>
      </c>
    </row>
    <row r="1543" spans="1:2" x14ac:dyDescent="0.25">
      <c r="A1543" t="s">
        <v>327</v>
      </c>
      <c r="B1543" t="s">
        <v>264</v>
      </c>
    </row>
    <row r="1544" spans="1:2" x14ac:dyDescent="0.25">
      <c r="A1544" t="s">
        <v>327</v>
      </c>
      <c r="B1544" t="s">
        <v>264</v>
      </c>
    </row>
    <row r="1545" spans="1:2" x14ac:dyDescent="0.25">
      <c r="A1545" t="s">
        <v>327</v>
      </c>
      <c r="B1545" t="s">
        <v>264</v>
      </c>
    </row>
    <row r="1546" spans="1:2" x14ac:dyDescent="0.25">
      <c r="A1546" t="s">
        <v>327</v>
      </c>
      <c r="B1546" t="s">
        <v>264</v>
      </c>
    </row>
    <row r="1547" spans="1:2" x14ac:dyDescent="0.25">
      <c r="A1547" t="s">
        <v>327</v>
      </c>
      <c r="B1547" t="s">
        <v>264</v>
      </c>
    </row>
    <row r="1548" spans="1:2" x14ac:dyDescent="0.25">
      <c r="A1548" t="s">
        <v>327</v>
      </c>
      <c r="B1548" t="s">
        <v>264</v>
      </c>
    </row>
    <row r="1549" spans="1:2" x14ac:dyDescent="0.25">
      <c r="A1549" t="s">
        <v>327</v>
      </c>
      <c r="B1549" t="s">
        <v>264</v>
      </c>
    </row>
    <row r="1550" spans="1:2" x14ac:dyDescent="0.25">
      <c r="A1550" t="s">
        <v>327</v>
      </c>
      <c r="B1550" t="s">
        <v>264</v>
      </c>
    </row>
    <row r="1551" spans="1:2" x14ac:dyDescent="0.25">
      <c r="A1551" t="s">
        <v>327</v>
      </c>
      <c r="B1551" t="s">
        <v>264</v>
      </c>
    </row>
    <row r="1552" spans="1:2" x14ac:dyDescent="0.25">
      <c r="A1552" t="s">
        <v>327</v>
      </c>
      <c r="B1552" t="s">
        <v>264</v>
      </c>
    </row>
    <row r="1553" spans="1:2" x14ac:dyDescent="0.25">
      <c r="A1553" t="s">
        <v>327</v>
      </c>
      <c r="B1553" t="s">
        <v>264</v>
      </c>
    </row>
    <row r="1554" spans="1:2" x14ac:dyDescent="0.25">
      <c r="A1554" t="s">
        <v>327</v>
      </c>
      <c r="B1554" t="s">
        <v>264</v>
      </c>
    </row>
    <row r="1555" spans="1:2" x14ac:dyDescent="0.25">
      <c r="A1555" t="s">
        <v>327</v>
      </c>
      <c r="B1555" t="s">
        <v>264</v>
      </c>
    </row>
    <row r="1556" spans="1:2" x14ac:dyDescent="0.25">
      <c r="A1556" t="s">
        <v>327</v>
      </c>
      <c r="B1556" t="s">
        <v>264</v>
      </c>
    </row>
    <row r="1557" spans="1:2" x14ac:dyDescent="0.25">
      <c r="A1557" t="s">
        <v>327</v>
      </c>
      <c r="B1557" t="s">
        <v>264</v>
      </c>
    </row>
    <row r="1558" spans="1:2" x14ac:dyDescent="0.25">
      <c r="A1558" t="s">
        <v>327</v>
      </c>
      <c r="B1558" t="s">
        <v>264</v>
      </c>
    </row>
    <row r="1559" spans="1:2" x14ac:dyDescent="0.25">
      <c r="A1559" t="s">
        <v>327</v>
      </c>
      <c r="B1559" t="s">
        <v>264</v>
      </c>
    </row>
    <row r="1560" spans="1:2" x14ac:dyDescent="0.25">
      <c r="A1560" t="s">
        <v>327</v>
      </c>
      <c r="B1560" t="s">
        <v>264</v>
      </c>
    </row>
    <row r="1561" spans="1:2" x14ac:dyDescent="0.25">
      <c r="A1561" t="s">
        <v>327</v>
      </c>
      <c r="B1561" t="s">
        <v>264</v>
      </c>
    </row>
    <row r="1562" spans="1:2" x14ac:dyDescent="0.25">
      <c r="A1562" t="s">
        <v>327</v>
      </c>
      <c r="B1562" t="s">
        <v>264</v>
      </c>
    </row>
    <row r="1563" spans="1:2" x14ac:dyDescent="0.25">
      <c r="A1563" t="s">
        <v>327</v>
      </c>
      <c r="B1563" t="s">
        <v>264</v>
      </c>
    </row>
    <row r="1564" spans="1:2" x14ac:dyDescent="0.25">
      <c r="A1564" t="s">
        <v>327</v>
      </c>
      <c r="B1564" t="s">
        <v>264</v>
      </c>
    </row>
    <row r="1565" spans="1:2" x14ac:dyDescent="0.25">
      <c r="A1565" t="s">
        <v>327</v>
      </c>
      <c r="B1565" t="s">
        <v>264</v>
      </c>
    </row>
    <row r="1566" spans="1:2" x14ac:dyDescent="0.25">
      <c r="A1566" t="s">
        <v>328</v>
      </c>
      <c r="B1566" t="s">
        <v>261</v>
      </c>
    </row>
    <row r="1567" spans="1:2" x14ac:dyDescent="0.25">
      <c r="A1567" t="s">
        <v>328</v>
      </c>
      <c r="B1567" t="s">
        <v>261</v>
      </c>
    </row>
    <row r="1568" spans="1:2" x14ac:dyDescent="0.25">
      <c r="A1568" t="s">
        <v>328</v>
      </c>
      <c r="B1568" t="s">
        <v>261</v>
      </c>
    </row>
    <row r="1569" spans="1:2" x14ac:dyDescent="0.25">
      <c r="A1569" t="s">
        <v>328</v>
      </c>
      <c r="B1569" t="s">
        <v>261</v>
      </c>
    </row>
    <row r="1570" spans="1:2" x14ac:dyDescent="0.25">
      <c r="A1570" t="s">
        <v>328</v>
      </c>
      <c r="B1570" t="s">
        <v>261</v>
      </c>
    </row>
    <row r="1571" spans="1:2" x14ac:dyDescent="0.25">
      <c r="A1571" t="s">
        <v>328</v>
      </c>
      <c r="B1571" t="s">
        <v>261</v>
      </c>
    </row>
    <row r="1572" spans="1:2" x14ac:dyDescent="0.25">
      <c r="A1572" t="s">
        <v>328</v>
      </c>
      <c r="B1572" t="s">
        <v>261</v>
      </c>
    </row>
    <row r="1573" spans="1:2" x14ac:dyDescent="0.25">
      <c r="A1573" t="s">
        <v>328</v>
      </c>
      <c r="B1573" t="s">
        <v>261</v>
      </c>
    </row>
    <row r="1574" spans="1:2" x14ac:dyDescent="0.25">
      <c r="A1574" t="s">
        <v>328</v>
      </c>
      <c r="B1574" t="s">
        <v>261</v>
      </c>
    </row>
    <row r="1575" spans="1:2" x14ac:dyDescent="0.25">
      <c r="A1575" t="s">
        <v>328</v>
      </c>
      <c r="B1575" t="s">
        <v>261</v>
      </c>
    </row>
    <row r="1576" spans="1:2" x14ac:dyDescent="0.25">
      <c r="A1576" t="s">
        <v>328</v>
      </c>
      <c r="B1576" t="s">
        <v>261</v>
      </c>
    </row>
    <row r="1577" spans="1:2" x14ac:dyDescent="0.25">
      <c r="A1577" t="s">
        <v>328</v>
      </c>
      <c r="B1577" t="s">
        <v>261</v>
      </c>
    </row>
    <row r="1578" spans="1:2" x14ac:dyDescent="0.25">
      <c r="A1578" t="s">
        <v>328</v>
      </c>
      <c r="B1578" t="s">
        <v>261</v>
      </c>
    </row>
    <row r="1579" spans="1:2" x14ac:dyDescent="0.25">
      <c r="A1579" t="s">
        <v>328</v>
      </c>
      <c r="B1579" t="s">
        <v>261</v>
      </c>
    </row>
    <row r="1580" spans="1:2" x14ac:dyDescent="0.25">
      <c r="A1580" t="s">
        <v>328</v>
      </c>
      <c r="B1580" t="s">
        <v>261</v>
      </c>
    </row>
    <row r="1581" spans="1:2" x14ac:dyDescent="0.25">
      <c r="A1581" t="s">
        <v>328</v>
      </c>
      <c r="B1581" t="s">
        <v>261</v>
      </c>
    </row>
    <row r="1582" spans="1:2" x14ac:dyDescent="0.25">
      <c r="A1582" t="s">
        <v>328</v>
      </c>
      <c r="B1582" t="s">
        <v>261</v>
      </c>
    </row>
    <row r="1583" spans="1:2" x14ac:dyDescent="0.25">
      <c r="A1583" t="s">
        <v>328</v>
      </c>
      <c r="B1583" t="s">
        <v>261</v>
      </c>
    </row>
    <row r="1584" spans="1:2" x14ac:dyDescent="0.25">
      <c r="A1584" t="s">
        <v>328</v>
      </c>
      <c r="B1584" t="s">
        <v>261</v>
      </c>
    </row>
    <row r="1585" spans="1:2" x14ac:dyDescent="0.25">
      <c r="A1585" t="s">
        <v>328</v>
      </c>
      <c r="B1585" t="s">
        <v>261</v>
      </c>
    </row>
    <row r="1586" spans="1:2" x14ac:dyDescent="0.25">
      <c r="A1586" t="s">
        <v>328</v>
      </c>
      <c r="B1586" t="s">
        <v>261</v>
      </c>
    </row>
    <row r="1587" spans="1:2" x14ac:dyDescent="0.25">
      <c r="A1587" t="s">
        <v>328</v>
      </c>
      <c r="B1587" t="s">
        <v>261</v>
      </c>
    </row>
    <row r="1588" spans="1:2" x14ac:dyDescent="0.25">
      <c r="A1588" t="s">
        <v>328</v>
      </c>
      <c r="B1588" t="s">
        <v>261</v>
      </c>
    </row>
    <row r="1589" spans="1:2" x14ac:dyDescent="0.25">
      <c r="A1589" t="s">
        <v>328</v>
      </c>
      <c r="B1589" t="s">
        <v>261</v>
      </c>
    </row>
    <row r="1590" spans="1:2" x14ac:dyDescent="0.25">
      <c r="A1590" t="s">
        <v>328</v>
      </c>
      <c r="B1590" t="s">
        <v>261</v>
      </c>
    </row>
    <row r="1591" spans="1:2" x14ac:dyDescent="0.25">
      <c r="A1591" t="s">
        <v>328</v>
      </c>
      <c r="B1591" t="s">
        <v>261</v>
      </c>
    </row>
    <row r="1592" spans="1:2" x14ac:dyDescent="0.25">
      <c r="A1592" t="s">
        <v>329</v>
      </c>
      <c r="B1592" t="s">
        <v>266</v>
      </c>
    </row>
    <row r="1593" spans="1:2" x14ac:dyDescent="0.25">
      <c r="A1593" t="s">
        <v>329</v>
      </c>
      <c r="B1593" t="s">
        <v>266</v>
      </c>
    </row>
    <row r="1594" spans="1:2" x14ac:dyDescent="0.25">
      <c r="A1594" t="s">
        <v>329</v>
      </c>
      <c r="B1594" t="s">
        <v>266</v>
      </c>
    </row>
    <row r="1595" spans="1:2" x14ac:dyDescent="0.25">
      <c r="A1595" t="s">
        <v>329</v>
      </c>
      <c r="B1595" t="s">
        <v>266</v>
      </c>
    </row>
    <row r="1596" spans="1:2" x14ac:dyDescent="0.25">
      <c r="A1596" t="s">
        <v>329</v>
      </c>
      <c r="B1596" t="s">
        <v>266</v>
      </c>
    </row>
    <row r="1597" spans="1:2" x14ac:dyDescent="0.25">
      <c r="A1597" t="s">
        <v>329</v>
      </c>
      <c r="B1597" t="s">
        <v>266</v>
      </c>
    </row>
    <row r="1598" spans="1:2" x14ac:dyDescent="0.25">
      <c r="A1598" t="s">
        <v>329</v>
      </c>
      <c r="B1598" t="s">
        <v>266</v>
      </c>
    </row>
    <row r="1599" spans="1:2" x14ac:dyDescent="0.25">
      <c r="A1599" t="s">
        <v>329</v>
      </c>
      <c r="B1599" t="s">
        <v>266</v>
      </c>
    </row>
    <row r="1600" spans="1:2" x14ac:dyDescent="0.25">
      <c r="A1600" t="s">
        <v>329</v>
      </c>
      <c r="B1600" t="s">
        <v>266</v>
      </c>
    </row>
    <row r="1601" spans="1:2" x14ac:dyDescent="0.25">
      <c r="A1601" t="s">
        <v>329</v>
      </c>
      <c r="B1601" t="s">
        <v>266</v>
      </c>
    </row>
    <row r="1602" spans="1:2" x14ac:dyDescent="0.25">
      <c r="A1602" t="s">
        <v>329</v>
      </c>
      <c r="B1602" t="s">
        <v>266</v>
      </c>
    </row>
    <row r="1603" spans="1:2" x14ac:dyDescent="0.25">
      <c r="A1603" t="s">
        <v>329</v>
      </c>
      <c r="B1603" t="s">
        <v>266</v>
      </c>
    </row>
    <row r="1604" spans="1:2" x14ac:dyDescent="0.25">
      <c r="A1604" t="s">
        <v>329</v>
      </c>
      <c r="B1604" t="s">
        <v>266</v>
      </c>
    </row>
    <row r="1605" spans="1:2" x14ac:dyDescent="0.25">
      <c r="A1605" t="s">
        <v>329</v>
      </c>
      <c r="B1605" t="s">
        <v>266</v>
      </c>
    </row>
    <row r="1606" spans="1:2" x14ac:dyDescent="0.25">
      <c r="A1606" t="s">
        <v>329</v>
      </c>
      <c r="B1606" t="s">
        <v>266</v>
      </c>
    </row>
    <row r="1607" spans="1:2" x14ac:dyDescent="0.25">
      <c r="A1607" t="s">
        <v>329</v>
      </c>
      <c r="B1607" t="s">
        <v>266</v>
      </c>
    </row>
    <row r="1608" spans="1:2" x14ac:dyDescent="0.25">
      <c r="A1608" t="s">
        <v>329</v>
      </c>
      <c r="B1608" t="s">
        <v>266</v>
      </c>
    </row>
    <row r="1609" spans="1:2" x14ac:dyDescent="0.25">
      <c r="A1609" t="s">
        <v>329</v>
      </c>
      <c r="B1609" t="s">
        <v>266</v>
      </c>
    </row>
    <row r="1610" spans="1:2" x14ac:dyDescent="0.25">
      <c r="A1610" t="s">
        <v>329</v>
      </c>
      <c r="B1610" t="s">
        <v>266</v>
      </c>
    </row>
    <row r="1611" spans="1:2" x14ac:dyDescent="0.25">
      <c r="A1611" t="s">
        <v>329</v>
      </c>
      <c r="B1611" t="s">
        <v>266</v>
      </c>
    </row>
    <row r="1612" spans="1:2" x14ac:dyDescent="0.25">
      <c r="A1612" t="s">
        <v>329</v>
      </c>
      <c r="B1612" t="s">
        <v>266</v>
      </c>
    </row>
    <row r="1613" spans="1:2" x14ac:dyDescent="0.25">
      <c r="A1613" t="s">
        <v>329</v>
      </c>
      <c r="B1613" t="s">
        <v>266</v>
      </c>
    </row>
    <row r="1614" spans="1:2" x14ac:dyDescent="0.25">
      <c r="A1614" t="s">
        <v>329</v>
      </c>
      <c r="B1614" t="s">
        <v>266</v>
      </c>
    </row>
    <row r="1615" spans="1:2" x14ac:dyDescent="0.25">
      <c r="A1615" t="s">
        <v>329</v>
      </c>
      <c r="B1615" t="s">
        <v>266</v>
      </c>
    </row>
    <row r="1616" spans="1:2" x14ac:dyDescent="0.25">
      <c r="A1616" t="s">
        <v>329</v>
      </c>
      <c r="B1616" t="s">
        <v>266</v>
      </c>
    </row>
    <row r="1617" spans="1:2" x14ac:dyDescent="0.25">
      <c r="A1617" t="s">
        <v>329</v>
      </c>
      <c r="B1617" t="s">
        <v>266</v>
      </c>
    </row>
    <row r="1618" spans="1:2" x14ac:dyDescent="0.25">
      <c r="A1618" t="s">
        <v>330</v>
      </c>
      <c r="B1618" t="s">
        <v>264</v>
      </c>
    </row>
    <row r="1619" spans="1:2" x14ac:dyDescent="0.25">
      <c r="A1619" t="s">
        <v>330</v>
      </c>
      <c r="B1619" t="s">
        <v>264</v>
      </c>
    </row>
    <row r="1620" spans="1:2" x14ac:dyDescent="0.25">
      <c r="A1620" t="s">
        <v>330</v>
      </c>
      <c r="B1620" t="s">
        <v>264</v>
      </c>
    </row>
    <row r="1621" spans="1:2" x14ac:dyDescent="0.25">
      <c r="A1621" t="s">
        <v>330</v>
      </c>
      <c r="B1621" t="s">
        <v>264</v>
      </c>
    </row>
    <row r="1622" spans="1:2" x14ac:dyDescent="0.25">
      <c r="A1622" t="s">
        <v>330</v>
      </c>
      <c r="B1622" t="s">
        <v>264</v>
      </c>
    </row>
    <row r="1623" spans="1:2" x14ac:dyDescent="0.25">
      <c r="A1623" t="s">
        <v>330</v>
      </c>
      <c r="B1623" t="s">
        <v>264</v>
      </c>
    </row>
    <row r="1624" spans="1:2" x14ac:dyDescent="0.25">
      <c r="A1624" t="s">
        <v>330</v>
      </c>
      <c r="B1624" t="s">
        <v>264</v>
      </c>
    </row>
    <row r="1625" spans="1:2" x14ac:dyDescent="0.25">
      <c r="A1625" t="s">
        <v>330</v>
      </c>
      <c r="B1625" t="s">
        <v>264</v>
      </c>
    </row>
    <row r="1626" spans="1:2" x14ac:dyDescent="0.25">
      <c r="A1626" t="s">
        <v>330</v>
      </c>
      <c r="B1626" t="s">
        <v>264</v>
      </c>
    </row>
    <row r="1627" spans="1:2" x14ac:dyDescent="0.25">
      <c r="A1627" t="s">
        <v>330</v>
      </c>
      <c r="B1627" t="s">
        <v>264</v>
      </c>
    </row>
    <row r="1628" spans="1:2" x14ac:dyDescent="0.25">
      <c r="A1628" t="s">
        <v>330</v>
      </c>
      <c r="B1628" t="s">
        <v>264</v>
      </c>
    </row>
    <row r="1629" spans="1:2" x14ac:dyDescent="0.25">
      <c r="A1629" t="s">
        <v>330</v>
      </c>
      <c r="B1629" t="s">
        <v>264</v>
      </c>
    </row>
    <row r="1630" spans="1:2" x14ac:dyDescent="0.25">
      <c r="A1630" t="s">
        <v>330</v>
      </c>
      <c r="B1630" t="s">
        <v>264</v>
      </c>
    </row>
    <row r="1631" spans="1:2" x14ac:dyDescent="0.25">
      <c r="A1631" t="s">
        <v>330</v>
      </c>
      <c r="B1631" t="s">
        <v>264</v>
      </c>
    </row>
    <row r="1632" spans="1:2" x14ac:dyDescent="0.25">
      <c r="A1632" t="s">
        <v>330</v>
      </c>
      <c r="B1632" t="s">
        <v>264</v>
      </c>
    </row>
    <row r="1633" spans="1:2" x14ac:dyDescent="0.25">
      <c r="A1633" t="s">
        <v>330</v>
      </c>
      <c r="B1633" t="s">
        <v>264</v>
      </c>
    </row>
    <row r="1634" spans="1:2" x14ac:dyDescent="0.25">
      <c r="A1634" t="s">
        <v>330</v>
      </c>
      <c r="B1634" t="s">
        <v>264</v>
      </c>
    </row>
    <row r="1635" spans="1:2" x14ac:dyDescent="0.25">
      <c r="A1635" t="s">
        <v>330</v>
      </c>
      <c r="B1635" t="s">
        <v>264</v>
      </c>
    </row>
    <row r="1636" spans="1:2" x14ac:dyDescent="0.25">
      <c r="A1636" t="s">
        <v>330</v>
      </c>
      <c r="B1636" t="s">
        <v>264</v>
      </c>
    </row>
    <row r="1637" spans="1:2" x14ac:dyDescent="0.25">
      <c r="A1637" t="s">
        <v>330</v>
      </c>
      <c r="B1637" t="s">
        <v>264</v>
      </c>
    </row>
    <row r="1638" spans="1:2" x14ac:dyDescent="0.25">
      <c r="A1638" t="s">
        <v>330</v>
      </c>
      <c r="B1638" t="s">
        <v>264</v>
      </c>
    </row>
    <row r="1639" spans="1:2" x14ac:dyDescent="0.25">
      <c r="A1639" t="s">
        <v>330</v>
      </c>
      <c r="B1639" t="s">
        <v>264</v>
      </c>
    </row>
    <row r="1640" spans="1:2" x14ac:dyDescent="0.25">
      <c r="A1640" t="s">
        <v>330</v>
      </c>
      <c r="B1640" t="s">
        <v>264</v>
      </c>
    </row>
    <row r="1641" spans="1:2" x14ac:dyDescent="0.25">
      <c r="A1641" t="s">
        <v>330</v>
      </c>
      <c r="B1641" t="s">
        <v>264</v>
      </c>
    </row>
    <row r="1642" spans="1:2" x14ac:dyDescent="0.25">
      <c r="A1642" t="s">
        <v>330</v>
      </c>
      <c r="B1642" t="s">
        <v>264</v>
      </c>
    </row>
    <row r="1643" spans="1:2" x14ac:dyDescent="0.25">
      <c r="A1643" t="s">
        <v>331</v>
      </c>
      <c r="B1643" t="s">
        <v>263</v>
      </c>
    </row>
    <row r="1644" spans="1:2" x14ac:dyDescent="0.25">
      <c r="A1644" t="s">
        <v>331</v>
      </c>
      <c r="B1644" t="s">
        <v>263</v>
      </c>
    </row>
    <row r="1645" spans="1:2" x14ac:dyDescent="0.25">
      <c r="A1645" t="s">
        <v>331</v>
      </c>
      <c r="B1645" t="s">
        <v>263</v>
      </c>
    </row>
    <row r="1646" spans="1:2" x14ac:dyDescent="0.25">
      <c r="A1646" t="s">
        <v>331</v>
      </c>
      <c r="B1646" t="s">
        <v>263</v>
      </c>
    </row>
    <row r="1647" spans="1:2" x14ac:dyDescent="0.25">
      <c r="A1647" t="s">
        <v>331</v>
      </c>
      <c r="B1647" t="s">
        <v>263</v>
      </c>
    </row>
    <row r="1648" spans="1:2" x14ac:dyDescent="0.25">
      <c r="A1648" t="s">
        <v>331</v>
      </c>
      <c r="B1648" t="s">
        <v>263</v>
      </c>
    </row>
    <row r="1649" spans="1:2" x14ac:dyDescent="0.25">
      <c r="A1649" t="s">
        <v>331</v>
      </c>
      <c r="B1649" t="s">
        <v>263</v>
      </c>
    </row>
    <row r="1650" spans="1:2" x14ac:dyDescent="0.25">
      <c r="A1650" t="s">
        <v>331</v>
      </c>
      <c r="B1650" t="s">
        <v>263</v>
      </c>
    </row>
    <row r="1651" spans="1:2" x14ac:dyDescent="0.25">
      <c r="A1651" t="s">
        <v>331</v>
      </c>
      <c r="B1651" t="s">
        <v>263</v>
      </c>
    </row>
    <row r="1652" spans="1:2" x14ac:dyDescent="0.25">
      <c r="A1652" t="s">
        <v>331</v>
      </c>
      <c r="B1652" t="s">
        <v>263</v>
      </c>
    </row>
    <row r="1653" spans="1:2" x14ac:dyDescent="0.25">
      <c r="A1653" t="s">
        <v>331</v>
      </c>
      <c r="B1653" t="s">
        <v>263</v>
      </c>
    </row>
    <row r="1654" spans="1:2" x14ac:dyDescent="0.25">
      <c r="A1654" t="s">
        <v>331</v>
      </c>
      <c r="B1654" t="s">
        <v>263</v>
      </c>
    </row>
    <row r="1655" spans="1:2" x14ac:dyDescent="0.25">
      <c r="A1655" t="s">
        <v>331</v>
      </c>
      <c r="B1655" t="s">
        <v>263</v>
      </c>
    </row>
    <row r="1656" spans="1:2" x14ac:dyDescent="0.25">
      <c r="A1656" t="s">
        <v>331</v>
      </c>
      <c r="B1656" t="s">
        <v>263</v>
      </c>
    </row>
    <row r="1657" spans="1:2" x14ac:dyDescent="0.25">
      <c r="A1657" t="s">
        <v>331</v>
      </c>
      <c r="B1657" t="s">
        <v>263</v>
      </c>
    </row>
    <row r="1658" spans="1:2" x14ac:dyDescent="0.25">
      <c r="A1658" t="s">
        <v>331</v>
      </c>
      <c r="B1658" t="s">
        <v>263</v>
      </c>
    </row>
    <row r="1659" spans="1:2" x14ac:dyDescent="0.25">
      <c r="A1659" t="s">
        <v>331</v>
      </c>
      <c r="B1659" t="s">
        <v>263</v>
      </c>
    </row>
    <row r="1660" spans="1:2" x14ac:dyDescent="0.25">
      <c r="A1660" t="s">
        <v>331</v>
      </c>
      <c r="B1660" t="s">
        <v>263</v>
      </c>
    </row>
    <row r="1661" spans="1:2" x14ac:dyDescent="0.25">
      <c r="A1661" t="s">
        <v>331</v>
      </c>
      <c r="B1661" t="s">
        <v>263</v>
      </c>
    </row>
    <row r="1662" spans="1:2" x14ac:dyDescent="0.25">
      <c r="A1662" t="s">
        <v>331</v>
      </c>
      <c r="B1662" t="s">
        <v>263</v>
      </c>
    </row>
    <row r="1663" spans="1:2" x14ac:dyDescent="0.25">
      <c r="A1663" t="s">
        <v>331</v>
      </c>
      <c r="B1663" t="s">
        <v>263</v>
      </c>
    </row>
    <row r="1664" spans="1:2" x14ac:dyDescent="0.25">
      <c r="A1664" t="s">
        <v>331</v>
      </c>
      <c r="B1664" t="s">
        <v>263</v>
      </c>
    </row>
    <row r="1665" spans="1:2" x14ac:dyDescent="0.25">
      <c r="A1665" t="s">
        <v>331</v>
      </c>
      <c r="B1665" t="s">
        <v>263</v>
      </c>
    </row>
    <row r="1666" spans="1:2" x14ac:dyDescent="0.25">
      <c r="A1666" t="s">
        <v>331</v>
      </c>
      <c r="B1666" t="s">
        <v>263</v>
      </c>
    </row>
    <row r="1667" spans="1:2" x14ac:dyDescent="0.25">
      <c r="A1667" t="s">
        <v>331</v>
      </c>
      <c r="B1667" t="s">
        <v>263</v>
      </c>
    </row>
    <row r="1668" spans="1:2" x14ac:dyDescent="0.25">
      <c r="A1668" t="s">
        <v>331</v>
      </c>
      <c r="B1668" t="s">
        <v>263</v>
      </c>
    </row>
    <row r="1669" spans="1:2" x14ac:dyDescent="0.25">
      <c r="A1669" t="s">
        <v>331</v>
      </c>
      <c r="B1669" t="s">
        <v>263</v>
      </c>
    </row>
    <row r="1670" spans="1:2" x14ac:dyDescent="0.25">
      <c r="A1670" t="s">
        <v>332</v>
      </c>
      <c r="B1670" t="s">
        <v>261</v>
      </c>
    </row>
    <row r="1671" spans="1:2" x14ac:dyDescent="0.25">
      <c r="A1671" t="s">
        <v>332</v>
      </c>
      <c r="B1671" t="s">
        <v>261</v>
      </c>
    </row>
    <row r="1672" spans="1:2" x14ac:dyDescent="0.25">
      <c r="A1672" t="s">
        <v>332</v>
      </c>
      <c r="B1672" t="s">
        <v>261</v>
      </c>
    </row>
    <row r="1673" spans="1:2" x14ac:dyDescent="0.25">
      <c r="A1673" t="s">
        <v>332</v>
      </c>
      <c r="B1673" t="s">
        <v>261</v>
      </c>
    </row>
    <row r="1674" spans="1:2" x14ac:dyDescent="0.25">
      <c r="A1674" t="s">
        <v>332</v>
      </c>
      <c r="B1674" t="s">
        <v>261</v>
      </c>
    </row>
    <row r="1675" spans="1:2" x14ac:dyDescent="0.25">
      <c r="A1675" t="s">
        <v>332</v>
      </c>
      <c r="B1675" t="s">
        <v>261</v>
      </c>
    </row>
    <row r="1676" spans="1:2" x14ac:dyDescent="0.25">
      <c r="A1676" t="s">
        <v>332</v>
      </c>
      <c r="B1676" t="s">
        <v>261</v>
      </c>
    </row>
    <row r="1677" spans="1:2" x14ac:dyDescent="0.25">
      <c r="A1677" t="s">
        <v>332</v>
      </c>
      <c r="B1677" t="s">
        <v>261</v>
      </c>
    </row>
    <row r="1678" spans="1:2" x14ac:dyDescent="0.25">
      <c r="A1678" t="s">
        <v>332</v>
      </c>
      <c r="B1678" t="s">
        <v>261</v>
      </c>
    </row>
    <row r="1679" spans="1:2" x14ac:dyDescent="0.25">
      <c r="A1679" t="s">
        <v>332</v>
      </c>
      <c r="B1679" t="s">
        <v>261</v>
      </c>
    </row>
    <row r="1680" spans="1:2" x14ac:dyDescent="0.25">
      <c r="A1680" t="s">
        <v>332</v>
      </c>
      <c r="B1680" t="s">
        <v>261</v>
      </c>
    </row>
    <row r="1681" spans="1:2" x14ac:dyDescent="0.25">
      <c r="A1681" t="s">
        <v>332</v>
      </c>
      <c r="B1681" t="s">
        <v>261</v>
      </c>
    </row>
    <row r="1682" spans="1:2" x14ac:dyDescent="0.25">
      <c r="A1682" t="s">
        <v>332</v>
      </c>
      <c r="B1682" t="s">
        <v>261</v>
      </c>
    </row>
    <row r="1683" spans="1:2" x14ac:dyDescent="0.25">
      <c r="A1683" t="s">
        <v>332</v>
      </c>
      <c r="B1683" t="s">
        <v>261</v>
      </c>
    </row>
    <row r="1684" spans="1:2" x14ac:dyDescent="0.25">
      <c r="A1684" t="s">
        <v>332</v>
      </c>
      <c r="B1684" t="s">
        <v>261</v>
      </c>
    </row>
    <row r="1685" spans="1:2" x14ac:dyDescent="0.25">
      <c r="A1685" t="s">
        <v>332</v>
      </c>
      <c r="B1685" t="s">
        <v>261</v>
      </c>
    </row>
    <row r="1686" spans="1:2" x14ac:dyDescent="0.25">
      <c r="A1686" t="s">
        <v>332</v>
      </c>
      <c r="B1686" t="s">
        <v>261</v>
      </c>
    </row>
    <row r="1687" spans="1:2" x14ac:dyDescent="0.25">
      <c r="A1687" t="s">
        <v>332</v>
      </c>
      <c r="B1687" t="s">
        <v>261</v>
      </c>
    </row>
    <row r="1688" spans="1:2" x14ac:dyDescent="0.25">
      <c r="A1688" t="s">
        <v>332</v>
      </c>
      <c r="B1688" t="s">
        <v>261</v>
      </c>
    </row>
    <row r="1689" spans="1:2" x14ac:dyDescent="0.25">
      <c r="A1689" t="s">
        <v>332</v>
      </c>
      <c r="B1689" t="s">
        <v>261</v>
      </c>
    </row>
    <row r="1690" spans="1:2" x14ac:dyDescent="0.25">
      <c r="A1690" t="s">
        <v>332</v>
      </c>
      <c r="B1690" t="s">
        <v>261</v>
      </c>
    </row>
    <row r="1691" spans="1:2" x14ac:dyDescent="0.25">
      <c r="A1691" t="s">
        <v>332</v>
      </c>
      <c r="B1691" t="s">
        <v>261</v>
      </c>
    </row>
    <row r="1692" spans="1:2" x14ac:dyDescent="0.25">
      <c r="A1692" t="s">
        <v>332</v>
      </c>
      <c r="B1692" t="s">
        <v>261</v>
      </c>
    </row>
    <row r="1693" spans="1:2" x14ac:dyDescent="0.25">
      <c r="A1693" t="s">
        <v>332</v>
      </c>
      <c r="B1693" t="s">
        <v>261</v>
      </c>
    </row>
    <row r="1694" spans="1:2" x14ac:dyDescent="0.25">
      <c r="A1694" t="s">
        <v>332</v>
      </c>
      <c r="B1694" t="s">
        <v>261</v>
      </c>
    </row>
    <row r="1695" spans="1:2" x14ac:dyDescent="0.25">
      <c r="A1695" t="s">
        <v>333</v>
      </c>
      <c r="B1695" t="s">
        <v>262</v>
      </c>
    </row>
    <row r="1696" spans="1:2" x14ac:dyDescent="0.25">
      <c r="A1696" t="s">
        <v>333</v>
      </c>
      <c r="B1696" t="s">
        <v>262</v>
      </c>
    </row>
    <row r="1697" spans="1:2" x14ac:dyDescent="0.25">
      <c r="A1697" t="s">
        <v>333</v>
      </c>
      <c r="B1697" t="s">
        <v>262</v>
      </c>
    </row>
    <row r="1698" spans="1:2" x14ac:dyDescent="0.25">
      <c r="A1698" t="s">
        <v>333</v>
      </c>
      <c r="B1698" t="s">
        <v>262</v>
      </c>
    </row>
    <row r="1699" spans="1:2" x14ac:dyDescent="0.25">
      <c r="A1699" t="s">
        <v>333</v>
      </c>
      <c r="B1699" t="s">
        <v>262</v>
      </c>
    </row>
    <row r="1700" spans="1:2" x14ac:dyDescent="0.25">
      <c r="A1700" t="s">
        <v>333</v>
      </c>
      <c r="B1700" t="s">
        <v>262</v>
      </c>
    </row>
    <row r="1701" spans="1:2" x14ac:dyDescent="0.25">
      <c r="A1701" t="s">
        <v>333</v>
      </c>
      <c r="B1701" t="s">
        <v>262</v>
      </c>
    </row>
    <row r="1702" spans="1:2" x14ac:dyDescent="0.25">
      <c r="A1702" t="s">
        <v>333</v>
      </c>
      <c r="B1702" t="s">
        <v>262</v>
      </c>
    </row>
    <row r="1703" spans="1:2" x14ac:dyDescent="0.25">
      <c r="A1703" t="s">
        <v>333</v>
      </c>
      <c r="B1703" t="s">
        <v>262</v>
      </c>
    </row>
    <row r="1704" spans="1:2" x14ac:dyDescent="0.25">
      <c r="A1704" t="s">
        <v>333</v>
      </c>
      <c r="B1704" t="s">
        <v>262</v>
      </c>
    </row>
    <row r="1705" spans="1:2" x14ac:dyDescent="0.25">
      <c r="A1705" t="s">
        <v>333</v>
      </c>
      <c r="B1705" t="s">
        <v>262</v>
      </c>
    </row>
    <row r="1706" spans="1:2" x14ac:dyDescent="0.25">
      <c r="A1706" t="s">
        <v>333</v>
      </c>
      <c r="B1706" t="s">
        <v>262</v>
      </c>
    </row>
    <row r="1707" spans="1:2" x14ac:dyDescent="0.25">
      <c r="A1707" t="s">
        <v>333</v>
      </c>
      <c r="B1707" t="s">
        <v>262</v>
      </c>
    </row>
    <row r="1708" spans="1:2" x14ac:dyDescent="0.25">
      <c r="A1708" t="s">
        <v>333</v>
      </c>
      <c r="B1708" t="s">
        <v>262</v>
      </c>
    </row>
    <row r="1709" spans="1:2" x14ac:dyDescent="0.25">
      <c r="A1709" t="s">
        <v>333</v>
      </c>
      <c r="B1709" t="s">
        <v>262</v>
      </c>
    </row>
    <row r="1710" spans="1:2" x14ac:dyDescent="0.25">
      <c r="A1710" t="s">
        <v>333</v>
      </c>
      <c r="B1710" t="s">
        <v>262</v>
      </c>
    </row>
    <row r="1711" spans="1:2" x14ac:dyDescent="0.25">
      <c r="A1711" t="s">
        <v>333</v>
      </c>
      <c r="B1711" t="s">
        <v>262</v>
      </c>
    </row>
    <row r="1712" spans="1:2" x14ac:dyDescent="0.25">
      <c r="A1712" t="s">
        <v>333</v>
      </c>
      <c r="B1712" t="s">
        <v>262</v>
      </c>
    </row>
    <row r="1713" spans="1:2" x14ac:dyDescent="0.25">
      <c r="A1713" t="s">
        <v>333</v>
      </c>
      <c r="B1713" t="s">
        <v>262</v>
      </c>
    </row>
    <row r="1714" spans="1:2" x14ac:dyDescent="0.25">
      <c r="A1714" t="s">
        <v>333</v>
      </c>
      <c r="B1714" t="s">
        <v>262</v>
      </c>
    </row>
    <row r="1715" spans="1:2" x14ac:dyDescent="0.25">
      <c r="A1715" t="s">
        <v>333</v>
      </c>
      <c r="B1715" t="s">
        <v>262</v>
      </c>
    </row>
    <row r="1716" spans="1:2" x14ac:dyDescent="0.25">
      <c r="A1716" t="s">
        <v>333</v>
      </c>
      <c r="B1716" t="s">
        <v>262</v>
      </c>
    </row>
    <row r="1717" spans="1:2" x14ac:dyDescent="0.25">
      <c r="A1717" t="s">
        <v>333</v>
      </c>
      <c r="B1717" t="s">
        <v>262</v>
      </c>
    </row>
    <row r="1718" spans="1:2" x14ac:dyDescent="0.25">
      <c r="A1718" t="s">
        <v>334</v>
      </c>
      <c r="B1718" t="s">
        <v>262</v>
      </c>
    </row>
    <row r="1719" spans="1:2" x14ac:dyDescent="0.25">
      <c r="A1719" t="s">
        <v>334</v>
      </c>
      <c r="B1719" t="s">
        <v>262</v>
      </c>
    </row>
    <row r="1720" spans="1:2" x14ac:dyDescent="0.25">
      <c r="A1720" t="s">
        <v>334</v>
      </c>
      <c r="B1720" t="s">
        <v>262</v>
      </c>
    </row>
    <row r="1721" spans="1:2" x14ac:dyDescent="0.25">
      <c r="A1721" t="s">
        <v>334</v>
      </c>
      <c r="B1721" t="s">
        <v>262</v>
      </c>
    </row>
    <row r="1722" spans="1:2" x14ac:dyDescent="0.25">
      <c r="A1722" t="s">
        <v>334</v>
      </c>
      <c r="B1722" t="s">
        <v>262</v>
      </c>
    </row>
    <row r="1723" spans="1:2" x14ac:dyDescent="0.25">
      <c r="A1723" t="s">
        <v>334</v>
      </c>
      <c r="B1723" t="s">
        <v>262</v>
      </c>
    </row>
    <row r="1724" spans="1:2" x14ac:dyDescent="0.25">
      <c r="A1724" t="s">
        <v>334</v>
      </c>
      <c r="B1724" t="s">
        <v>262</v>
      </c>
    </row>
    <row r="1725" spans="1:2" x14ac:dyDescent="0.25">
      <c r="A1725" t="s">
        <v>334</v>
      </c>
      <c r="B1725" t="s">
        <v>262</v>
      </c>
    </row>
    <row r="1726" spans="1:2" x14ac:dyDescent="0.25">
      <c r="A1726" t="s">
        <v>334</v>
      </c>
      <c r="B1726" t="s">
        <v>262</v>
      </c>
    </row>
    <row r="1727" spans="1:2" x14ac:dyDescent="0.25">
      <c r="A1727" t="s">
        <v>334</v>
      </c>
      <c r="B1727" t="s">
        <v>262</v>
      </c>
    </row>
    <row r="1728" spans="1:2" x14ac:dyDescent="0.25">
      <c r="A1728" t="s">
        <v>334</v>
      </c>
      <c r="B1728" t="s">
        <v>262</v>
      </c>
    </row>
    <row r="1729" spans="1:2" x14ac:dyDescent="0.25">
      <c r="A1729" t="s">
        <v>334</v>
      </c>
      <c r="B1729" t="s">
        <v>262</v>
      </c>
    </row>
    <row r="1730" spans="1:2" x14ac:dyDescent="0.25">
      <c r="A1730" t="s">
        <v>334</v>
      </c>
      <c r="B1730" t="s">
        <v>262</v>
      </c>
    </row>
    <row r="1731" spans="1:2" x14ac:dyDescent="0.25">
      <c r="A1731" t="s">
        <v>334</v>
      </c>
      <c r="B1731" t="s">
        <v>262</v>
      </c>
    </row>
    <row r="1732" spans="1:2" x14ac:dyDescent="0.25">
      <c r="A1732" t="s">
        <v>334</v>
      </c>
      <c r="B1732" t="s">
        <v>262</v>
      </c>
    </row>
    <row r="1733" spans="1:2" x14ac:dyDescent="0.25">
      <c r="A1733" t="s">
        <v>334</v>
      </c>
      <c r="B1733" t="s">
        <v>262</v>
      </c>
    </row>
    <row r="1734" spans="1:2" x14ac:dyDescent="0.25">
      <c r="A1734" t="s">
        <v>334</v>
      </c>
      <c r="B1734" t="s">
        <v>262</v>
      </c>
    </row>
    <row r="1735" spans="1:2" x14ac:dyDescent="0.25">
      <c r="A1735" t="s">
        <v>334</v>
      </c>
      <c r="B1735" t="s">
        <v>262</v>
      </c>
    </row>
    <row r="1736" spans="1:2" x14ac:dyDescent="0.25">
      <c r="A1736" t="s">
        <v>334</v>
      </c>
      <c r="B1736" t="s">
        <v>262</v>
      </c>
    </row>
    <row r="1737" spans="1:2" x14ac:dyDescent="0.25">
      <c r="A1737" t="s">
        <v>334</v>
      </c>
      <c r="B1737" t="s">
        <v>262</v>
      </c>
    </row>
    <row r="1738" spans="1:2" x14ac:dyDescent="0.25">
      <c r="A1738" t="s">
        <v>334</v>
      </c>
      <c r="B1738" t="s">
        <v>262</v>
      </c>
    </row>
    <row r="1739" spans="1:2" x14ac:dyDescent="0.25">
      <c r="A1739" t="s">
        <v>334</v>
      </c>
      <c r="B1739" t="s">
        <v>262</v>
      </c>
    </row>
    <row r="1740" spans="1:2" x14ac:dyDescent="0.25">
      <c r="A1740" t="s">
        <v>334</v>
      </c>
      <c r="B1740" t="s">
        <v>262</v>
      </c>
    </row>
    <row r="1741" spans="1:2" x14ac:dyDescent="0.25">
      <c r="A1741" t="s">
        <v>334</v>
      </c>
      <c r="B1741" t="s">
        <v>262</v>
      </c>
    </row>
    <row r="1742" spans="1:2" x14ac:dyDescent="0.25">
      <c r="A1742" t="s">
        <v>334</v>
      </c>
      <c r="B1742" t="s">
        <v>262</v>
      </c>
    </row>
    <row r="1743" spans="1:2" x14ac:dyDescent="0.25">
      <c r="A1743" t="s">
        <v>334</v>
      </c>
      <c r="B1743" t="s">
        <v>262</v>
      </c>
    </row>
    <row r="1744" spans="1:2" x14ac:dyDescent="0.25">
      <c r="A1744" t="s">
        <v>334</v>
      </c>
      <c r="B1744" t="s">
        <v>262</v>
      </c>
    </row>
    <row r="1745" spans="1:2" x14ac:dyDescent="0.25">
      <c r="A1745" t="s">
        <v>334</v>
      </c>
      <c r="B1745" t="s">
        <v>262</v>
      </c>
    </row>
    <row r="1746" spans="1:2" x14ac:dyDescent="0.25">
      <c r="A1746" t="s">
        <v>335</v>
      </c>
      <c r="B1746" t="s">
        <v>265</v>
      </c>
    </row>
    <row r="1747" spans="1:2" x14ac:dyDescent="0.25">
      <c r="A1747" t="s">
        <v>335</v>
      </c>
      <c r="B1747" t="s">
        <v>265</v>
      </c>
    </row>
    <row r="1748" spans="1:2" x14ac:dyDescent="0.25">
      <c r="A1748" t="s">
        <v>335</v>
      </c>
      <c r="B1748" t="s">
        <v>265</v>
      </c>
    </row>
    <row r="1749" spans="1:2" x14ac:dyDescent="0.25">
      <c r="A1749" t="s">
        <v>335</v>
      </c>
      <c r="B1749" t="s">
        <v>265</v>
      </c>
    </row>
    <row r="1750" spans="1:2" x14ac:dyDescent="0.25">
      <c r="A1750" t="s">
        <v>335</v>
      </c>
      <c r="B1750" t="s">
        <v>265</v>
      </c>
    </row>
    <row r="1751" spans="1:2" x14ac:dyDescent="0.25">
      <c r="A1751" t="s">
        <v>335</v>
      </c>
      <c r="B1751" t="s">
        <v>265</v>
      </c>
    </row>
    <row r="1752" spans="1:2" x14ac:dyDescent="0.25">
      <c r="A1752" t="s">
        <v>335</v>
      </c>
      <c r="B1752" t="s">
        <v>265</v>
      </c>
    </row>
    <row r="1753" spans="1:2" x14ac:dyDescent="0.25">
      <c r="A1753" t="s">
        <v>335</v>
      </c>
      <c r="B1753" t="s">
        <v>265</v>
      </c>
    </row>
    <row r="1754" spans="1:2" x14ac:dyDescent="0.25">
      <c r="A1754" t="s">
        <v>335</v>
      </c>
      <c r="B1754" t="s">
        <v>265</v>
      </c>
    </row>
    <row r="1755" spans="1:2" x14ac:dyDescent="0.25">
      <c r="A1755" t="s">
        <v>335</v>
      </c>
      <c r="B1755" t="s">
        <v>265</v>
      </c>
    </row>
    <row r="1756" spans="1:2" x14ac:dyDescent="0.25">
      <c r="A1756" t="s">
        <v>335</v>
      </c>
      <c r="B1756" t="s">
        <v>265</v>
      </c>
    </row>
    <row r="1757" spans="1:2" x14ac:dyDescent="0.25">
      <c r="A1757" t="s">
        <v>335</v>
      </c>
      <c r="B1757" t="s">
        <v>265</v>
      </c>
    </row>
    <row r="1758" spans="1:2" x14ac:dyDescent="0.25">
      <c r="A1758" t="s">
        <v>335</v>
      </c>
      <c r="B1758" t="s">
        <v>265</v>
      </c>
    </row>
    <row r="1759" spans="1:2" x14ac:dyDescent="0.25">
      <c r="A1759" t="s">
        <v>335</v>
      </c>
      <c r="B1759" t="s">
        <v>265</v>
      </c>
    </row>
    <row r="1760" spans="1:2" x14ac:dyDescent="0.25">
      <c r="A1760" t="s">
        <v>335</v>
      </c>
      <c r="B1760" t="s">
        <v>265</v>
      </c>
    </row>
    <row r="1761" spans="1:2" x14ac:dyDescent="0.25">
      <c r="A1761" t="s">
        <v>335</v>
      </c>
      <c r="B1761" t="s">
        <v>265</v>
      </c>
    </row>
    <row r="1762" spans="1:2" x14ac:dyDescent="0.25">
      <c r="A1762" t="s">
        <v>335</v>
      </c>
      <c r="B1762" t="s">
        <v>265</v>
      </c>
    </row>
    <row r="1763" spans="1:2" x14ac:dyDescent="0.25">
      <c r="A1763" t="s">
        <v>335</v>
      </c>
      <c r="B1763" t="s">
        <v>265</v>
      </c>
    </row>
    <row r="1764" spans="1:2" x14ac:dyDescent="0.25">
      <c r="A1764" t="s">
        <v>335</v>
      </c>
      <c r="B1764" t="s">
        <v>265</v>
      </c>
    </row>
    <row r="1765" spans="1:2" x14ac:dyDescent="0.25">
      <c r="A1765" t="s">
        <v>335</v>
      </c>
      <c r="B1765" t="s">
        <v>265</v>
      </c>
    </row>
    <row r="1766" spans="1:2" x14ac:dyDescent="0.25">
      <c r="A1766" t="s">
        <v>335</v>
      </c>
      <c r="B1766" t="s">
        <v>265</v>
      </c>
    </row>
    <row r="1767" spans="1:2" x14ac:dyDescent="0.25">
      <c r="A1767" t="s">
        <v>335</v>
      </c>
      <c r="B1767" t="s">
        <v>265</v>
      </c>
    </row>
    <row r="1768" spans="1:2" x14ac:dyDescent="0.25">
      <c r="A1768" t="s">
        <v>335</v>
      </c>
      <c r="B1768" t="s">
        <v>265</v>
      </c>
    </row>
    <row r="1769" spans="1:2" x14ac:dyDescent="0.25">
      <c r="A1769" t="s">
        <v>335</v>
      </c>
      <c r="B1769" t="s">
        <v>265</v>
      </c>
    </row>
    <row r="1770" spans="1:2" x14ac:dyDescent="0.25">
      <c r="A1770" t="s">
        <v>335</v>
      </c>
      <c r="B1770" t="s">
        <v>265</v>
      </c>
    </row>
    <row r="1771" spans="1:2" x14ac:dyDescent="0.25">
      <c r="A1771" t="s">
        <v>335</v>
      </c>
      <c r="B1771" t="s">
        <v>265</v>
      </c>
    </row>
    <row r="1772" spans="1:2" x14ac:dyDescent="0.25">
      <c r="A1772" t="s">
        <v>336</v>
      </c>
      <c r="B1772" t="s">
        <v>262</v>
      </c>
    </row>
    <row r="1773" spans="1:2" x14ac:dyDescent="0.25">
      <c r="A1773" t="s">
        <v>336</v>
      </c>
      <c r="B1773" t="s">
        <v>262</v>
      </c>
    </row>
    <row r="1774" spans="1:2" x14ac:dyDescent="0.25">
      <c r="A1774" t="s">
        <v>336</v>
      </c>
      <c r="B1774" t="s">
        <v>262</v>
      </c>
    </row>
    <row r="1775" spans="1:2" x14ac:dyDescent="0.25">
      <c r="A1775" t="s">
        <v>336</v>
      </c>
      <c r="B1775" t="s">
        <v>262</v>
      </c>
    </row>
    <row r="1776" spans="1:2" x14ac:dyDescent="0.25">
      <c r="A1776" t="s">
        <v>336</v>
      </c>
      <c r="B1776" t="s">
        <v>262</v>
      </c>
    </row>
    <row r="1777" spans="1:2" x14ac:dyDescent="0.25">
      <c r="A1777" t="s">
        <v>336</v>
      </c>
      <c r="B1777" t="s">
        <v>262</v>
      </c>
    </row>
    <row r="1778" spans="1:2" x14ac:dyDescent="0.25">
      <c r="A1778" t="s">
        <v>336</v>
      </c>
      <c r="B1778" t="s">
        <v>262</v>
      </c>
    </row>
    <row r="1779" spans="1:2" x14ac:dyDescent="0.25">
      <c r="A1779" t="s">
        <v>336</v>
      </c>
      <c r="B1779" t="s">
        <v>262</v>
      </c>
    </row>
    <row r="1780" spans="1:2" x14ac:dyDescent="0.25">
      <c r="A1780" t="s">
        <v>336</v>
      </c>
      <c r="B1780" t="s">
        <v>262</v>
      </c>
    </row>
    <row r="1781" spans="1:2" x14ac:dyDescent="0.25">
      <c r="A1781" t="s">
        <v>336</v>
      </c>
      <c r="B1781" t="s">
        <v>262</v>
      </c>
    </row>
    <row r="1782" spans="1:2" x14ac:dyDescent="0.25">
      <c r="A1782" t="s">
        <v>336</v>
      </c>
      <c r="B1782" t="s">
        <v>262</v>
      </c>
    </row>
    <row r="1783" spans="1:2" x14ac:dyDescent="0.25">
      <c r="A1783" t="s">
        <v>336</v>
      </c>
      <c r="B1783" t="s">
        <v>262</v>
      </c>
    </row>
    <row r="1784" spans="1:2" x14ac:dyDescent="0.25">
      <c r="A1784" t="s">
        <v>336</v>
      </c>
      <c r="B1784" t="s">
        <v>262</v>
      </c>
    </row>
    <row r="1785" spans="1:2" x14ac:dyDescent="0.25">
      <c r="A1785" t="s">
        <v>336</v>
      </c>
      <c r="B1785" t="s">
        <v>262</v>
      </c>
    </row>
    <row r="1786" spans="1:2" x14ac:dyDescent="0.25">
      <c r="A1786" t="s">
        <v>336</v>
      </c>
      <c r="B1786" t="s">
        <v>262</v>
      </c>
    </row>
    <row r="1787" spans="1:2" x14ac:dyDescent="0.25">
      <c r="A1787" t="s">
        <v>336</v>
      </c>
      <c r="B1787" t="s">
        <v>262</v>
      </c>
    </row>
    <row r="1788" spans="1:2" x14ac:dyDescent="0.25">
      <c r="A1788" t="s">
        <v>336</v>
      </c>
      <c r="B1788" t="s">
        <v>262</v>
      </c>
    </row>
    <row r="1789" spans="1:2" x14ac:dyDescent="0.25">
      <c r="A1789" t="s">
        <v>336</v>
      </c>
      <c r="B1789" t="s">
        <v>262</v>
      </c>
    </row>
    <row r="1790" spans="1:2" x14ac:dyDescent="0.25">
      <c r="A1790" t="s">
        <v>336</v>
      </c>
      <c r="B1790" t="s">
        <v>262</v>
      </c>
    </row>
    <row r="1791" spans="1:2" x14ac:dyDescent="0.25">
      <c r="A1791" t="s">
        <v>336</v>
      </c>
      <c r="B1791" t="s">
        <v>262</v>
      </c>
    </row>
    <row r="1792" spans="1:2" x14ac:dyDescent="0.25">
      <c r="A1792" t="s">
        <v>336</v>
      </c>
      <c r="B1792" t="s">
        <v>262</v>
      </c>
    </row>
    <row r="1793" spans="1:2" x14ac:dyDescent="0.25">
      <c r="A1793" t="s">
        <v>336</v>
      </c>
      <c r="B1793" t="s">
        <v>262</v>
      </c>
    </row>
    <row r="1794" spans="1:2" x14ac:dyDescent="0.25">
      <c r="A1794" t="s">
        <v>337</v>
      </c>
      <c r="B1794" t="s">
        <v>262</v>
      </c>
    </row>
    <row r="1795" spans="1:2" x14ac:dyDescent="0.25">
      <c r="A1795" t="s">
        <v>337</v>
      </c>
      <c r="B1795" t="s">
        <v>262</v>
      </c>
    </row>
    <row r="1796" spans="1:2" x14ac:dyDescent="0.25">
      <c r="A1796" t="s">
        <v>337</v>
      </c>
      <c r="B1796" t="s">
        <v>262</v>
      </c>
    </row>
    <row r="1797" spans="1:2" x14ac:dyDescent="0.25">
      <c r="A1797" t="s">
        <v>337</v>
      </c>
      <c r="B1797" t="s">
        <v>262</v>
      </c>
    </row>
    <row r="1798" spans="1:2" x14ac:dyDescent="0.25">
      <c r="A1798" t="s">
        <v>337</v>
      </c>
      <c r="B1798" t="s">
        <v>262</v>
      </c>
    </row>
    <row r="1799" spans="1:2" x14ac:dyDescent="0.25">
      <c r="A1799" t="s">
        <v>337</v>
      </c>
      <c r="B1799" t="s">
        <v>262</v>
      </c>
    </row>
    <row r="1800" spans="1:2" x14ac:dyDescent="0.25">
      <c r="A1800" t="s">
        <v>337</v>
      </c>
      <c r="B1800" t="s">
        <v>262</v>
      </c>
    </row>
    <row r="1801" spans="1:2" x14ac:dyDescent="0.25">
      <c r="A1801" t="s">
        <v>337</v>
      </c>
      <c r="B1801" t="s">
        <v>262</v>
      </c>
    </row>
    <row r="1802" spans="1:2" x14ac:dyDescent="0.25">
      <c r="A1802" t="s">
        <v>337</v>
      </c>
      <c r="B1802" t="s">
        <v>262</v>
      </c>
    </row>
    <row r="1803" spans="1:2" x14ac:dyDescent="0.25">
      <c r="A1803" t="s">
        <v>337</v>
      </c>
      <c r="B1803" t="s">
        <v>262</v>
      </c>
    </row>
    <row r="1804" spans="1:2" x14ac:dyDescent="0.25">
      <c r="A1804" t="s">
        <v>337</v>
      </c>
      <c r="B1804" t="s">
        <v>262</v>
      </c>
    </row>
    <row r="1805" spans="1:2" x14ac:dyDescent="0.25">
      <c r="A1805" t="s">
        <v>337</v>
      </c>
      <c r="B1805" t="s">
        <v>262</v>
      </c>
    </row>
    <row r="1806" spans="1:2" x14ac:dyDescent="0.25">
      <c r="A1806" t="s">
        <v>337</v>
      </c>
      <c r="B1806" t="s">
        <v>262</v>
      </c>
    </row>
    <row r="1807" spans="1:2" x14ac:dyDescent="0.25">
      <c r="A1807" t="s">
        <v>337</v>
      </c>
      <c r="B1807" t="s">
        <v>262</v>
      </c>
    </row>
    <row r="1808" spans="1:2" x14ac:dyDescent="0.25">
      <c r="A1808" t="s">
        <v>337</v>
      </c>
      <c r="B1808" t="s">
        <v>262</v>
      </c>
    </row>
    <row r="1809" spans="1:2" x14ac:dyDescent="0.25">
      <c r="A1809" t="s">
        <v>337</v>
      </c>
      <c r="B1809" t="s">
        <v>262</v>
      </c>
    </row>
    <row r="1810" spans="1:2" x14ac:dyDescent="0.25">
      <c r="A1810" t="s">
        <v>337</v>
      </c>
      <c r="B1810" t="s">
        <v>262</v>
      </c>
    </row>
    <row r="1811" spans="1:2" x14ac:dyDescent="0.25">
      <c r="A1811" t="s">
        <v>337</v>
      </c>
      <c r="B1811" t="s">
        <v>262</v>
      </c>
    </row>
    <row r="1812" spans="1:2" x14ac:dyDescent="0.25">
      <c r="A1812" t="s">
        <v>337</v>
      </c>
      <c r="B1812" t="s">
        <v>262</v>
      </c>
    </row>
    <row r="1813" spans="1:2" x14ac:dyDescent="0.25">
      <c r="A1813" t="s">
        <v>337</v>
      </c>
      <c r="B1813" t="s">
        <v>262</v>
      </c>
    </row>
    <row r="1814" spans="1:2" x14ac:dyDescent="0.25">
      <c r="A1814" t="s">
        <v>337</v>
      </c>
      <c r="B1814" t="s">
        <v>262</v>
      </c>
    </row>
    <row r="1815" spans="1:2" x14ac:dyDescent="0.25">
      <c r="A1815" t="s">
        <v>337</v>
      </c>
      <c r="B1815" t="s">
        <v>262</v>
      </c>
    </row>
    <row r="1816" spans="1:2" x14ac:dyDescent="0.25">
      <c r="A1816" t="s">
        <v>337</v>
      </c>
      <c r="B1816" t="s">
        <v>262</v>
      </c>
    </row>
    <row r="1817" spans="1:2" x14ac:dyDescent="0.25">
      <c r="A1817" t="s">
        <v>337</v>
      </c>
      <c r="B1817" t="s">
        <v>262</v>
      </c>
    </row>
    <row r="1818" spans="1:2" x14ac:dyDescent="0.25">
      <c r="A1818" t="s">
        <v>337</v>
      </c>
      <c r="B1818" t="s">
        <v>262</v>
      </c>
    </row>
    <row r="1819" spans="1:2" x14ac:dyDescent="0.25">
      <c r="A1819" t="s">
        <v>337</v>
      </c>
      <c r="B1819" t="s">
        <v>262</v>
      </c>
    </row>
    <row r="1820" spans="1:2" x14ac:dyDescent="0.25">
      <c r="A1820" t="s">
        <v>337</v>
      </c>
      <c r="B1820" t="s">
        <v>262</v>
      </c>
    </row>
    <row r="1821" spans="1:2" x14ac:dyDescent="0.25">
      <c r="A1821" t="s">
        <v>338</v>
      </c>
      <c r="B1821" t="s">
        <v>264</v>
      </c>
    </row>
    <row r="1822" spans="1:2" x14ac:dyDescent="0.25">
      <c r="A1822" t="s">
        <v>338</v>
      </c>
      <c r="B1822" t="s">
        <v>264</v>
      </c>
    </row>
    <row r="1823" spans="1:2" x14ac:dyDescent="0.25">
      <c r="A1823" t="s">
        <v>338</v>
      </c>
      <c r="B1823" t="s">
        <v>264</v>
      </c>
    </row>
    <row r="1824" spans="1:2" x14ac:dyDescent="0.25">
      <c r="A1824" t="s">
        <v>338</v>
      </c>
      <c r="B1824" t="s">
        <v>264</v>
      </c>
    </row>
    <row r="1825" spans="1:2" x14ac:dyDescent="0.25">
      <c r="A1825" t="s">
        <v>338</v>
      </c>
      <c r="B1825" t="s">
        <v>264</v>
      </c>
    </row>
    <row r="1826" spans="1:2" x14ac:dyDescent="0.25">
      <c r="A1826" t="s">
        <v>338</v>
      </c>
      <c r="B1826" t="s">
        <v>264</v>
      </c>
    </row>
    <row r="1827" spans="1:2" x14ac:dyDescent="0.25">
      <c r="A1827" t="s">
        <v>338</v>
      </c>
      <c r="B1827" t="s">
        <v>264</v>
      </c>
    </row>
    <row r="1828" spans="1:2" x14ac:dyDescent="0.25">
      <c r="A1828" t="s">
        <v>338</v>
      </c>
      <c r="B1828" t="s">
        <v>264</v>
      </c>
    </row>
    <row r="1829" spans="1:2" x14ac:dyDescent="0.25">
      <c r="A1829" t="s">
        <v>338</v>
      </c>
      <c r="B1829" t="s">
        <v>264</v>
      </c>
    </row>
    <row r="1830" spans="1:2" x14ac:dyDescent="0.25">
      <c r="A1830" t="s">
        <v>338</v>
      </c>
      <c r="B1830" t="s">
        <v>264</v>
      </c>
    </row>
    <row r="1831" spans="1:2" x14ac:dyDescent="0.25">
      <c r="A1831" t="s">
        <v>338</v>
      </c>
      <c r="B1831" t="s">
        <v>264</v>
      </c>
    </row>
    <row r="1832" spans="1:2" x14ac:dyDescent="0.25">
      <c r="A1832" t="s">
        <v>338</v>
      </c>
      <c r="B1832" t="s">
        <v>264</v>
      </c>
    </row>
    <row r="1833" spans="1:2" x14ac:dyDescent="0.25">
      <c r="A1833" t="s">
        <v>338</v>
      </c>
      <c r="B1833" t="s">
        <v>264</v>
      </c>
    </row>
    <row r="1834" spans="1:2" x14ac:dyDescent="0.25">
      <c r="A1834" t="s">
        <v>338</v>
      </c>
      <c r="B1834" t="s">
        <v>264</v>
      </c>
    </row>
    <row r="1835" spans="1:2" x14ac:dyDescent="0.25">
      <c r="A1835" t="s">
        <v>338</v>
      </c>
      <c r="B1835" t="s">
        <v>264</v>
      </c>
    </row>
    <row r="1836" spans="1:2" x14ac:dyDescent="0.25">
      <c r="A1836" t="s">
        <v>338</v>
      </c>
      <c r="B1836" t="s">
        <v>264</v>
      </c>
    </row>
    <row r="1837" spans="1:2" x14ac:dyDescent="0.25">
      <c r="A1837" t="s">
        <v>338</v>
      </c>
      <c r="B1837" t="s">
        <v>264</v>
      </c>
    </row>
    <row r="1838" spans="1:2" x14ac:dyDescent="0.25">
      <c r="A1838" t="s">
        <v>338</v>
      </c>
      <c r="B1838" t="s">
        <v>264</v>
      </c>
    </row>
    <row r="1839" spans="1:2" x14ac:dyDescent="0.25">
      <c r="A1839" t="s">
        <v>338</v>
      </c>
      <c r="B1839" t="s">
        <v>264</v>
      </c>
    </row>
    <row r="1840" spans="1:2" x14ac:dyDescent="0.25">
      <c r="A1840" t="s">
        <v>338</v>
      </c>
      <c r="B1840" t="s">
        <v>264</v>
      </c>
    </row>
    <row r="1841" spans="1:2" x14ac:dyDescent="0.25">
      <c r="A1841" t="s">
        <v>338</v>
      </c>
      <c r="B1841" t="s">
        <v>264</v>
      </c>
    </row>
    <row r="1842" spans="1:2" x14ac:dyDescent="0.25">
      <c r="A1842" t="s">
        <v>338</v>
      </c>
      <c r="B1842" t="s">
        <v>264</v>
      </c>
    </row>
    <row r="1843" spans="1:2" x14ac:dyDescent="0.25">
      <c r="A1843" t="s">
        <v>338</v>
      </c>
      <c r="B1843" t="s">
        <v>264</v>
      </c>
    </row>
    <row r="1844" spans="1:2" x14ac:dyDescent="0.25">
      <c r="A1844" t="s">
        <v>338</v>
      </c>
      <c r="B1844" t="s">
        <v>264</v>
      </c>
    </row>
    <row r="1845" spans="1:2" x14ac:dyDescent="0.25">
      <c r="A1845" t="s">
        <v>338</v>
      </c>
      <c r="B1845" t="s">
        <v>264</v>
      </c>
    </row>
    <row r="1846" spans="1:2" x14ac:dyDescent="0.25">
      <c r="A1846" t="s">
        <v>338</v>
      </c>
      <c r="B1846" t="s">
        <v>264</v>
      </c>
    </row>
    <row r="1847" spans="1:2" x14ac:dyDescent="0.25">
      <c r="A1847" t="s">
        <v>339</v>
      </c>
      <c r="B1847" t="s">
        <v>262</v>
      </c>
    </row>
    <row r="1848" spans="1:2" x14ac:dyDescent="0.25">
      <c r="A1848" t="s">
        <v>339</v>
      </c>
      <c r="B1848" t="s">
        <v>262</v>
      </c>
    </row>
    <row r="1849" spans="1:2" x14ac:dyDescent="0.25">
      <c r="A1849" t="s">
        <v>339</v>
      </c>
      <c r="B1849" t="s">
        <v>262</v>
      </c>
    </row>
    <row r="1850" spans="1:2" x14ac:dyDescent="0.25">
      <c r="A1850" t="s">
        <v>339</v>
      </c>
      <c r="B1850" t="s">
        <v>262</v>
      </c>
    </row>
    <row r="1851" spans="1:2" x14ac:dyDescent="0.25">
      <c r="A1851" t="s">
        <v>339</v>
      </c>
      <c r="B1851" t="s">
        <v>262</v>
      </c>
    </row>
    <row r="1852" spans="1:2" x14ac:dyDescent="0.25">
      <c r="A1852" t="s">
        <v>339</v>
      </c>
      <c r="B1852" t="s">
        <v>262</v>
      </c>
    </row>
    <row r="1853" spans="1:2" x14ac:dyDescent="0.25">
      <c r="A1853" t="s">
        <v>339</v>
      </c>
      <c r="B1853" t="s">
        <v>262</v>
      </c>
    </row>
    <row r="1854" spans="1:2" x14ac:dyDescent="0.25">
      <c r="A1854" t="s">
        <v>339</v>
      </c>
      <c r="B1854" t="s">
        <v>262</v>
      </c>
    </row>
    <row r="1855" spans="1:2" x14ac:dyDescent="0.25">
      <c r="A1855" t="s">
        <v>339</v>
      </c>
      <c r="B1855" t="s">
        <v>262</v>
      </c>
    </row>
    <row r="1856" spans="1:2" x14ac:dyDescent="0.25">
      <c r="A1856" t="s">
        <v>339</v>
      </c>
      <c r="B1856" t="s">
        <v>262</v>
      </c>
    </row>
    <row r="1857" spans="1:2" x14ac:dyDescent="0.25">
      <c r="A1857" t="s">
        <v>339</v>
      </c>
      <c r="B1857" t="s">
        <v>262</v>
      </c>
    </row>
    <row r="1858" spans="1:2" x14ac:dyDescent="0.25">
      <c r="A1858" t="s">
        <v>339</v>
      </c>
      <c r="B1858" t="s">
        <v>262</v>
      </c>
    </row>
    <row r="1859" spans="1:2" x14ac:dyDescent="0.25">
      <c r="A1859" t="s">
        <v>339</v>
      </c>
      <c r="B1859" t="s">
        <v>262</v>
      </c>
    </row>
    <row r="1860" spans="1:2" x14ac:dyDescent="0.25">
      <c r="A1860" t="s">
        <v>339</v>
      </c>
      <c r="B1860" t="s">
        <v>262</v>
      </c>
    </row>
    <row r="1861" spans="1:2" x14ac:dyDescent="0.25">
      <c r="A1861" t="s">
        <v>339</v>
      </c>
      <c r="B1861" t="s">
        <v>262</v>
      </c>
    </row>
    <row r="1862" spans="1:2" x14ac:dyDescent="0.25">
      <c r="A1862" t="s">
        <v>339</v>
      </c>
      <c r="B1862" t="s">
        <v>262</v>
      </c>
    </row>
    <row r="1863" spans="1:2" x14ac:dyDescent="0.25">
      <c r="A1863" t="s">
        <v>339</v>
      </c>
      <c r="B1863" t="s">
        <v>262</v>
      </c>
    </row>
    <row r="1864" spans="1:2" x14ac:dyDescent="0.25">
      <c r="A1864" t="s">
        <v>339</v>
      </c>
      <c r="B1864" t="s">
        <v>262</v>
      </c>
    </row>
    <row r="1865" spans="1:2" x14ac:dyDescent="0.25">
      <c r="A1865" t="s">
        <v>339</v>
      </c>
      <c r="B1865" t="s">
        <v>262</v>
      </c>
    </row>
    <row r="1866" spans="1:2" x14ac:dyDescent="0.25">
      <c r="A1866" t="s">
        <v>339</v>
      </c>
      <c r="B1866" t="s">
        <v>262</v>
      </c>
    </row>
    <row r="1867" spans="1:2" x14ac:dyDescent="0.25">
      <c r="A1867" t="s">
        <v>339</v>
      </c>
      <c r="B1867" t="s">
        <v>262</v>
      </c>
    </row>
    <row r="1868" spans="1:2" x14ac:dyDescent="0.25">
      <c r="A1868" t="s">
        <v>339</v>
      </c>
      <c r="B1868" t="s">
        <v>262</v>
      </c>
    </row>
    <row r="1869" spans="1:2" x14ac:dyDescent="0.25">
      <c r="A1869" t="s">
        <v>339</v>
      </c>
      <c r="B1869" t="s">
        <v>262</v>
      </c>
    </row>
    <row r="1870" spans="1:2" x14ac:dyDescent="0.25">
      <c r="A1870" t="s">
        <v>340</v>
      </c>
      <c r="B1870" t="s">
        <v>262</v>
      </c>
    </row>
    <row r="1871" spans="1:2" x14ac:dyDescent="0.25">
      <c r="A1871" t="s">
        <v>340</v>
      </c>
      <c r="B1871" t="s">
        <v>262</v>
      </c>
    </row>
    <row r="1872" spans="1:2" x14ac:dyDescent="0.25">
      <c r="A1872" t="s">
        <v>340</v>
      </c>
      <c r="B1872" t="s">
        <v>262</v>
      </c>
    </row>
    <row r="1873" spans="1:2" x14ac:dyDescent="0.25">
      <c r="A1873" t="s">
        <v>340</v>
      </c>
      <c r="B1873" t="s">
        <v>262</v>
      </c>
    </row>
    <row r="1874" spans="1:2" x14ac:dyDescent="0.25">
      <c r="A1874" t="s">
        <v>340</v>
      </c>
      <c r="B1874" t="s">
        <v>262</v>
      </c>
    </row>
    <row r="1875" spans="1:2" x14ac:dyDescent="0.25">
      <c r="A1875" t="s">
        <v>340</v>
      </c>
      <c r="B1875" t="s">
        <v>262</v>
      </c>
    </row>
    <row r="1876" spans="1:2" x14ac:dyDescent="0.25">
      <c r="A1876" t="s">
        <v>340</v>
      </c>
      <c r="B1876" t="s">
        <v>262</v>
      </c>
    </row>
    <row r="1877" spans="1:2" x14ac:dyDescent="0.25">
      <c r="A1877" t="s">
        <v>340</v>
      </c>
      <c r="B1877" t="s">
        <v>262</v>
      </c>
    </row>
    <row r="1878" spans="1:2" x14ac:dyDescent="0.25">
      <c r="A1878" t="s">
        <v>340</v>
      </c>
      <c r="B1878" t="s">
        <v>262</v>
      </c>
    </row>
    <row r="1879" spans="1:2" x14ac:dyDescent="0.25">
      <c r="A1879" t="s">
        <v>340</v>
      </c>
      <c r="B1879" t="s">
        <v>262</v>
      </c>
    </row>
    <row r="1880" spans="1:2" x14ac:dyDescent="0.25">
      <c r="A1880" t="s">
        <v>340</v>
      </c>
      <c r="B1880" t="s">
        <v>262</v>
      </c>
    </row>
    <row r="1881" spans="1:2" x14ac:dyDescent="0.25">
      <c r="A1881" t="s">
        <v>340</v>
      </c>
      <c r="B1881" t="s">
        <v>262</v>
      </c>
    </row>
    <row r="1882" spans="1:2" x14ac:dyDescent="0.25">
      <c r="A1882" t="s">
        <v>340</v>
      </c>
      <c r="B1882" t="s">
        <v>262</v>
      </c>
    </row>
    <row r="1883" spans="1:2" x14ac:dyDescent="0.25">
      <c r="A1883" t="s">
        <v>340</v>
      </c>
      <c r="B1883" t="s">
        <v>262</v>
      </c>
    </row>
    <row r="1884" spans="1:2" x14ac:dyDescent="0.25">
      <c r="A1884" t="s">
        <v>340</v>
      </c>
      <c r="B1884" t="s">
        <v>262</v>
      </c>
    </row>
    <row r="1885" spans="1:2" x14ac:dyDescent="0.25">
      <c r="A1885" t="s">
        <v>340</v>
      </c>
      <c r="B1885" t="s">
        <v>262</v>
      </c>
    </row>
    <row r="1886" spans="1:2" x14ac:dyDescent="0.25">
      <c r="A1886" t="s">
        <v>340</v>
      </c>
      <c r="B1886" t="s">
        <v>262</v>
      </c>
    </row>
    <row r="1887" spans="1:2" x14ac:dyDescent="0.25">
      <c r="A1887" t="s">
        <v>340</v>
      </c>
      <c r="B1887" t="s">
        <v>262</v>
      </c>
    </row>
    <row r="1888" spans="1:2" x14ac:dyDescent="0.25">
      <c r="A1888" t="s">
        <v>340</v>
      </c>
      <c r="B1888" t="s">
        <v>262</v>
      </c>
    </row>
    <row r="1889" spans="1:2" x14ac:dyDescent="0.25">
      <c r="A1889" t="s">
        <v>340</v>
      </c>
      <c r="B1889" t="s">
        <v>262</v>
      </c>
    </row>
    <row r="1890" spans="1:2" x14ac:dyDescent="0.25">
      <c r="A1890" t="s">
        <v>340</v>
      </c>
      <c r="B1890" t="s">
        <v>262</v>
      </c>
    </row>
    <row r="1891" spans="1:2" x14ac:dyDescent="0.25">
      <c r="A1891" t="s">
        <v>340</v>
      </c>
      <c r="B1891" t="s">
        <v>262</v>
      </c>
    </row>
    <row r="1892" spans="1:2" x14ac:dyDescent="0.25">
      <c r="A1892" t="s">
        <v>340</v>
      </c>
      <c r="B1892" t="s">
        <v>262</v>
      </c>
    </row>
    <row r="1893" spans="1:2" x14ac:dyDescent="0.25">
      <c r="A1893" t="s">
        <v>340</v>
      </c>
      <c r="B1893" t="s">
        <v>262</v>
      </c>
    </row>
    <row r="1894" spans="1:2" x14ac:dyDescent="0.25">
      <c r="A1894" t="s">
        <v>340</v>
      </c>
      <c r="B1894" t="s">
        <v>262</v>
      </c>
    </row>
    <row r="1895" spans="1:2" x14ac:dyDescent="0.25">
      <c r="A1895" t="s">
        <v>340</v>
      </c>
      <c r="B1895" t="s">
        <v>262</v>
      </c>
    </row>
    <row r="1896" spans="1:2" x14ac:dyDescent="0.25">
      <c r="A1896" t="s">
        <v>341</v>
      </c>
      <c r="B1896" t="s">
        <v>264</v>
      </c>
    </row>
    <row r="1897" spans="1:2" x14ac:dyDescent="0.25">
      <c r="A1897" t="s">
        <v>341</v>
      </c>
      <c r="B1897" t="s">
        <v>264</v>
      </c>
    </row>
    <row r="1898" spans="1:2" x14ac:dyDescent="0.25">
      <c r="A1898" t="s">
        <v>341</v>
      </c>
      <c r="B1898" t="s">
        <v>264</v>
      </c>
    </row>
    <row r="1899" spans="1:2" x14ac:dyDescent="0.25">
      <c r="A1899" t="s">
        <v>341</v>
      </c>
      <c r="B1899" t="s">
        <v>264</v>
      </c>
    </row>
    <row r="1900" spans="1:2" x14ac:dyDescent="0.25">
      <c r="A1900" t="s">
        <v>341</v>
      </c>
      <c r="B1900" t="s">
        <v>264</v>
      </c>
    </row>
    <row r="1901" spans="1:2" x14ac:dyDescent="0.25">
      <c r="A1901" t="s">
        <v>341</v>
      </c>
      <c r="B1901" t="s">
        <v>264</v>
      </c>
    </row>
    <row r="1902" spans="1:2" x14ac:dyDescent="0.25">
      <c r="A1902" t="s">
        <v>341</v>
      </c>
      <c r="B1902" t="s">
        <v>264</v>
      </c>
    </row>
    <row r="1903" spans="1:2" x14ac:dyDescent="0.25">
      <c r="A1903" t="s">
        <v>341</v>
      </c>
      <c r="B1903" t="s">
        <v>264</v>
      </c>
    </row>
    <row r="1904" spans="1:2" x14ac:dyDescent="0.25">
      <c r="A1904" t="s">
        <v>341</v>
      </c>
      <c r="B1904" t="s">
        <v>264</v>
      </c>
    </row>
    <row r="1905" spans="1:2" x14ac:dyDescent="0.25">
      <c r="A1905" t="s">
        <v>341</v>
      </c>
      <c r="B1905" t="s">
        <v>264</v>
      </c>
    </row>
    <row r="1906" spans="1:2" x14ac:dyDescent="0.25">
      <c r="A1906" t="s">
        <v>341</v>
      </c>
      <c r="B1906" t="s">
        <v>264</v>
      </c>
    </row>
    <row r="1907" spans="1:2" x14ac:dyDescent="0.25">
      <c r="A1907" t="s">
        <v>341</v>
      </c>
      <c r="B1907" t="s">
        <v>264</v>
      </c>
    </row>
    <row r="1908" spans="1:2" x14ac:dyDescent="0.25">
      <c r="A1908" t="s">
        <v>341</v>
      </c>
      <c r="B1908" t="s">
        <v>264</v>
      </c>
    </row>
    <row r="1909" spans="1:2" x14ac:dyDescent="0.25">
      <c r="A1909" t="s">
        <v>341</v>
      </c>
      <c r="B1909" t="s">
        <v>264</v>
      </c>
    </row>
    <row r="1910" spans="1:2" x14ac:dyDescent="0.25">
      <c r="A1910" t="s">
        <v>341</v>
      </c>
      <c r="B1910" t="s">
        <v>264</v>
      </c>
    </row>
    <row r="1911" spans="1:2" x14ac:dyDescent="0.25">
      <c r="A1911" t="s">
        <v>341</v>
      </c>
      <c r="B1911" t="s">
        <v>264</v>
      </c>
    </row>
    <row r="1912" spans="1:2" x14ac:dyDescent="0.25">
      <c r="A1912" t="s">
        <v>341</v>
      </c>
      <c r="B1912" t="s">
        <v>264</v>
      </c>
    </row>
    <row r="1913" spans="1:2" x14ac:dyDescent="0.25">
      <c r="A1913" t="s">
        <v>341</v>
      </c>
      <c r="B1913" t="s">
        <v>264</v>
      </c>
    </row>
    <row r="1914" spans="1:2" x14ac:dyDescent="0.25">
      <c r="A1914" t="s">
        <v>341</v>
      </c>
      <c r="B1914" t="s">
        <v>264</v>
      </c>
    </row>
    <row r="1915" spans="1:2" x14ac:dyDescent="0.25">
      <c r="A1915" t="s">
        <v>341</v>
      </c>
      <c r="B1915" t="s">
        <v>264</v>
      </c>
    </row>
    <row r="1916" spans="1:2" x14ac:dyDescent="0.25">
      <c r="A1916" t="s">
        <v>341</v>
      </c>
      <c r="B1916" t="s">
        <v>264</v>
      </c>
    </row>
    <row r="1917" spans="1:2" x14ac:dyDescent="0.25">
      <c r="A1917" t="s">
        <v>341</v>
      </c>
      <c r="B1917" t="s">
        <v>264</v>
      </c>
    </row>
    <row r="1918" spans="1:2" x14ac:dyDescent="0.25">
      <c r="A1918" t="s">
        <v>341</v>
      </c>
      <c r="B1918" t="s">
        <v>264</v>
      </c>
    </row>
    <row r="1919" spans="1:2" x14ac:dyDescent="0.25">
      <c r="A1919" t="s">
        <v>341</v>
      </c>
      <c r="B1919" t="s">
        <v>264</v>
      </c>
    </row>
    <row r="1920" spans="1:2" x14ac:dyDescent="0.25">
      <c r="A1920" t="s">
        <v>341</v>
      </c>
      <c r="B1920" t="s">
        <v>264</v>
      </c>
    </row>
    <row r="1921" spans="1:2" x14ac:dyDescent="0.25">
      <c r="A1921" t="s">
        <v>341</v>
      </c>
      <c r="B1921" t="s">
        <v>264</v>
      </c>
    </row>
    <row r="1922" spans="1:2" x14ac:dyDescent="0.25">
      <c r="A1922" t="s">
        <v>341</v>
      </c>
      <c r="B1922" t="s">
        <v>264</v>
      </c>
    </row>
    <row r="1923" spans="1:2" x14ac:dyDescent="0.25">
      <c r="A1923" t="s">
        <v>342</v>
      </c>
      <c r="B1923" t="s">
        <v>262</v>
      </c>
    </row>
    <row r="1924" spans="1:2" x14ac:dyDescent="0.25">
      <c r="A1924" t="s">
        <v>342</v>
      </c>
      <c r="B1924" t="s">
        <v>262</v>
      </c>
    </row>
    <row r="1925" spans="1:2" x14ac:dyDescent="0.25">
      <c r="A1925" t="s">
        <v>342</v>
      </c>
      <c r="B1925" t="s">
        <v>262</v>
      </c>
    </row>
    <row r="1926" spans="1:2" x14ac:dyDescent="0.25">
      <c r="A1926" t="s">
        <v>342</v>
      </c>
      <c r="B1926" t="s">
        <v>262</v>
      </c>
    </row>
    <row r="1927" spans="1:2" x14ac:dyDescent="0.25">
      <c r="A1927" t="s">
        <v>342</v>
      </c>
      <c r="B1927" t="s">
        <v>262</v>
      </c>
    </row>
    <row r="1928" spans="1:2" x14ac:dyDescent="0.25">
      <c r="A1928" t="s">
        <v>342</v>
      </c>
      <c r="B1928" t="s">
        <v>262</v>
      </c>
    </row>
    <row r="1929" spans="1:2" x14ac:dyDescent="0.25">
      <c r="A1929" t="s">
        <v>342</v>
      </c>
      <c r="B1929" t="s">
        <v>262</v>
      </c>
    </row>
    <row r="1930" spans="1:2" x14ac:dyDescent="0.25">
      <c r="A1930" t="s">
        <v>342</v>
      </c>
      <c r="B1930" t="s">
        <v>262</v>
      </c>
    </row>
    <row r="1931" spans="1:2" x14ac:dyDescent="0.25">
      <c r="A1931" t="s">
        <v>342</v>
      </c>
      <c r="B1931" t="s">
        <v>262</v>
      </c>
    </row>
    <row r="1932" spans="1:2" x14ac:dyDescent="0.25">
      <c r="A1932" t="s">
        <v>342</v>
      </c>
      <c r="B1932" t="s">
        <v>262</v>
      </c>
    </row>
    <row r="1933" spans="1:2" x14ac:dyDescent="0.25">
      <c r="A1933" t="s">
        <v>342</v>
      </c>
      <c r="B1933" t="s">
        <v>262</v>
      </c>
    </row>
    <row r="1934" spans="1:2" x14ac:dyDescent="0.25">
      <c r="A1934" t="s">
        <v>342</v>
      </c>
      <c r="B1934" t="s">
        <v>262</v>
      </c>
    </row>
    <row r="1935" spans="1:2" x14ac:dyDescent="0.25">
      <c r="A1935" t="s">
        <v>342</v>
      </c>
      <c r="B1935" t="s">
        <v>262</v>
      </c>
    </row>
    <row r="1936" spans="1:2" x14ac:dyDescent="0.25">
      <c r="A1936" t="s">
        <v>342</v>
      </c>
      <c r="B1936" t="s">
        <v>262</v>
      </c>
    </row>
    <row r="1937" spans="1:2" x14ac:dyDescent="0.25">
      <c r="A1937" t="s">
        <v>342</v>
      </c>
      <c r="B1937" t="s">
        <v>262</v>
      </c>
    </row>
    <row r="1938" spans="1:2" x14ac:dyDescent="0.25">
      <c r="A1938" t="s">
        <v>342</v>
      </c>
      <c r="B1938" t="s">
        <v>262</v>
      </c>
    </row>
    <row r="1939" spans="1:2" x14ac:dyDescent="0.25">
      <c r="A1939" t="s">
        <v>342</v>
      </c>
      <c r="B1939" t="s">
        <v>262</v>
      </c>
    </row>
    <row r="1940" spans="1:2" x14ac:dyDescent="0.25">
      <c r="A1940" t="s">
        <v>342</v>
      </c>
      <c r="B1940" t="s">
        <v>262</v>
      </c>
    </row>
    <row r="1941" spans="1:2" x14ac:dyDescent="0.25">
      <c r="A1941" t="s">
        <v>342</v>
      </c>
      <c r="B1941" t="s">
        <v>262</v>
      </c>
    </row>
    <row r="1942" spans="1:2" x14ac:dyDescent="0.25">
      <c r="A1942" t="s">
        <v>342</v>
      </c>
      <c r="B1942" t="s">
        <v>262</v>
      </c>
    </row>
    <row r="1943" spans="1:2" x14ac:dyDescent="0.25">
      <c r="A1943" t="s">
        <v>342</v>
      </c>
      <c r="B1943" t="s">
        <v>262</v>
      </c>
    </row>
    <row r="1944" spans="1:2" x14ac:dyDescent="0.25">
      <c r="A1944" t="s">
        <v>342</v>
      </c>
      <c r="B1944" t="s">
        <v>262</v>
      </c>
    </row>
    <row r="1945" spans="1:2" x14ac:dyDescent="0.25">
      <c r="A1945" t="s">
        <v>342</v>
      </c>
      <c r="B1945" t="s">
        <v>262</v>
      </c>
    </row>
    <row r="1946" spans="1:2" x14ac:dyDescent="0.25">
      <c r="A1946" t="s">
        <v>343</v>
      </c>
      <c r="B1946" t="s">
        <v>264</v>
      </c>
    </row>
    <row r="1947" spans="1:2" x14ac:dyDescent="0.25">
      <c r="A1947" t="s">
        <v>343</v>
      </c>
      <c r="B1947" t="s">
        <v>264</v>
      </c>
    </row>
    <row r="1948" spans="1:2" x14ac:dyDescent="0.25">
      <c r="A1948" t="s">
        <v>343</v>
      </c>
      <c r="B1948" t="s">
        <v>264</v>
      </c>
    </row>
    <row r="1949" spans="1:2" x14ac:dyDescent="0.25">
      <c r="A1949" t="s">
        <v>343</v>
      </c>
      <c r="B1949" t="s">
        <v>264</v>
      </c>
    </row>
    <row r="1950" spans="1:2" x14ac:dyDescent="0.25">
      <c r="A1950" t="s">
        <v>343</v>
      </c>
      <c r="B1950" t="s">
        <v>264</v>
      </c>
    </row>
    <row r="1951" spans="1:2" x14ac:dyDescent="0.25">
      <c r="A1951" t="s">
        <v>343</v>
      </c>
      <c r="B1951" t="s">
        <v>264</v>
      </c>
    </row>
    <row r="1952" spans="1:2" x14ac:dyDescent="0.25">
      <c r="A1952" t="s">
        <v>343</v>
      </c>
      <c r="B1952" t="s">
        <v>264</v>
      </c>
    </row>
    <row r="1953" spans="1:2" x14ac:dyDescent="0.25">
      <c r="A1953" t="s">
        <v>343</v>
      </c>
      <c r="B1953" t="s">
        <v>264</v>
      </c>
    </row>
    <row r="1954" spans="1:2" x14ac:dyDescent="0.25">
      <c r="A1954" t="s">
        <v>343</v>
      </c>
      <c r="B1954" t="s">
        <v>264</v>
      </c>
    </row>
    <row r="1955" spans="1:2" x14ac:dyDescent="0.25">
      <c r="A1955" t="s">
        <v>343</v>
      </c>
      <c r="B1955" t="s">
        <v>264</v>
      </c>
    </row>
    <row r="1956" spans="1:2" x14ac:dyDescent="0.25">
      <c r="A1956" t="s">
        <v>343</v>
      </c>
      <c r="B1956" t="s">
        <v>264</v>
      </c>
    </row>
    <row r="1957" spans="1:2" x14ac:dyDescent="0.25">
      <c r="A1957" t="s">
        <v>343</v>
      </c>
      <c r="B1957" t="s">
        <v>264</v>
      </c>
    </row>
    <row r="1958" spans="1:2" x14ac:dyDescent="0.25">
      <c r="A1958" t="s">
        <v>343</v>
      </c>
      <c r="B1958" t="s">
        <v>264</v>
      </c>
    </row>
    <row r="1959" spans="1:2" x14ac:dyDescent="0.25">
      <c r="A1959" t="s">
        <v>343</v>
      </c>
      <c r="B1959" t="s">
        <v>264</v>
      </c>
    </row>
    <row r="1960" spans="1:2" x14ac:dyDescent="0.25">
      <c r="A1960" t="s">
        <v>343</v>
      </c>
      <c r="B1960" t="s">
        <v>264</v>
      </c>
    </row>
    <row r="1961" spans="1:2" x14ac:dyDescent="0.25">
      <c r="A1961" t="s">
        <v>343</v>
      </c>
      <c r="B1961" t="s">
        <v>264</v>
      </c>
    </row>
    <row r="1962" spans="1:2" x14ac:dyDescent="0.25">
      <c r="A1962" t="s">
        <v>343</v>
      </c>
      <c r="B1962" t="s">
        <v>264</v>
      </c>
    </row>
    <row r="1963" spans="1:2" x14ac:dyDescent="0.25">
      <c r="A1963" t="s">
        <v>343</v>
      </c>
      <c r="B1963" t="s">
        <v>264</v>
      </c>
    </row>
    <row r="1964" spans="1:2" x14ac:dyDescent="0.25">
      <c r="A1964" t="s">
        <v>343</v>
      </c>
      <c r="B1964" t="s">
        <v>264</v>
      </c>
    </row>
    <row r="1965" spans="1:2" x14ac:dyDescent="0.25">
      <c r="A1965" t="s">
        <v>343</v>
      </c>
      <c r="B1965" t="s">
        <v>264</v>
      </c>
    </row>
    <row r="1966" spans="1:2" x14ac:dyDescent="0.25">
      <c r="A1966" t="s">
        <v>343</v>
      </c>
      <c r="B1966" t="s">
        <v>264</v>
      </c>
    </row>
    <row r="1967" spans="1:2" x14ac:dyDescent="0.25">
      <c r="A1967" t="s">
        <v>343</v>
      </c>
      <c r="B1967" t="s">
        <v>264</v>
      </c>
    </row>
    <row r="1968" spans="1:2" x14ac:dyDescent="0.25">
      <c r="A1968" t="s">
        <v>343</v>
      </c>
      <c r="B1968" t="s">
        <v>264</v>
      </c>
    </row>
    <row r="1969" spans="1:2" x14ac:dyDescent="0.25">
      <c r="A1969" t="s">
        <v>343</v>
      </c>
      <c r="B1969" t="s">
        <v>264</v>
      </c>
    </row>
    <row r="1970" spans="1:2" x14ac:dyDescent="0.25">
      <c r="A1970" t="s">
        <v>343</v>
      </c>
      <c r="B1970" t="s">
        <v>264</v>
      </c>
    </row>
    <row r="1971" spans="1:2" x14ac:dyDescent="0.25">
      <c r="A1971" t="s">
        <v>343</v>
      </c>
      <c r="B1971" t="s">
        <v>264</v>
      </c>
    </row>
    <row r="1972" spans="1:2" x14ac:dyDescent="0.25">
      <c r="A1972" t="s">
        <v>344</v>
      </c>
      <c r="B1972" t="s">
        <v>262</v>
      </c>
    </row>
    <row r="1973" spans="1:2" x14ac:dyDescent="0.25">
      <c r="A1973" t="s">
        <v>344</v>
      </c>
      <c r="B1973" t="s">
        <v>262</v>
      </c>
    </row>
    <row r="1974" spans="1:2" x14ac:dyDescent="0.25">
      <c r="A1974" t="s">
        <v>344</v>
      </c>
      <c r="B1974" t="s">
        <v>262</v>
      </c>
    </row>
    <row r="1975" spans="1:2" x14ac:dyDescent="0.25">
      <c r="A1975" t="s">
        <v>344</v>
      </c>
      <c r="B1975" t="s">
        <v>262</v>
      </c>
    </row>
    <row r="1976" spans="1:2" x14ac:dyDescent="0.25">
      <c r="A1976" t="s">
        <v>344</v>
      </c>
      <c r="B1976" t="s">
        <v>262</v>
      </c>
    </row>
    <row r="1977" spans="1:2" x14ac:dyDescent="0.25">
      <c r="A1977" t="s">
        <v>344</v>
      </c>
      <c r="B1977" t="s">
        <v>262</v>
      </c>
    </row>
    <row r="1978" spans="1:2" x14ac:dyDescent="0.25">
      <c r="A1978" t="s">
        <v>344</v>
      </c>
      <c r="B1978" t="s">
        <v>262</v>
      </c>
    </row>
    <row r="1979" spans="1:2" x14ac:dyDescent="0.25">
      <c r="A1979" t="s">
        <v>344</v>
      </c>
      <c r="B1979" t="s">
        <v>262</v>
      </c>
    </row>
    <row r="1980" spans="1:2" x14ac:dyDescent="0.25">
      <c r="A1980" t="s">
        <v>344</v>
      </c>
      <c r="B1980" t="s">
        <v>262</v>
      </c>
    </row>
    <row r="1981" spans="1:2" x14ac:dyDescent="0.25">
      <c r="A1981" t="s">
        <v>344</v>
      </c>
      <c r="B1981" t="s">
        <v>262</v>
      </c>
    </row>
    <row r="1982" spans="1:2" x14ac:dyDescent="0.25">
      <c r="A1982" t="s">
        <v>344</v>
      </c>
      <c r="B1982" t="s">
        <v>262</v>
      </c>
    </row>
    <row r="1983" spans="1:2" x14ac:dyDescent="0.25">
      <c r="A1983" t="s">
        <v>344</v>
      </c>
      <c r="B1983" t="s">
        <v>262</v>
      </c>
    </row>
    <row r="1984" spans="1:2" x14ac:dyDescent="0.25">
      <c r="A1984" t="s">
        <v>344</v>
      </c>
      <c r="B1984" t="s">
        <v>262</v>
      </c>
    </row>
    <row r="1985" spans="1:2" x14ac:dyDescent="0.25">
      <c r="A1985" t="s">
        <v>344</v>
      </c>
      <c r="B1985" t="s">
        <v>262</v>
      </c>
    </row>
    <row r="1986" spans="1:2" x14ac:dyDescent="0.25">
      <c r="A1986" t="s">
        <v>344</v>
      </c>
      <c r="B1986" t="s">
        <v>262</v>
      </c>
    </row>
    <row r="1987" spans="1:2" x14ac:dyDescent="0.25">
      <c r="A1987" t="s">
        <v>344</v>
      </c>
      <c r="B1987" t="s">
        <v>262</v>
      </c>
    </row>
    <row r="1988" spans="1:2" x14ac:dyDescent="0.25">
      <c r="A1988" t="s">
        <v>344</v>
      </c>
      <c r="B1988" t="s">
        <v>262</v>
      </c>
    </row>
    <row r="1989" spans="1:2" x14ac:dyDescent="0.25">
      <c r="A1989" t="s">
        <v>344</v>
      </c>
      <c r="B1989" t="s">
        <v>262</v>
      </c>
    </row>
    <row r="1990" spans="1:2" x14ac:dyDescent="0.25">
      <c r="A1990" t="s">
        <v>344</v>
      </c>
      <c r="B1990" t="s">
        <v>262</v>
      </c>
    </row>
    <row r="1991" spans="1:2" x14ac:dyDescent="0.25">
      <c r="A1991" t="s">
        <v>344</v>
      </c>
      <c r="B1991" t="s">
        <v>262</v>
      </c>
    </row>
    <row r="1992" spans="1:2" x14ac:dyDescent="0.25">
      <c r="A1992" t="s">
        <v>344</v>
      </c>
      <c r="B1992" t="s">
        <v>262</v>
      </c>
    </row>
    <row r="1993" spans="1:2" x14ac:dyDescent="0.25">
      <c r="A1993" t="s">
        <v>344</v>
      </c>
      <c r="B1993" t="s">
        <v>262</v>
      </c>
    </row>
    <row r="1994" spans="1:2" x14ac:dyDescent="0.25">
      <c r="A1994" t="s">
        <v>344</v>
      </c>
      <c r="B1994" t="s">
        <v>262</v>
      </c>
    </row>
    <row r="1995" spans="1:2" x14ac:dyDescent="0.25">
      <c r="A1995" t="s">
        <v>344</v>
      </c>
      <c r="B1995" t="s">
        <v>262</v>
      </c>
    </row>
    <row r="1996" spans="1:2" x14ac:dyDescent="0.25">
      <c r="A1996" t="s">
        <v>344</v>
      </c>
      <c r="B1996" t="s">
        <v>262</v>
      </c>
    </row>
    <row r="1997" spans="1:2" x14ac:dyDescent="0.25">
      <c r="A1997" t="s">
        <v>344</v>
      </c>
      <c r="B1997" t="s">
        <v>262</v>
      </c>
    </row>
    <row r="1998" spans="1:2" x14ac:dyDescent="0.25">
      <c r="A1998" t="s">
        <v>344</v>
      </c>
      <c r="B1998" t="s">
        <v>262</v>
      </c>
    </row>
    <row r="1999" spans="1:2" x14ac:dyDescent="0.25">
      <c r="A1999" t="s">
        <v>345</v>
      </c>
      <c r="B1999" t="s">
        <v>265</v>
      </c>
    </row>
    <row r="2000" spans="1:2" x14ac:dyDescent="0.25">
      <c r="A2000" t="s">
        <v>345</v>
      </c>
      <c r="B2000" t="s">
        <v>265</v>
      </c>
    </row>
    <row r="2001" spans="1:2" x14ac:dyDescent="0.25">
      <c r="A2001" t="s">
        <v>345</v>
      </c>
      <c r="B2001" t="s">
        <v>265</v>
      </c>
    </row>
    <row r="2002" spans="1:2" x14ac:dyDescent="0.25">
      <c r="A2002" t="s">
        <v>345</v>
      </c>
      <c r="B2002" t="s">
        <v>265</v>
      </c>
    </row>
    <row r="2003" spans="1:2" x14ac:dyDescent="0.25">
      <c r="A2003" t="s">
        <v>345</v>
      </c>
      <c r="B2003" t="s">
        <v>265</v>
      </c>
    </row>
    <row r="2004" spans="1:2" x14ac:dyDescent="0.25">
      <c r="A2004" t="s">
        <v>345</v>
      </c>
      <c r="B2004" t="s">
        <v>265</v>
      </c>
    </row>
    <row r="2005" spans="1:2" x14ac:dyDescent="0.25">
      <c r="A2005" t="s">
        <v>345</v>
      </c>
      <c r="B2005" t="s">
        <v>265</v>
      </c>
    </row>
    <row r="2006" spans="1:2" x14ac:dyDescent="0.25">
      <c r="A2006" t="s">
        <v>345</v>
      </c>
      <c r="B2006" t="s">
        <v>265</v>
      </c>
    </row>
    <row r="2007" spans="1:2" x14ac:dyDescent="0.25">
      <c r="A2007" t="s">
        <v>345</v>
      </c>
      <c r="B2007" t="s">
        <v>265</v>
      </c>
    </row>
    <row r="2008" spans="1:2" x14ac:dyDescent="0.25">
      <c r="A2008" t="s">
        <v>345</v>
      </c>
      <c r="B2008" t="s">
        <v>265</v>
      </c>
    </row>
    <row r="2009" spans="1:2" x14ac:dyDescent="0.25">
      <c r="A2009" t="s">
        <v>345</v>
      </c>
      <c r="B2009" t="s">
        <v>265</v>
      </c>
    </row>
    <row r="2010" spans="1:2" x14ac:dyDescent="0.25">
      <c r="A2010" t="s">
        <v>345</v>
      </c>
      <c r="B2010" t="s">
        <v>265</v>
      </c>
    </row>
    <row r="2011" spans="1:2" x14ac:dyDescent="0.25">
      <c r="A2011" t="s">
        <v>345</v>
      </c>
      <c r="B2011" t="s">
        <v>265</v>
      </c>
    </row>
    <row r="2012" spans="1:2" x14ac:dyDescent="0.25">
      <c r="A2012" t="s">
        <v>345</v>
      </c>
      <c r="B2012" t="s">
        <v>265</v>
      </c>
    </row>
    <row r="2013" spans="1:2" x14ac:dyDescent="0.25">
      <c r="A2013" t="s">
        <v>345</v>
      </c>
      <c r="B2013" t="s">
        <v>265</v>
      </c>
    </row>
    <row r="2014" spans="1:2" x14ac:dyDescent="0.25">
      <c r="A2014" t="s">
        <v>345</v>
      </c>
      <c r="B2014" t="s">
        <v>265</v>
      </c>
    </row>
    <row r="2015" spans="1:2" x14ac:dyDescent="0.25">
      <c r="A2015" t="s">
        <v>345</v>
      </c>
      <c r="B2015" t="s">
        <v>265</v>
      </c>
    </row>
    <row r="2016" spans="1:2" x14ac:dyDescent="0.25">
      <c r="A2016" t="s">
        <v>345</v>
      </c>
      <c r="B2016" t="s">
        <v>265</v>
      </c>
    </row>
    <row r="2017" spans="1:2" x14ac:dyDescent="0.25">
      <c r="A2017" t="s">
        <v>345</v>
      </c>
      <c r="B2017" t="s">
        <v>265</v>
      </c>
    </row>
    <row r="2018" spans="1:2" x14ac:dyDescent="0.25">
      <c r="A2018" t="s">
        <v>345</v>
      </c>
      <c r="B2018" t="s">
        <v>265</v>
      </c>
    </row>
    <row r="2019" spans="1:2" x14ac:dyDescent="0.25">
      <c r="A2019" t="s">
        <v>345</v>
      </c>
      <c r="B2019" t="s">
        <v>265</v>
      </c>
    </row>
    <row r="2020" spans="1:2" x14ac:dyDescent="0.25">
      <c r="A2020" t="s">
        <v>345</v>
      </c>
      <c r="B2020" t="s">
        <v>265</v>
      </c>
    </row>
    <row r="2021" spans="1:2" x14ac:dyDescent="0.25">
      <c r="A2021" t="s">
        <v>345</v>
      </c>
      <c r="B2021" t="s">
        <v>265</v>
      </c>
    </row>
    <row r="2022" spans="1:2" x14ac:dyDescent="0.25">
      <c r="A2022" t="s">
        <v>345</v>
      </c>
      <c r="B2022" t="s">
        <v>265</v>
      </c>
    </row>
    <row r="2023" spans="1:2" x14ac:dyDescent="0.25">
      <c r="A2023" t="s">
        <v>345</v>
      </c>
      <c r="B2023" t="s">
        <v>265</v>
      </c>
    </row>
    <row r="2024" spans="1:2" x14ac:dyDescent="0.25">
      <c r="A2024" t="s">
        <v>345</v>
      </c>
      <c r="B2024" t="s">
        <v>265</v>
      </c>
    </row>
    <row r="2025" spans="1:2" x14ac:dyDescent="0.25">
      <c r="A2025" t="s">
        <v>345</v>
      </c>
      <c r="B2025" t="s">
        <v>265</v>
      </c>
    </row>
    <row r="2026" spans="1:2" x14ac:dyDescent="0.25">
      <c r="A2026" t="s">
        <v>346</v>
      </c>
      <c r="B2026" t="s">
        <v>264</v>
      </c>
    </row>
    <row r="2027" spans="1:2" x14ac:dyDescent="0.25">
      <c r="A2027" t="s">
        <v>346</v>
      </c>
      <c r="B2027" t="s">
        <v>264</v>
      </c>
    </row>
    <row r="2028" spans="1:2" x14ac:dyDescent="0.25">
      <c r="A2028" t="s">
        <v>346</v>
      </c>
      <c r="B2028" t="s">
        <v>264</v>
      </c>
    </row>
    <row r="2029" spans="1:2" x14ac:dyDescent="0.25">
      <c r="A2029" t="s">
        <v>346</v>
      </c>
      <c r="B2029" t="s">
        <v>264</v>
      </c>
    </row>
    <row r="2030" spans="1:2" x14ac:dyDescent="0.25">
      <c r="A2030" t="s">
        <v>346</v>
      </c>
      <c r="B2030" t="s">
        <v>264</v>
      </c>
    </row>
    <row r="2031" spans="1:2" x14ac:dyDescent="0.25">
      <c r="A2031" t="s">
        <v>346</v>
      </c>
      <c r="B2031" t="s">
        <v>264</v>
      </c>
    </row>
    <row r="2032" spans="1:2" x14ac:dyDescent="0.25">
      <c r="A2032" t="s">
        <v>346</v>
      </c>
      <c r="B2032" t="s">
        <v>264</v>
      </c>
    </row>
    <row r="2033" spans="1:2" x14ac:dyDescent="0.25">
      <c r="A2033" t="s">
        <v>346</v>
      </c>
      <c r="B2033" t="s">
        <v>264</v>
      </c>
    </row>
    <row r="2034" spans="1:2" x14ac:dyDescent="0.25">
      <c r="A2034" t="s">
        <v>346</v>
      </c>
      <c r="B2034" t="s">
        <v>264</v>
      </c>
    </row>
    <row r="2035" spans="1:2" x14ac:dyDescent="0.25">
      <c r="A2035" t="s">
        <v>346</v>
      </c>
      <c r="B2035" t="s">
        <v>264</v>
      </c>
    </row>
    <row r="2036" spans="1:2" x14ac:dyDescent="0.25">
      <c r="A2036" t="s">
        <v>346</v>
      </c>
      <c r="B2036" t="s">
        <v>264</v>
      </c>
    </row>
    <row r="2037" spans="1:2" x14ac:dyDescent="0.25">
      <c r="A2037" t="s">
        <v>346</v>
      </c>
      <c r="B2037" t="s">
        <v>264</v>
      </c>
    </row>
    <row r="2038" spans="1:2" x14ac:dyDescent="0.25">
      <c r="A2038" t="s">
        <v>346</v>
      </c>
      <c r="B2038" t="s">
        <v>264</v>
      </c>
    </row>
    <row r="2039" spans="1:2" x14ac:dyDescent="0.25">
      <c r="A2039" t="s">
        <v>346</v>
      </c>
      <c r="B2039" t="s">
        <v>264</v>
      </c>
    </row>
    <row r="2040" spans="1:2" x14ac:dyDescent="0.25">
      <c r="A2040" t="s">
        <v>346</v>
      </c>
      <c r="B2040" t="s">
        <v>264</v>
      </c>
    </row>
    <row r="2041" spans="1:2" x14ac:dyDescent="0.25">
      <c r="A2041" t="s">
        <v>346</v>
      </c>
      <c r="B2041" t="s">
        <v>264</v>
      </c>
    </row>
    <row r="2042" spans="1:2" x14ac:dyDescent="0.25">
      <c r="A2042" t="s">
        <v>346</v>
      </c>
      <c r="B2042" t="s">
        <v>264</v>
      </c>
    </row>
    <row r="2043" spans="1:2" x14ac:dyDescent="0.25">
      <c r="A2043" t="s">
        <v>346</v>
      </c>
      <c r="B2043" t="s">
        <v>264</v>
      </c>
    </row>
    <row r="2044" spans="1:2" x14ac:dyDescent="0.25">
      <c r="A2044" t="s">
        <v>346</v>
      </c>
      <c r="B2044" t="s">
        <v>264</v>
      </c>
    </row>
    <row r="2045" spans="1:2" x14ac:dyDescent="0.25">
      <c r="A2045" t="s">
        <v>346</v>
      </c>
      <c r="B2045" t="s">
        <v>264</v>
      </c>
    </row>
    <row r="2046" spans="1:2" x14ac:dyDescent="0.25">
      <c r="A2046" t="s">
        <v>346</v>
      </c>
      <c r="B2046" t="s">
        <v>264</v>
      </c>
    </row>
    <row r="2047" spans="1:2" x14ac:dyDescent="0.25">
      <c r="A2047" t="s">
        <v>346</v>
      </c>
      <c r="B2047" t="s">
        <v>264</v>
      </c>
    </row>
    <row r="2048" spans="1:2" x14ac:dyDescent="0.25">
      <c r="A2048" t="s">
        <v>347</v>
      </c>
      <c r="B2048" t="s">
        <v>262</v>
      </c>
    </row>
    <row r="2049" spans="1:2" x14ac:dyDescent="0.25">
      <c r="A2049" t="s">
        <v>347</v>
      </c>
      <c r="B2049" t="s">
        <v>262</v>
      </c>
    </row>
    <row r="2050" spans="1:2" x14ac:dyDescent="0.25">
      <c r="A2050" t="s">
        <v>347</v>
      </c>
      <c r="B2050" t="s">
        <v>262</v>
      </c>
    </row>
    <row r="2051" spans="1:2" x14ac:dyDescent="0.25">
      <c r="A2051" t="s">
        <v>347</v>
      </c>
      <c r="B2051" t="s">
        <v>262</v>
      </c>
    </row>
    <row r="2052" spans="1:2" x14ac:dyDescent="0.25">
      <c r="A2052" t="s">
        <v>347</v>
      </c>
      <c r="B2052" t="s">
        <v>262</v>
      </c>
    </row>
    <row r="2053" spans="1:2" x14ac:dyDescent="0.25">
      <c r="A2053" t="s">
        <v>347</v>
      </c>
      <c r="B2053" t="s">
        <v>262</v>
      </c>
    </row>
    <row r="2054" spans="1:2" x14ac:dyDescent="0.25">
      <c r="A2054" t="s">
        <v>347</v>
      </c>
      <c r="B2054" t="s">
        <v>262</v>
      </c>
    </row>
    <row r="2055" spans="1:2" x14ac:dyDescent="0.25">
      <c r="A2055" t="s">
        <v>347</v>
      </c>
      <c r="B2055" t="s">
        <v>262</v>
      </c>
    </row>
    <row r="2056" spans="1:2" x14ac:dyDescent="0.25">
      <c r="A2056" t="s">
        <v>347</v>
      </c>
      <c r="B2056" t="s">
        <v>262</v>
      </c>
    </row>
    <row r="2057" spans="1:2" x14ac:dyDescent="0.25">
      <c r="A2057" t="s">
        <v>347</v>
      </c>
      <c r="B2057" t="s">
        <v>262</v>
      </c>
    </row>
    <row r="2058" spans="1:2" x14ac:dyDescent="0.25">
      <c r="A2058" t="s">
        <v>347</v>
      </c>
      <c r="B2058" t="s">
        <v>262</v>
      </c>
    </row>
    <row r="2059" spans="1:2" x14ac:dyDescent="0.25">
      <c r="A2059" t="s">
        <v>347</v>
      </c>
      <c r="B2059" t="s">
        <v>262</v>
      </c>
    </row>
    <row r="2060" spans="1:2" x14ac:dyDescent="0.25">
      <c r="A2060" t="s">
        <v>347</v>
      </c>
      <c r="B2060" t="s">
        <v>262</v>
      </c>
    </row>
    <row r="2061" spans="1:2" x14ac:dyDescent="0.25">
      <c r="A2061" t="s">
        <v>347</v>
      </c>
      <c r="B2061" t="s">
        <v>262</v>
      </c>
    </row>
    <row r="2062" spans="1:2" x14ac:dyDescent="0.25">
      <c r="A2062" t="s">
        <v>347</v>
      </c>
      <c r="B2062" t="s">
        <v>262</v>
      </c>
    </row>
    <row r="2063" spans="1:2" x14ac:dyDescent="0.25">
      <c r="A2063" t="s">
        <v>347</v>
      </c>
      <c r="B2063" t="s">
        <v>262</v>
      </c>
    </row>
    <row r="2064" spans="1:2" x14ac:dyDescent="0.25">
      <c r="A2064" t="s">
        <v>347</v>
      </c>
      <c r="B2064" t="s">
        <v>262</v>
      </c>
    </row>
    <row r="2065" spans="1:2" x14ac:dyDescent="0.25">
      <c r="A2065" t="s">
        <v>347</v>
      </c>
      <c r="B2065" t="s">
        <v>262</v>
      </c>
    </row>
    <row r="2066" spans="1:2" x14ac:dyDescent="0.25">
      <c r="A2066" t="s">
        <v>347</v>
      </c>
      <c r="B2066" t="s">
        <v>262</v>
      </c>
    </row>
    <row r="2067" spans="1:2" x14ac:dyDescent="0.25">
      <c r="A2067" t="s">
        <v>347</v>
      </c>
      <c r="B2067" t="s">
        <v>262</v>
      </c>
    </row>
    <row r="2068" spans="1:2" x14ac:dyDescent="0.25">
      <c r="A2068" t="s">
        <v>347</v>
      </c>
      <c r="B2068" t="s">
        <v>262</v>
      </c>
    </row>
    <row r="2069" spans="1:2" x14ac:dyDescent="0.25">
      <c r="A2069" t="s">
        <v>347</v>
      </c>
      <c r="B2069" t="s">
        <v>262</v>
      </c>
    </row>
    <row r="2070" spans="1:2" x14ac:dyDescent="0.25">
      <c r="A2070" t="s">
        <v>347</v>
      </c>
      <c r="B2070" t="s">
        <v>262</v>
      </c>
    </row>
    <row r="2071" spans="1:2" x14ac:dyDescent="0.25">
      <c r="A2071" t="s">
        <v>347</v>
      </c>
      <c r="B2071" t="s">
        <v>262</v>
      </c>
    </row>
    <row r="2072" spans="1:2" x14ac:dyDescent="0.25">
      <c r="A2072" t="s">
        <v>347</v>
      </c>
      <c r="B2072" t="s">
        <v>262</v>
      </c>
    </row>
    <row r="2073" spans="1:2" x14ac:dyDescent="0.25">
      <c r="A2073" t="s">
        <v>347</v>
      </c>
      <c r="B2073" t="s">
        <v>262</v>
      </c>
    </row>
    <row r="2074" spans="1:2" x14ac:dyDescent="0.25">
      <c r="A2074" t="s">
        <v>348</v>
      </c>
      <c r="B2074" t="s">
        <v>264</v>
      </c>
    </row>
    <row r="2075" spans="1:2" x14ac:dyDescent="0.25">
      <c r="A2075" t="s">
        <v>348</v>
      </c>
      <c r="B2075" t="s">
        <v>264</v>
      </c>
    </row>
    <row r="2076" spans="1:2" x14ac:dyDescent="0.25">
      <c r="A2076" t="s">
        <v>348</v>
      </c>
      <c r="B2076" t="s">
        <v>264</v>
      </c>
    </row>
    <row r="2077" spans="1:2" x14ac:dyDescent="0.25">
      <c r="A2077" t="s">
        <v>348</v>
      </c>
      <c r="B2077" t="s">
        <v>264</v>
      </c>
    </row>
    <row r="2078" spans="1:2" x14ac:dyDescent="0.25">
      <c r="A2078" t="s">
        <v>348</v>
      </c>
      <c r="B2078" t="s">
        <v>264</v>
      </c>
    </row>
    <row r="2079" spans="1:2" x14ac:dyDescent="0.25">
      <c r="A2079" t="s">
        <v>348</v>
      </c>
      <c r="B2079" t="s">
        <v>264</v>
      </c>
    </row>
    <row r="2080" spans="1:2" x14ac:dyDescent="0.25">
      <c r="A2080" t="s">
        <v>348</v>
      </c>
      <c r="B2080" t="s">
        <v>264</v>
      </c>
    </row>
    <row r="2081" spans="1:2" x14ac:dyDescent="0.25">
      <c r="A2081" t="s">
        <v>348</v>
      </c>
      <c r="B2081" t="s">
        <v>264</v>
      </c>
    </row>
    <row r="2082" spans="1:2" x14ac:dyDescent="0.25">
      <c r="A2082" t="s">
        <v>348</v>
      </c>
      <c r="B2082" t="s">
        <v>264</v>
      </c>
    </row>
    <row r="2083" spans="1:2" x14ac:dyDescent="0.25">
      <c r="A2083" t="s">
        <v>348</v>
      </c>
      <c r="B2083" t="s">
        <v>264</v>
      </c>
    </row>
    <row r="2084" spans="1:2" x14ac:dyDescent="0.25">
      <c r="A2084" t="s">
        <v>348</v>
      </c>
      <c r="B2084" t="s">
        <v>264</v>
      </c>
    </row>
    <row r="2085" spans="1:2" x14ac:dyDescent="0.25">
      <c r="A2085" t="s">
        <v>348</v>
      </c>
      <c r="B2085" t="s">
        <v>264</v>
      </c>
    </row>
    <row r="2086" spans="1:2" x14ac:dyDescent="0.25">
      <c r="A2086" t="s">
        <v>348</v>
      </c>
      <c r="B2086" t="s">
        <v>264</v>
      </c>
    </row>
    <row r="2087" spans="1:2" x14ac:dyDescent="0.25">
      <c r="A2087" t="s">
        <v>348</v>
      </c>
      <c r="B2087" t="s">
        <v>264</v>
      </c>
    </row>
    <row r="2088" spans="1:2" x14ac:dyDescent="0.25">
      <c r="A2088" t="s">
        <v>348</v>
      </c>
      <c r="B2088" t="s">
        <v>264</v>
      </c>
    </row>
    <row r="2089" spans="1:2" x14ac:dyDescent="0.25">
      <c r="A2089" t="s">
        <v>348</v>
      </c>
      <c r="B2089" t="s">
        <v>264</v>
      </c>
    </row>
    <row r="2090" spans="1:2" x14ac:dyDescent="0.25">
      <c r="A2090" t="s">
        <v>348</v>
      </c>
      <c r="B2090" t="s">
        <v>264</v>
      </c>
    </row>
    <row r="2091" spans="1:2" x14ac:dyDescent="0.25">
      <c r="A2091" t="s">
        <v>348</v>
      </c>
      <c r="B2091" t="s">
        <v>264</v>
      </c>
    </row>
    <row r="2092" spans="1:2" x14ac:dyDescent="0.25">
      <c r="A2092" t="s">
        <v>348</v>
      </c>
      <c r="B2092" t="s">
        <v>264</v>
      </c>
    </row>
    <row r="2093" spans="1:2" x14ac:dyDescent="0.25">
      <c r="A2093" t="s">
        <v>348</v>
      </c>
      <c r="B2093" t="s">
        <v>264</v>
      </c>
    </row>
    <row r="2094" spans="1:2" x14ac:dyDescent="0.25">
      <c r="A2094" t="s">
        <v>348</v>
      </c>
      <c r="B2094" t="s">
        <v>264</v>
      </c>
    </row>
    <row r="2095" spans="1:2" x14ac:dyDescent="0.25">
      <c r="A2095" t="s">
        <v>348</v>
      </c>
      <c r="B2095" t="s">
        <v>264</v>
      </c>
    </row>
    <row r="2096" spans="1:2" x14ac:dyDescent="0.25">
      <c r="A2096" t="s">
        <v>348</v>
      </c>
      <c r="B2096" t="s">
        <v>264</v>
      </c>
    </row>
    <row r="2097" spans="1:2" x14ac:dyDescent="0.25">
      <c r="A2097" t="s">
        <v>348</v>
      </c>
      <c r="B2097" t="s">
        <v>264</v>
      </c>
    </row>
    <row r="2098" spans="1:2" x14ac:dyDescent="0.25">
      <c r="A2098" t="s">
        <v>348</v>
      </c>
      <c r="B2098" t="s">
        <v>264</v>
      </c>
    </row>
    <row r="2099" spans="1:2" x14ac:dyDescent="0.25">
      <c r="A2099" t="s">
        <v>348</v>
      </c>
      <c r="B2099" t="s">
        <v>264</v>
      </c>
    </row>
    <row r="2100" spans="1:2" x14ac:dyDescent="0.25">
      <c r="A2100" t="s">
        <v>349</v>
      </c>
      <c r="B2100" t="s">
        <v>265</v>
      </c>
    </row>
    <row r="2101" spans="1:2" x14ac:dyDescent="0.25">
      <c r="A2101" t="s">
        <v>349</v>
      </c>
      <c r="B2101" t="s">
        <v>265</v>
      </c>
    </row>
    <row r="2102" spans="1:2" x14ac:dyDescent="0.25">
      <c r="A2102" t="s">
        <v>349</v>
      </c>
      <c r="B2102" t="s">
        <v>265</v>
      </c>
    </row>
    <row r="2103" spans="1:2" x14ac:dyDescent="0.25">
      <c r="A2103" t="s">
        <v>349</v>
      </c>
      <c r="B2103" t="s">
        <v>265</v>
      </c>
    </row>
    <row r="2104" spans="1:2" x14ac:dyDescent="0.25">
      <c r="A2104" t="s">
        <v>349</v>
      </c>
      <c r="B2104" t="s">
        <v>265</v>
      </c>
    </row>
    <row r="2105" spans="1:2" x14ac:dyDescent="0.25">
      <c r="A2105" t="s">
        <v>349</v>
      </c>
      <c r="B2105" t="s">
        <v>265</v>
      </c>
    </row>
    <row r="2106" spans="1:2" x14ac:dyDescent="0.25">
      <c r="A2106" t="s">
        <v>349</v>
      </c>
      <c r="B2106" t="s">
        <v>265</v>
      </c>
    </row>
    <row r="2107" spans="1:2" x14ac:dyDescent="0.25">
      <c r="A2107" t="s">
        <v>349</v>
      </c>
      <c r="B2107" t="s">
        <v>265</v>
      </c>
    </row>
    <row r="2108" spans="1:2" x14ac:dyDescent="0.25">
      <c r="A2108" t="s">
        <v>349</v>
      </c>
      <c r="B2108" t="s">
        <v>265</v>
      </c>
    </row>
    <row r="2109" spans="1:2" x14ac:dyDescent="0.25">
      <c r="A2109" t="s">
        <v>349</v>
      </c>
      <c r="B2109" t="s">
        <v>265</v>
      </c>
    </row>
    <row r="2110" spans="1:2" x14ac:dyDescent="0.25">
      <c r="A2110" t="s">
        <v>349</v>
      </c>
      <c r="B2110" t="s">
        <v>265</v>
      </c>
    </row>
    <row r="2111" spans="1:2" x14ac:dyDescent="0.25">
      <c r="A2111" t="s">
        <v>349</v>
      </c>
      <c r="B2111" t="s">
        <v>265</v>
      </c>
    </row>
    <row r="2112" spans="1:2" x14ac:dyDescent="0.25">
      <c r="A2112" t="s">
        <v>349</v>
      </c>
      <c r="B2112" t="s">
        <v>265</v>
      </c>
    </row>
    <row r="2113" spans="1:2" x14ac:dyDescent="0.25">
      <c r="A2113" t="s">
        <v>349</v>
      </c>
      <c r="B2113" t="s">
        <v>265</v>
      </c>
    </row>
    <row r="2114" spans="1:2" x14ac:dyDescent="0.25">
      <c r="A2114" t="s">
        <v>349</v>
      </c>
      <c r="B2114" t="s">
        <v>265</v>
      </c>
    </row>
    <row r="2115" spans="1:2" x14ac:dyDescent="0.25">
      <c r="A2115" t="s">
        <v>349</v>
      </c>
      <c r="B2115" t="s">
        <v>265</v>
      </c>
    </row>
    <row r="2116" spans="1:2" x14ac:dyDescent="0.25">
      <c r="A2116" t="s">
        <v>349</v>
      </c>
      <c r="B2116" t="s">
        <v>265</v>
      </c>
    </row>
    <row r="2117" spans="1:2" x14ac:dyDescent="0.25">
      <c r="A2117" t="s">
        <v>349</v>
      </c>
      <c r="B2117" t="s">
        <v>265</v>
      </c>
    </row>
    <row r="2118" spans="1:2" x14ac:dyDescent="0.25">
      <c r="A2118" t="s">
        <v>349</v>
      </c>
      <c r="B2118" t="s">
        <v>265</v>
      </c>
    </row>
    <row r="2119" spans="1:2" x14ac:dyDescent="0.25">
      <c r="A2119" t="s">
        <v>349</v>
      </c>
      <c r="B2119" t="s">
        <v>265</v>
      </c>
    </row>
    <row r="2120" spans="1:2" x14ac:dyDescent="0.25">
      <c r="A2120" t="s">
        <v>349</v>
      </c>
      <c r="B2120" t="s">
        <v>265</v>
      </c>
    </row>
    <row r="2121" spans="1:2" x14ac:dyDescent="0.25">
      <c r="A2121" t="s">
        <v>349</v>
      </c>
      <c r="B2121" t="s">
        <v>265</v>
      </c>
    </row>
    <row r="2122" spans="1:2" x14ac:dyDescent="0.25">
      <c r="A2122" t="s">
        <v>349</v>
      </c>
      <c r="B2122" t="s">
        <v>265</v>
      </c>
    </row>
    <row r="2123" spans="1:2" x14ac:dyDescent="0.25">
      <c r="A2123" t="s">
        <v>349</v>
      </c>
      <c r="B2123" t="s">
        <v>265</v>
      </c>
    </row>
    <row r="2124" spans="1:2" x14ac:dyDescent="0.25">
      <c r="A2124" t="s">
        <v>350</v>
      </c>
      <c r="B2124" t="s">
        <v>262</v>
      </c>
    </row>
    <row r="2125" spans="1:2" x14ac:dyDescent="0.25">
      <c r="A2125" t="s">
        <v>350</v>
      </c>
      <c r="B2125" t="s">
        <v>262</v>
      </c>
    </row>
    <row r="2126" spans="1:2" x14ac:dyDescent="0.25">
      <c r="A2126" t="s">
        <v>350</v>
      </c>
      <c r="B2126" t="s">
        <v>262</v>
      </c>
    </row>
    <row r="2127" spans="1:2" x14ac:dyDescent="0.25">
      <c r="A2127" t="s">
        <v>350</v>
      </c>
      <c r="B2127" t="s">
        <v>262</v>
      </c>
    </row>
    <row r="2128" spans="1:2" x14ac:dyDescent="0.25">
      <c r="A2128" t="s">
        <v>350</v>
      </c>
      <c r="B2128" t="s">
        <v>262</v>
      </c>
    </row>
    <row r="2129" spans="1:2" x14ac:dyDescent="0.25">
      <c r="A2129" t="s">
        <v>350</v>
      </c>
      <c r="B2129" t="s">
        <v>262</v>
      </c>
    </row>
    <row r="2130" spans="1:2" x14ac:dyDescent="0.25">
      <c r="A2130" t="s">
        <v>350</v>
      </c>
      <c r="B2130" t="s">
        <v>262</v>
      </c>
    </row>
    <row r="2131" spans="1:2" x14ac:dyDescent="0.25">
      <c r="A2131" t="s">
        <v>350</v>
      </c>
      <c r="B2131" t="s">
        <v>262</v>
      </c>
    </row>
    <row r="2132" spans="1:2" x14ac:dyDescent="0.25">
      <c r="A2132" t="s">
        <v>350</v>
      </c>
      <c r="B2132" t="s">
        <v>262</v>
      </c>
    </row>
    <row r="2133" spans="1:2" x14ac:dyDescent="0.25">
      <c r="A2133" t="s">
        <v>350</v>
      </c>
      <c r="B2133" t="s">
        <v>262</v>
      </c>
    </row>
    <row r="2134" spans="1:2" x14ac:dyDescent="0.25">
      <c r="A2134" t="s">
        <v>350</v>
      </c>
      <c r="B2134" t="s">
        <v>262</v>
      </c>
    </row>
    <row r="2135" spans="1:2" x14ac:dyDescent="0.25">
      <c r="A2135" t="s">
        <v>350</v>
      </c>
      <c r="B2135" t="s">
        <v>262</v>
      </c>
    </row>
    <row r="2136" spans="1:2" x14ac:dyDescent="0.25">
      <c r="A2136" t="s">
        <v>350</v>
      </c>
      <c r="B2136" t="s">
        <v>262</v>
      </c>
    </row>
    <row r="2137" spans="1:2" x14ac:dyDescent="0.25">
      <c r="A2137" t="s">
        <v>350</v>
      </c>
      <c r="B2137" t="s">
        <v>262</v>
      </c>
    </row>
    <row r="2138" spans="1:2" x14ac:dyDescent="0.25">
      <c r="A2138" t="s">
        <v>350</v>
      </c>
      <c r="B2138" t="s">
        <v>262</v>
      </c>
    </row>
    <row r="2139" spans="1:2" x14ac:dyDescent="0.25">
      <c r="A2139" t="s">
        <v>350</v>
      </c>
      <c r="B2139" t="s">
        <v>262</v>
      </c>
    </row>
    <row r="2140" spans="1:2" x14ac:dyDescent="0.25">
      <c r="A2140" t="s">
        <v>350</v>
      </c>
      <c r="B2140" t="s">
        <v>262</v>
      </c>
    </row>
    <row r="2141" spans="1:2" x14ac:dyDescent="0.25">
      <c r="A2141" t="s">
        <v>350</v>
      </c>
      <c r="B2141" t="s">
        <v>262</v>
      </c>
    </row>
    <row r="2142" spans="1:2" x14ac:dyDescent="0.25">
      <c r="A2142" t="s">
        <v>350</v>
      </c>
      <c r="B2142" t="s">
        <v>262</v>
      </c>
    </row>
    <row r="2143" spans="1:2" x14ac:dyDescent="0.25">
      <c r="A2143" t="s">
        <v>350</v>
      </c>
      <c r="B2143" t="s">
        <v>262</v>
      </c>
    </row>
    <row r="2144" spans="1:2" x14ac:dyDescent="0.25">
      <c r="A2144" t="s">
        <v>350</v>
      </c>
      <c r="B2144" t="s">
        <v>262</v>
      </c>
    </row>
    <row r="2145" spans="1:2" x14ac:dyDescent="0.25">
      <c r="A2145" t="s">
        <v>350</v>
      </c>
      <c r="B2145" t="s">
        <v>262</v>
      </c>
    </row>
    <row r="2146" spans="1:2" x14ac:dyDescent="0.25">
      <c r="A2146" t="s">
        <v>350</v>
      </c>
      <c r="B2146" t="s">
        <v>262</v>
      </c>
    </row>
    <row r="2147" spans="1:2" x14ac:dyDescent="0.25">
      <c r="A2147" t="s">
        <v>350</v>
      </c>
      <c r="B2147" t="s">
        <v>262</v>
      </c>
    </row>
    <row r="2148" spans="1:2" x14ac:dyDescent="0.25">
      <c r="A2148" t="s">
        <v>351</v>
      </c>
      <c r="B2148" t="s">
        <v>263</v>
      </c>
    </row>
    <row r="2149" spans="1:2" x14ac:dyDescent="0.25">
      <c r="A2149" t="s">
        <v>351</v>
      </c>
      <c r="B2149" t="s">
        <v>263</v>
      </c>
    </row>
    <row r="2150" spans="1:2" x14ac:dyDescent="0.25">
      <c r="A2150" t="s">
        <v>351</v>
      </c>
      <c r="B2150" t="s">
        <v>263</v>
      </c>
    </row>
    <row r="2151" spans="1:2" x14ac:dyDescent="0.25">
      <c r="A2151" t="s">
        <v>351</v>
      </c>
      <c r="B2151" t="s">
        <v>263</v>
      </c>
    </row>
    <row r="2152" spans="1:2" x14ac:dyDescent="0.25">
      <c r="A2152" t="s">
        <v>351</v>
      </c>
      <c r="B2152" t="s">
        <v>263</v>
      </c>
    </row>
    <row r="2153" spans="1:2" x14ac:dyDescent="0.25">
      <c r="A2153" t="s">
        <v>351</v>
      </c>
      <c r="B2153" t="s">
        <v>263</v>
      </c>
    </row>
    <row r="2154" spans="1:2" x14ac:dyDescent="0.25">
      <c r="A2154" t="s">
        <v>351</v>
      </c>
      <c r="B2154" t="s">
        <v>263</v>
      </c>
    </row>
    <row r="2155" spans="1:2" x14ac:dyDescent="0.25">
      <c r="A2155" t="s">
        <v>351</v>
      </c>
      <c r="B2155" t="s">
        <v>263</v>
      </c>
    </row>
    <row r="2156" spans="1:2" x14ac:dyDescent="0.25">
      <c r="A2156" t="s">
        <v>351</v>
      </c>
      <c r="B2156" t="s">
        <v>263</v>
      </c>
    </row>
    <row r="2157" spans="1:2" x14ac:dyDescent="0.25">
      <c r="A2157" t="s">
        <v>351</v>
      </c>
      <c r="B2157" t="s">
        <v>263</v>
      </c>
    </row>
    <row r="2158" spans="1:2" x14ac:dyDescent="0.25">
      <c r="A2158" t="s">
        <v>351</v>
      </c>
      <c r="B2158" t="s">
        <v>263</v>
      </c>
    </row>
    <row r="2159" spans="1:2" x14ac:dyDescent="0.25">
      <c r="A2159" t="s">
        <v>351</v>
      </c>
      <c r="B2159" t="s">
        <v>263</v>
      </c>
    </row>
    <row r="2160" spans="1:2" x14ac:dyDescent="0.25">
      <c r="A2160" t="s">
        <v>351</v>
      </c>
      <c r="B2160" t="s">
        <v>263</v>
      </c>
    </row>
    <row r="2161" spans="1:2" x14ac:dyDescent="0.25">
      <c r="A2161" t="s">
        <v>351</v>
      </c>
      <c r="B2161" t="s">
        <v>263</v>
      </c>
    </row>
    <row r="2162" spans="1:2" x14ac:dyDescent="0.25">
      <c r="A2162" t="s">
        <v>351</v>
      </c>
      <c r="B2162" t="s">
        <v>263</v>
      </c>
    </row>
    <row r="2163" spans="1:2" x14ac:dyDescent="0.25">
      <c r="A2163" t="s">
        <v>351</v>
      </c>
      <c r="B2163" t="s">
        <v>263</v>
      </c>
    </row>
    <row r="2164" spans="1:2" x14ac:dyDescent="0.25">
      <c r="A2164" t="s">
        <v>351</v>
      </c>
      <c r="B2164" t="s">
        <v>263</v>
      </c>
    </row>
    <row r="2165" spans="1:2" x14ac:dyDescent="0.25">
      <c r="A2165" t="s">
        <v>351</v>
      </c>
      <c r="B2165" t="s">
        <v>263</v>
      </c>
    </row>
    <row r="2166" spans="1:2" x14ac:dyDescent="0.25">
      <c r="A2166" t="s">
        <v>351</v>
      </c>
      <c r="B2166" t="s">
        <v>263</v>
      </c>
    </row>
    <row r="2167" spans="1:2" x14ac:dyDescent="0.25">
      <c r="A2167" t="s">
        <v>351</v>
      </c>
      <c r="B2167" t="s">
        <v>263</v>
      </c>
    </row>
    <row r="2168" spans="1:2" x14ac:dyDescent="0.25">
      <c r="A2168" t="s">
        <v>351</v>
      </c>
      <c r="B2168" t="s">
        <v>263</v>
      </c>
    </row>
    <row r="2169" spans="1:2" x14ac:dyDescent="0.25">
      <c r="A2169" t="s">
        <v>351</v>
      </c>
      <c r="B2169" t="s">
        <v>263</v>
      </c>
    </row>
    <row r="2170" spans="1:2" x14ac:dyDescent="0.25">
      <c r="A2170" t="s">
        <v>351</v>
      </c>
      <c r="B2170" t="s">
        <v>263</v>
      </c>
    </row>
    <row r="2171" spans="1:2" x14ac:dyDescent="0.25">
      <c r="A2171" t="s">
        <v>351</v>
      </c>
      <c r="B2171" t="s">
        <v>263</v>
      </c>
    </row>
    <row r="2172" spans="1:2" x14ac:dyDescent="0.25">
      <c r="A2172" t="s">
        <v>351</v>
      </c>
      <c r="B2172" t="s">
        <v>263</v>
      </c>
    </row>
    <row r="2173" spans="1:2" x14ac:dyDescent="0.25">
      <c r="A2173" t="s">
        <v>351</v>
      </c>
      <c r="B2173" t="s">
        <v>263</v>
      </c>
    </row>
    <row r="2174" spans="1:2" x14ac:dyDescent="0.25">
      <c r="A2174" t="s">
        <v>351</v>
      </c>
      <c r="B2174" t="s">
        <v>263</v>
      </c>
    </row>
    <row r="2175" spans="1:2" x14ac:dyDescent="0.25">
      <c r="A2175" t="s">
        <v>352</v>
      </c>
      <c r="B2175" t="s">
        <v>261</v>
      </c>
    </row>
    <row r="2176" spans="1:2" x14ac:dyDescent="0.25">
      <c r="A2176" t="s">
        <v>352</v>
      </c>
      <c r="B2176" t="s">
        <v>261</v>
      </c>
    </row>
    <row r="2177" spans="1:2" x14ac:dyDescent="0.25">
      <c r="A2177" t="s">
        <v>352</v>
      </c>
      <c r="B2177" t="s">
        <v>261</v>
      </c>
    </row>
    <row r="2178" spans="1:2" x14ac:dyDescent="0.25">
      <c r="A2178" t="s">
        <v>352</v>
      </c>
      <c r="B2178" t="s">
        <v>261</v>
      </c>
    </row>
    <row r="2179" spans="1:2" x14ac:dyDescent="0.25">
      <c r="A2179" t="s">
        <v>352</v>
      </c>
      <c r="B2179" t="s">
        <v>261</v>
      </c>
    </row>
    <row r="2180" spans="1:2" x14ac:dyDescent="0.25">
      <c r="A2180" t="s">
        <v>352</v>
      </c>
      <c r="B2180" t="s">
        <v>261</v>
      </c>
    </row>
    <row r="2181" spans="1:2" x14ac:dyDescent="0.25">
      <c r="A2181" t="s">
        <v>352</v>
      </c>
      <c r="B2181" t="s">
        <v>261</v>
      </c>
    </row>
    <row r="2182" spans="1:2" x14ac:dyDescent="0.25">
      <c r="A2182" t="s">
        <v>352</v>
      </c>
      <c r="B2182" t="s">
        <v>261</v>
      </c>
    </row>
    <row r="2183" spans="1:2" x14ac:dyDescent="0.25">
      <c r="A2183" t="s">
        <v>352</v>
      </c>
      <c r="B2183" t="s">
        <v>261</v>
      </c>
    </row>
    <row r="2184" spans="1:2" x14ac:dyDescent="0.25">
      <c r="A2184" t="s">
        <v>352</v>
      </c>
      <c r="B2184" t="s">
        <v>261</v>
      </c>
    </row>
    <row r="2185" spans="1:2" x14ac:dyDescent="0.25">
      <c r="A2185" t="s">
        <v>352</v>
      </c>
      <c r="B2185" t="s">
        <v>261</v>
      </c>
    </row>
    <row r="2186" spans="1:2" x14ac:dyDescent="0.25">
      <c r="A2186" t="s">
        <v>352</v>
      </c>
      <c r="B2186" t="s">
        <v>261</v>
      </c>
    </row>
    <row r="2187" spans="1:2" x14ac:dyDescent="0.25">
      <c r="A2187" t="s">
        <v>352</v>
      </c>
      <c r="B2187" t="s">
        <v>261</v>
      </c>
    </row>
    <row r="2188" spans="1:2" x14ac:dyDescent="0.25">
      <c r="A2188" t="s">
        <v>352</v>
      </c>
      <c r="B2188" t="s">
        <v>261</v>
      </c>
    </row>
    <row r="2189" spans="1:2" x14ac:dyDescent="0.25">
      <c r="A2189" t="s">
        <v>352</v>
      </c>
      <c r="B2189" t="s">
        <v>261</v>
      </c>
    </row>
    <row r="2190" spans="1:2" x14ac:dyDescent="0.25">
      <c r="A2190" t="s">
        <v>352</v>
      </c>
      <c r="B2190" t="s">
        <v>261</v>
      </c>
    </row>
    <row r="2191" spans="1:2" x14ac:dyDescent="0.25">
      <c r="A2191" t="s">
        <v>352</v>
      </c>
      <c r="B2191" t="s">
        <v>261</v>
      </c>
    </row>
    <row r="2192" spans="1:2" x14ac:dyDescent="0.25">
      <c r="A2192" t="s">
        <v>352</v>
      </c>
      <c r="B2192" t="s">
        <v>261</v>
      </c>
    </row>
    <row r="2193" spans="1:2" x14ac:dyDescent="0.25">
      <c r="A2193" t="s">
        <v>352</v>
      </c>
      <c r="B2193" t="s">
        <v>261</v>
      </c>
    </row>
    <row r="2194" spans="1:2" x14ac:dyDescent="0.25">
      <c r="A2194" t="s">
        <v>352</v>
      </c>
      <c r="B2194" t="s">
        <v>261</v>
      </c>
    </row>
    <row r="2195" spans="1:2" x14ac:dyDescent="0.25">
      <c r="A2195" t="s">
        <v>352</v>
      </c>
      <c r="B2195" t="s">
        <v>261</v>
      </c>
    </row>
    <row r="2196" spans="1:2" x14ac:dyDescent="0.25">
      <c r="A2196" t="s">
        <v>352</v>
      </c>
      <c r="B2196" t="s">
        <v>261</v>
      </c>
    </row>
    <row r="2197" spans="1:2" x14ac:dyDescent="0.25">
      <c r="A2197" t="s">
        <v>352</v>
      </c>
      <c r="B2197" t="s">
        <v>261</v>
      </c>
    </row>
    <row r="2198" spans="1:2" x14ac:dyDescent="0.25">
      <c r="A2198" t="s">
        <v>352</v>
      </c>
      <c r="B2198" t="s">
        <v>261</v>
      </c>
    </row>
    <row r="2199" spans="1:2" x14ac:dyDescent="0.25">
      <c r="A2199" t="s">
        <v>353</v>
      </c>
      <c r="B2199" t="s">
        <v>261</v>
      </c>
    </row>
    <row r="2200" spans="1:2" x14ac:dyDescent="0.25">
      <c r="A2200" t="s">
        <v>353</v>
      </c>
      <c r="B2200" t="s">
        <v>261</v>
      </c>
    </row>
    <row r="2201" spans="1:2" x14ac:dyDescent="0.25">
      <c r="A2201" t="s">
        <v>353</v>
      </c>
      <c r="B2201" t="s">
        <v>261</v>
      </c>
    </row>
    <row r="2202" spans="1:2" x14ac:dyDescent="0.25">
      <c r="A2202" t="s">
        <v>353</v>
      </c>
      <c r="B2202" t="s">
        <v>261</v>
      </c>
    </row>
    <row r="2203" spans="1:2" x14ac:dyDescent="0.25">
      <c r="A2203" t="s">
        <v>353</v>
      </c>
      <c r="B2203" t="s">
        <v>261</v>
      </c>
    </row>
    <row r="2204" spans="1:2" x14ac:dyDescent="0.25">
      <c r="A2204" t="s">
        <v>353</v>
      </c>
      <c r="B2204" t="s">
        <v>261</v>
      </c>
    </row>
    <row r="2205" spans="1:2" x14ac:dyDescent="0.25">
      <c r="A2205" t="s">
        <v>353</v>
      </c>
      <c r="B2205" t="s">
        <v>261</v>
      </c>
    </row>
    <row r="2206" spans="1:2" x14ac:dyDescent="0.25">
      <c r="A2206" t="s">
        <v>353</v>
      </c>
      <c r="B2206" t="s">
        <v>261</v>
      </c>
    </row>
    <row r="2207" spans="1:2" x14ac:dyDescent="0.25">
      <c r="A2207" t="s">
        <v>353</v>
      </c>
      <c r="B2207" t="s">
        <v>261</v>
      </c>
    </row>
    <row r="2208" spans="1:2" x14ac:dyDescent="0.25">
      <c r="A2208" t="s">
        <v>353</v>
      </c>
      <c r="B2208" t="s">
        <v>261</v>
      </c>
    </row>
    <row r="2209" spans="1:2" x14ac:dyDescent="0.25">
      <c r="A2209" t="s">
        <v>353</v>
      </c>
      <c r="B2209" t="s">
        <v>261</v>
      </c>
    </row>
    <row r="2210" spans="1:2" x14ac:dyDescent="0.25">
      <c r="A2210" t="s">
        <v>353</v>
      </c>
      <c r="B2210" t="s">
        <v>261</v>
      </c>
    </row>
    <row r="2211" spans="1:2" x14ac:dyDescent="0.25">
      <c r="A2211" t="s">
        <v>353</v>
      </c>
      <c r="B2211" t="s">
        <v>261</v>
      </c>
    </row>
    <row r="2212" spans="1:2" x14ac:dyDescent="0.25">
      <c r="A2212" t="s">
        <v>353</v>
      </c>
      <c r="B2212" t="s">
        <v>261</v>
      </c>
    </row>
    <row r="2213" spans="1:2" x14ac:dyDescent="0.25">
      <c r="A2213" t="s">
        <v>353</v>
      </c>
      <c r="B2213" t="s">
        <v>261</v>
      </c>
    </row>
    <row r="2214" spans="1:2" x14ac:dyDescent="0.25">
      <c r="A2214" t="s">
        <v>353</v>
      </c>
      <c r="B2214" t="s">
        <v>261</v>
      </c>
    </row>
    <row r="2215" spans="1:2" x14ac:dyDescent="0.25">
      <c r="A2215" t="s">
        <v>353</v>
      </c>
      <c r="B2215" t="s">
        <v>261</v>
      </c>
    </row>
    <row r="2216" spans="1:2" x14ac:dyDescent="0.25">
      <c r="A2216" t="s">
        <v>353</v>
      </c>
      <c r="B2216" t="s">
        <v>261</v>
      </c>
    </row>
    <row r="2217" spans="1:2" x14ac:dyDescent="0.25">
      <c r="A2217" t="s">
        <v>353</v>
      </c>
      <c r="B2217" t="s">
        <v>261</v>
      </c>
    </row>
    <row r="2218" spans="1:2" x14ac:dyDescent="0.25">
      <c r="A2218" t="s">
        <v>353</v>
      </c>
      <c r="B2218" t="s">
        <v>261</v>
      </c>
    </row>
    <row r="2219" spans="1:2" x14ac:dyDescent="0.25">
      <c r="A2219" t="s">
        <v>353</v>
      </c>
      <c r="B2219" t="s">
        <v>261</v>
      </c>
    </row>
    <row r="2220" spans="1:2" x14ac:dyDescent="0.25">
      <c r="A2220" t="s">
        <v>353</v>
      </c>
      <c r="B2220" t="s">
        <v>261</v>
      </c>
    </row>
    <row r="2221" spans="1:2" x14ac:dyDescent="0.25">
      <c r="A2221" t="s">
        <v>353</v>
      </c>
      <c r="B2221" t="s">
        <v>261</v>
      </c>
    </row>
    <row r="2222" spans="1:2" x14ac:dyDescent="0.25">
      <c r="A2222" t="s">
        <v>353</v>
      </c>
      <c r="B2222" t="s">
        <v>261</v>
      </c>
    </row>
    <row r="2223" spans="1:2" x14ac:dyDescent="0.25">
      <c r="A2223" t="s">
        <v>353</v>
      </c>
      <c r="B2223" t="s">
        <v>261</v>
      </c>
    </row>
    <row r="2224" spans="1:2" x14ac:dyDescent="0.25">
      <c r="A2224" t="s">
        <v>354</v>
      </c>
      <c r="B2224" t="s">
        <v>263</v>
      </c>
    </row>
    <row r="2225" spans="1:2" x14ac:dyDescent="0.25">
      <c r="A2225" t="s">
        <v>354</v>
      </c>
      <c r="B2225" t="s">
        <v>263</v>
      </c>
    </row>
    <row r="2226" spans="1:2" x14ac:dyDescent="0.25">
      <c r="A2226" t="s">
        <v>354</v>
      </c>
      <c r="B2226" t="s">
        <v>263</v>
      </c>
    </row>
    <row r="2227" spans="1:2" x14ac:dyDescent="0.25">
      <c r="A2227" t="s">
        <v>354</v>
      </c>
      <c r="B2227" t="s">
        <v>263</v>
      </c>
    </row>
    <row r="2228" spans="1:2" x14ac:dyDescent="0.25">
      <c r="A2228" t="s">
        <v>354</v>
      </c>
      <c r="B2228" t="s">
        <v>263</v>
      </c>
    </row>
    <row r="2229" spans="1:2" x14ac:dyDescent="0.25">
      <c r="A2229" t="s">
        <v>354</v>
      </c>
      <c r="B2229" t="s">
        <v>263</v>
      </c>
    </row>
    <row r="2230" spans="1:2" x14ac:dyDescent="0.25">
      <c r="A2230" t="s">
        <v>354</v>
      </c>
      <c r="B2230" t="s">
        <v>263</v>
      </c>
    </row>
    <row r="2231" spans="1:2" x14ac:dyDescent="0.25">
      <c r="A2231" t="s">
        <v>354</v>
      </c>
      <c r="B2231" t="s">
        <v>263</v>
      </c>
    </row>
    <row r="2232" spans="1:2" x14ac:dyDescent="0.25">
      <c r="A2232" t="s">
        <v>354</v>
      </c>
      <c r="B2232" t="s">
        <v>263</v>
      </c>
    </row>
    <row r="2233" spans="1:2" x14ac:dyDescent="0.25">
      <c r="A2233" t="s">
        <v>354</v>
      </c>
      <c r="B2233" t="s">
        <v>263</v>
      </c>
    </row>
    <row r="2234" spans="1:2" x14ac:dyDescent="0.25">
      <c r="A2234" t="s">
        <v>354</v>
      </c>
      <c r="B2234" t="s">
        <v>263</v>
      </c>
    </row>
    <row r="2235" spans="1:2" x14ac:dyDescent="0.25">
      <c r="A2235" t="s">
        <v>354</v>
      </c>
      <c r="B2235" t="s">
        <v>263</v>
      </c>
    </row>
    <row r="2236" spans="1:2" x14ac:dyDescent="0.25">
      <c r="A2236" t="s">
        <v>354</v>
      </c>
      <c r="B2236" t="s">
        <v>263</v>
      </c>
    </row>
    <row r="2237" spans="1:2" x14ac:dyDescent="0.25">
      <c r="A2237" t="s">
        <v>354</v>
      </c>
      <c r="B2237" t="s">
        <v>263</v>
      </c>
    </row>
    <row r="2238" spans="1:2" x14ac:dyDescent="0.25">
      <c r="A2238" t="s">
        <v>354</v>
      </c>
      <c r="B2238" t="s">
        <v>263</v>
      </c>
    </row>
    <row r="2239" spans="1:2" x14ac:dyDescent="0.25">
      <c r="A2239" t="s">
        <v>354</v>
      </c>
      <c r="B2239" t="s">
        <v>263</v>
      </c>
    </row>
    <row r="2240" spans="1:2" x14ac:dyDescent="0.25">
      <c r="A2240" t="s">
        <v>354</v>
      </c>
      <c r="B2240" t="s">
        <v>263</v>
      </c>
    </row>
    <row r="2241" spans="1:2" x14ac:dyDescent="0.25">
      <c r="A2241" t="s">
        <v>354</v>
      </c>
      <c r="B2241" t="s">
        <v>263</v>
      </c>
    </row>
    <row r="2242" spans="1:2" x14ac:dyDescent="0.25">
      <c r="A2242" t="s">
        <v>354</v>
      </c>
      <c r="B2242" t="s">
        <v>263</v>
      </c>
    </row>
    <row r="2243" spans="1:2" x14ac:dyDescent="0.25">
      <c r="A2243" t="s">
        <v>354</v>
      </c>
      <c r="B2243" t="s">
        <v>263</v>
      </c>
    </row>
    <row r="2244" spans="1:2" x14ac:dyDescent="0.25">
      <c r="A2244" t="s">
        <v>354</v>
      </c>
      <c r="B2244" t="s">
        <v>263</v>
      </c>
    </row>
    <row r="2245" spans="1:2" x14ac:dyDescent="0.25">
      <c r="A2245" t="s">
        <v>354</v>
      </c>
      <c r="B2245" t="s">
        <v>263</v>
      </c>
    </row>
    <row r="2246" spans="1:2" x14ac:dyDescent="0.25">
      <c r="A2246" t="s">
        <v>354</v>
      </c>
      <c r="B2246" t="s">
        <v>263</v>
      </c>
    </row>
    <row r="2247" spans="1:2" x14ac:dyDescent="0.25">
      <c r="A2247" t="s">
        <v>354</v>
      </c>
      <c r="B2247" t="s">
        <v>263</v>
      </c>
    </row>
    <row r="2248" spans="1:2" x14ac:dyDescent="0.25">
      <c r="A2248" t="s">
        <v>354</v>
      </c>
      <c r="B2248" t="s">
        <v>263</v>
      </c>
    </row>
    <row r="2249" spans="1:2" x14ac:dyDescent="0.25">
      <c r="A2249" t="s">
        <v>354</v>
      </c>
      <c r="B2249" t="s">
        <v>263</v>
      </c>
    </row>
    <row r="2250" spans="1:2" x14ac:dyDescent="0.25">
      <c r="A2250" t="s">
        <v>354</v>
      </c>
      <c r="B2250" t="s">
        <v>263</v>
      </c>
    </row>
    <row r="2251" spans="1:2" x14ac:dyDescent="0.25">
      <c r="A2251" t="s">
        <v>354</v>
      </c>
      <c r="B2251" t="s">
        <v>263</v>
      </c>
    </row>
    <row r="2252" spans="1:2" x14ac:dyDescent="0.25">
      <c r="A2252" t="s">
        <v>355</v>
      </c>
      <c r="B2252" t="s">
        <v>267</v>
      </c>
    </row>
    <row r="2253" spans="1:2" x14ac:dyDescent="0.25">
      <c r="A2253" t="s">
        <v>355</v>
      </c>
      <c r="B2253" t="s">
        <v>267</v>
      </c>
    </row>
    <row r="2254" spans="1:2" x14ac:dyDescent="0.25">
      <c r="A2254" t="s">
        <v>355</v>
      </c>
      <c r="B2254" t="s">
        <v>267</v>
      </c>
    </row>
    <row r="2255" spans="1:2" x14ac:dyDescent="0.25">
      <c r="A2255" t="s">
        <v>355</v>
      </c>
      <c r="B2255" t="s">
        <v>267</v>
      </c>
    </row>
    <row r="2256" spans="1:2" x14ac:dyDescent="0.25">
      <c r="A2256" t="s">
        <v>355</v>
      </c>
      <c r="B2256" t="s">
        <v>267</v>
      </c>
    </row>
    <row r="2257" spans="1:2" x14ac:dyDescent="0.25">
      <c r="A2257" t="s">
        <v>355</v>
      </c>
      <c r="B2257" t="s">
        <v>267</v>
      </c>
    </row>
    <row r="2258" spans="1:2" x14ac:dyDescent="0.25">
      <c r="A2258" t="s">
        <v>355</v>
      </c>
      <c r="B2258" t="s">
        <v>267</v>
      </c>
    </row>
    <row r="2259" spans="1:2" x14ac:dyDescent="0.25">
      <c r="A2259" t="s">
        <v>355</v>
      </c>
      <c r="B2259" t="s">
        <v>267</v>
      </c>
    </row>
    <row r="2260" spans="1:2" x14ac:dyDescent="0.25">
      <c r="A2260" t="s">
        <v>355</v>
      </c>
      <c r="B2260" t="s">
        <v>267</v>
      </c>
    </row>
    <row r="2261" spans="1:2" x14ac:dyDescent="0.25">
      <c r="A2261" t="s">
        <v>355</v>
      </c>
      <c r="B2261" t="s">
        <v>267</v>
      </c>
    </row>
    <row r="2262" spans="1:2" x14ac:dyDescent="0.25">
      <c r="A2262" t="s">
        <v>355</v>
      </c>
      <c r="B2262" t="s">
        <v>267</v>
      </c>
    </row>
    <row r="2263" spans="1:2" x14ac:dyDescent="0.25">
      <c r="A2263" t="s">
        <v>355</v>
      </c>
      <c r="B2263" t="s">
        <v>267</v>
      </c>
    </row>
    <row r="2264" spans="1:2" x14ac:dyDescent="0.25">
      <c r="A2264" t="s">
        <v>355</v>
      </c>
      <c r="B2264" t="s">
        <v>267</v>
      </c>
    </row>
    <row r="2265" spans="1:2" x14ac:dyDescent="0.25">
      <c r="A2265" t="s">
        <v>355</v>
      </c>
      <c r="B2265" t="s">
        <v>267</v>
      </c>
    </row>
    <row r="2266" spans="1:2" x14ac:dyDescent="0.25">
      <c r="A2266" t="s">
        <v>355</v>
      </c>
      <c r="B2266" t="s">
        <v>267</v>
      </c>
    </row>
    <row r="2267" spans="1:2" x14ac:dyDescent="0.25">
      <c r="A2267" t="s">
        <v>355</v>
      </c>
      <c r="B2267" t="s">
        <v>267</v>
      </c>
    </row>
    <row r="2268" spans="1:2" x14ac:dyDescent="0.25">
      <c r="A2268" t="s">
        <v>355</v>
      </c>
      <c r="B2268" t="s">
        <v>267</v>
      </c>
    </row>
    <row r="2269" spans="1:2" x14ac:dyDescent="0.25">
      <c r="A2269" t="s">
        <v>355</v>
      </c>
      <c r="B2269" t="s">
        <v>267</v>
      </c>
    </row>
    <row r="2270" spans="1:2" x14ac:dyDescent="0.25">
      <c r="A2270" t="s">
        <v>355</v>
      </c>
      <c r="B2270" t="s">
        <v>267</v>
      </c>
    </row>
    <row r="2271" spans="1:2" x14ac:dyDescent="0.25">
      <c r="A2271" t="s">
        <v>355</v>
      </c>
      <c r="B2271" t="s">
        <v>267</v>
      </c>
    </row>
    <row r="2272" spans="1:2" x14ac:dyDescent="0.25">
      <c r="A2272" t="s">
        <v>355</v>
      </c>
      <c r="B2272" t="s">
        <v>267</v>
      </c>
    </row>
    <row r="2273" spans="1:2" x14ac:dyDescent="0.25">
      <c r="A2273" t="s">
        <v>355</v>
      </c>
      <c r="B2273" t="s">
        <v>267</v>
      </c>
    </row>
    <row r="2274" spans="1:2" x14ac:dyDescent="0.25">
      <c r="A2274" t="s">
        <v>355</v>
      </c>
      <c r="B2274" t="s">
        <v>267</v>
      </c>
    </row>
    <row r="2275" spans="1:2" x14ac:dyDescent="0.25">
      <c r="A2275" t="s">
        <v>355</v>
      </c>
      <c r="B2275" t="s">
        <v>267</v>
      </c>
    </row>
    <row r="2276" spans="1:2" x14ac:dyDescent="0.25">
      <c r="A2276" t="s">
        <v>355</v>
      </c>
      <c r="B2276" t="s">
        <v>267</v>
      </c>
    </row>
    <row r="2277" spans="1:2" x14ac:dyDescent="0.25">
      <c r="A2277" t="s">
        <v>355</v>
      </c>
      <c r="B2277" t="s">
        <v>267</v>
      </c>
    </row>
    <row r="2278" spans="1:2" x14ac:dyDescent="0.25">
      <c r="A2278" t="s">
        <v>356</v>
      </c>
      <c r="B2278" t="s">
        <v>263</v>
      </c>
    </row>
    <row r="2279" spans="1:2" x14ac:dyDescent="0.25">
      <c r="A2279" t="s">
        <v>356</v>
      </c>
      <c r="B2279" t="s">
        <v>263</v>
      </c>
    </row>
    <row r="2280" spans="1:2" x14ac:dyDescent="0.25">
      <c r="A2280" t="s">
        <v>356</v>
      </c>
      <c r="B2280" t="s">
        <v>263</v>
      </c>
    </row>
    <row r="2281" spans="1:2" x14ac:dyDescent="0.25">
      <c r="A2281" t="s">
        <v>356</v>
      </c>
      <c r="B2281" t="s">
        <v>263</v>
      </c>
    </row>
    <row r="2282" spans="1:2" x14ac:dyDescent="0.25">
      <c r="A2282" t="s">
        <v>356</v>
      </c>
      <c r="B2282" t="s">
        <v>263</v>
      </c>
    </row>
    <row r="2283" spans="1:2" x14ac:dyDescent="0.25">
      <c r="A2283" t="s">
        <v>356</v>
      </c>
      <c r="B2283" t="s">
        <v>263</v>
      </c>
    </row>
    <row r="2284" spans="1:2" x14ac:dyDescent="0.25">
      <c r="A2284" t="s">
        <v>356</v>
      </c>
      <c r="B2284" t="s">
        <v>263</v>
      </c>
    </row>
    <row r="2285" spans="1:2" x14ac:dyDescent="0.25">
      <c r="A2285" t="s">
        <v>356</v>
      </c>
      <c r="B2285" t="s">
        <v>263</v>
      </c>
    </row>
    <row r="2286" spans="1:2" x14ac:dyDescent="0.25">
      <c r="A2286" t="s">
        <v>356</v>
      </c>
      <c r="B2286" t="s">
        <v>263</v>
      </c>
    </row>
    <row r="2287" spans="1:2" x14ac:dyDescent="0.25">
      <c r="A2287" t="s">
        <v>356</v>
      </c>
      <c r="B2287" t="s">
        <v>263</v>
      </c>
    </row>
    <row r="2288" spans="1:2" x14ac:dyDescent="0.25">
      <c r="A2288" t="s">
        <v>356</v>
      </c>
      <c r="B2288" t="s">
        <v>263</v>
      </c>
    </row>
    <row r="2289" spans="1:2" x14ac:dyDescent="0.25">
      <c r="A2289" t="s">
        <v>356</v>
      </c>
      <c r="B2289" t="s">
        <v>263</v>
      </c>
    </row>
    <row r="2290" spans="1:2" x14ac:dyDescent="0.25">
      <c r="A2290" t="s">
        <v>356</v>
      </c>
      <c r="B2290" t="s">
        <v>263</v>
      </c>
    </row>
    <row r="2291" spans="1:2" x14ac:dyDescent="0.25">
      <c r="A2291" t="s">
        <v>356</v>
      </c>
      <c r="B2291" t="s">
        <v>263</v>
      </c>
    </row>
    <row r="2292" spans="1:2" x14ac:dyDescent="0.25">
      <c r="A2292" t="s">
        <v>356</v>
      </c>
      <c r="B2292" t="s">
        <v>263</v>
      </c>
    </row>
    <row r="2293" spans="1:2" x14ac:dyDescent="0.25">
      <c r="A2293" t="s">
        <v>356</v>
      </c>
      <c r="B2293" t="s">
        <v>263</v>
      </c>
    </row>
    <row r="2294" spans="1:2" x14ac:dyDescent="0.25">
      <c r="A2294" t="s">
        <v>356</v>
      </c>
      <c r="B2294" t="s">
        <v>263</v>
      </c>
    </row>
    <row r="2295" spans="1:2" x14ac:dyDescent="0.25">
      <c r="A2295" t="s">
        <v>356</v>
      </c>
      <c r="B2295" t="s">
        <v>263</v>
      </c>
    </row>
    <row r="2296" spans="1:2" x14ac:dyDescent="0.25">
      <c r="A2296" t="s">
        <v>356</v>
      </c>
      <c r="B2296" t="s">
        <v>263</v>
      </c>
    </row>
    <row r="2297" spans="1:2" x14ac:dyDescent="0.25">
      <c r="A2297" t="s">
        <v>356</v>
      </c>
      <c r="B2297" t="s">
        <v>263</v>
      </c>
    </row>
    <row r="2298" spans="1:2" x14ac:dyDescent="0.25">
      <c r="A2298" t="s">
        <v>356</v>
      </c>
      <c r="B2298" t="s">
        <v>263</v>
      </c>
    </row>
    <row r="2299" spans="1:2" x14ac:dyDescent="0.25">
      <c r="A2299" t="s">
        <v>356</v>
      </c>
      <c r="B2299" t="s">
        <v>263</v>
      </c>
    </row>
    <row r="2300" spans="1:2" x14ac:dyDescent="0.25">
      <c r="A2300" t="s">
        <v>356</v>
      </c>
      <c r="B2300" t="s">
        <v>263</v>
      </c>
    </row>
    <row r="2301" spans="1:2" x14ac:dyDescent="0.25">
      <c r="A2301" t="s">
        <v>356</v>
      </c>
      <c r="B2301" t="s">
        <v>263</v>
      </c>
    </row>
    <row r="2302" spans="1:2" x14ac:dyDescent="0.25">
      <c r="A2302" t="s">
        <v>356</v>
      </c>
      <c r="B2302" t="s">
        <v>263</v>
      </c>
    </row>
    <row r="2303" spans="1:2" x14ac:dyDescent="0.25">
      <c r="A2303" t="s">
        <v>356</v>
      </c>
      <c r="B2303" t="s">
        <v>263</v>
      </c>
    </row>
    <row r="2304" spans="1:2" x14ac:dyDescent="0.25">
      <c r="A2304" t="s">
        <v>356</v>
      </c>
      <c r="B2304" t="s">
        <v>263</v>
      </c>
    </row>
    <row r="2305" spans="1:2" x14ac:dyDescent="0.25">
      <c r="A2305" t="s">
        <v>357</v>
      </c>
      <c r="B2305" t="s">
        <v>264</v>
      </c>
    </row>
    <row r="2306" spans="1:2" x14ac:dyDescent="0.25">
      <c r="A2306" t="s">
        <v>357</v>
      </c>
      <c r="B2306" t="s">
        <v>264</v>
      </c>
    </row>
    <row r="2307" spans="1:2" x14ac:dyDescent="0.25">
      <c r="A2307" t="s">
        <v>357</v>
      </c>
      <c r="B2307" t="s">
        <v>264</v>
      </c>
    </row>
    <row r="2308" spans="1:2" x14ac:dyDescent="0.25">
      <c r="A2308" t="s">
        <v>357</v>
      </c>
      <c r="B2308" t="s">
        <v>264</v>
      </c>
    </row>
    <row r="2309" spans="1:2" x14ac:dyDescent="0.25">
      <c r="A2309" t="s">
        <v>357</v>
      </c>
      <c r="B2309" t="s">
        <v>264</v>
      </c>
    </row>
    <row r="2310" spans="1:2" x14ac:dyDescent="0.25">
      <c r="A2310" t="s">
        <v>357</v>
      </c>
      <c r="B2310" t="s">
        <v>264</v>
      </c>
    </row>
    <row r="2311" spans="1:2" x14ac:dyDescent="0.25">
      <c r="A2311" t="s">
        <v>357</v>
      </c>
      <c r="B2311" t="s">
        <v>264</v>
      </c>
    </row>
    <row r="2312" spans="1:2" x14ac:dyDescent="0.25">
      <c r="A2312" t="s">
        <v>357</v>
      </c>
      <c r="B2312" t="s">
        <v>264</v>
      </c>
    </row>
    <row r="2313" spans="1:2" x14ac:dyDescent="0.25">
      <c r="A2313" t="s">
        <v>357</v>
      </c>
      <c r="B2313" t="s">
        <v>264</v>
      </c>
    </row>
    <row r="2314" spans="1:2" x14ac:dyDescent="0.25">
      <c r="A2314" t="s">
        <v>357</v>
      </c>
      <c r="B2314" t="s">
        <v>264</v>
      </c>
    </row>
    <row r="2315" spans="1:2" x14ac:dyDescent="0.25">
      <c r="A2315" t="s">
        <v>357</v>
      </c>
      <c r="B2315" t="s">
        <v>264</v>
      </c>
    </row>
    <row r="2316" spans="1:2" x14ac:dyDescent="0.25">
      <c r="A2316" t="s">
        <v>357</v>
      </c>
      <c r="B2316" t="s">
        <v>264</v>
      </c>
    </row>
    <row r="2317" spans="1:2" x14ac:dyDescent="0.25">
      <c r="A2317" t="s">
        <v>357</v>
      </c>
      <c r="B2317" t="s">
        <v>264</v>
      </c>
    </row>
    <row r="2318" spans="1:2" x14ac:dyDescent="0.25">
      <c r="A2318" t="s">
        <v>357</v>
      </c>
      <c r="B2318" t="s">
        <v>264</v>
      </c>
    </row>
    <row r="2319" spans="1:2" x14ac:dyDescent="0.25">
      <c r="A2319" t="s">
        <v>357</v>
      </c>
      <c r="B2319" t="s">
        <v>264</v>
      </c>
    </row>
    <row r="2320" spans="1:2" x14ac:dyDescent="0.25">
      <c r="A2320" t="s">
        <v>357</v>
      </c>
      <c r="B2320" t="s">
        <v>264</v>
      </c>
    </row>
    <row r="2321" spans="1:2" x14ac:dyDescent="0.25">
      <c r="A2321" t="s">
        <v>357</v>
      </c>
      <c r="B2321" t="s">
        <v>264</v>
      </c>
    </row>
    <row r="2322" spans="1:2" x14ac:dyDescent="0.25">
      <c r="A2322" t="s">
        <v>357</v>
      </c>
      <c r="B2322" t="s">
        <v>264</v>
      </c>
    </row>
    <row r="2323" spans="1:2" x14ac:dyDescent="0.25">
      <c r="A2323" t="s">
        <v>357</v>
      </c>
      <c r="B2323" t="s">
        <v>264</v>
      </c>
    </row>
    <row r="2324" spans="1:2" x14ac:dyDescent="0.25">
      <c r="A2324" t="s">
        <v>357</v>
      </c>
      <c r="B2324" t="s">
        <v>264</v>
      </c>
    </row>
    <row r="2325" spans="1:2" x14ac:dyDescent="0.25">
      <c r="A2325" t="s">
        <v>357</v>
      </c>
      <c r="B2325" t="s">
        <v>264</v>
      </c>
    </row>
    <row r="2326" spans="1:2" x14ac:dyDescent="0.25">
      <c r="A2326" t="s">
        <v>357</v>
      </c>
      <c r="B2326" t="s">
        <v>264</v>
      </c>
    </row>
    <row r="2327" spans="1:2" x14ac:dyDescent="0.25">
      <c r="A2327" t="s">
        <v>357</v>
      </c>
      <c r="B2327" t="s">
        <v>264</v>
      </c>
    </row>
    <row r="2328" spans="1:2" x14ac:dyDescent="0.25">
      <c r="A2328" t="s">
        <v>357</v>
      </c>
      <c r="B2328" t="s">
        <v>264</v>
      </c>
    </row>
    <row r="2329" spans="1:2" x14ac:dyDescent="0.25">
      <c r="A2329" t="s">
        <v>358</v>
      </c>
      <c r="B2329" t="s">
        <v>261</v>
      </c>
    </row>
    <row r="2330" spans="1:2" x14ac:dyDescent="0.25">
      <c r="A2330" t="s">
        <v>358</v>
      </c>
      <c r="B2330" t="s">
        <v>261</v>
      </c>
    </row>
    <row r="2331" spans="1:2" x14ac:dyDescent="0.25">
      <c r="A2331" t="s">
        <v>358</v>
      </c>
      <c r="B2331" t="s">
        <v>261</v>
      </c>
    </row>
    <row r="2332" spans="1:2" x14ac:dyDescent="0.25">
      <c r="A2332" t="s">
        <v>358</v>
      </c>
      <c r="B2332" t="s">
        <v>261</v>
      </c>
    </row>
    <row r="2333" spans="1:2" x14ac:dyDescent="0.25">
      <c r="A2333" t="s">
        <v>358</v>
      </c>
      <c r="B2333" t="s">
        <v>261</v>
      </c>
    </row>
    <row r="2334" spans="1:2" x14ac:dyDescent="0.25">
      <c r="A2334" t="s">
        <v>358</v>
      </c>
      <c r="B2334" t="s">
        <v>261</v>
      </c>
    </row>
    <row r="2335" spans="1:2" x14ac:dyDescent="0.25">
      <c r="A2335" t="s">
        <v>358</v>
      </c>
      <c r="B2335" t="s">
        <v>261</v>
      </c>
    </row>
    <row r="2336" spans="1:2" x14ac:dyDescent="0.25">
      <c r="A2336" t="s">
        <v>358</v>
      </c>
      <c r="B2336" t="s">
        <v>261</v>
      </c>
    </row>
    <row r="2337" spans="1:2" x14ac:dyDescent="0.25">
      <c r="A2337" t="s">
        <v>358</v>
      </c>
      <c r="B2337" t="s">
        <v>261</v>
      </c>
    </row>
    <row r="2338" spans="1:2" x14ac:dyDescent="0.25">
      <c r="A2338" t="s">
        <v>358</v>
      </c>
      <c r="B2338" t="s">
        <v>261</v>
      </c>
    </row>
    <row r="2339" spans="1:2" x14ac:dyDescent="0.25">
      <c r="A2339" t="s">
        <v>358</v>
      </c>
      <c r="B2339" t="s">
        <v>261</v>
      </c>
    </row>
    <row r="2340" spans="1:2" x14ac:dyDescent="0.25">
      <c r="A2340" t="s">
        <v>358</v>
      </c>
      <c r="B2340" t="s">
        <v>261</v>
      </c>
    </row>
    <row r="2341" spans="1:2" x14ac:dyDescent="0.25">
      <c r="A2341" t="s">
        <v>358</v>
      </c>
      <c r="B2341" t="s">
        <v>261</v>
      </c>
    </row>
    <row r="2342" spans="1:2" x14ac:dyDescent="0.25">
      <c r="A2342" t="s">
        <v>358</v>
      </c>
      <c r="B2342" t="s">
        <v>261</v>
      </c>
    </row>
    <row r="2343" spans="1:2" x14ac:dyDescent="0.25">
      <c r="A2343" t="s">
        <v>358</v>
      </c>
      <c r="B2343" t="s">
        <v>261</v>
      </c>
    </row>
    <row r="2344" spans="1:2" x14ac:dyDescent="0.25">
      <c r="A2344" t="s">
        <v>358</v>
      </c>
      <c r="B2344" t="s">
        <v>261</v>
      </c>
    </row>
    <row r="2345" spans="1:2" x14ac:dyDescent="0.25">
      <c r="A2345" t="s">
        <v>358</v>
      </c>
      <c r="B2345" t="s">
        <v>261</v>
      </c>
    </row>
    <row r="2346" spans="1:2" x14ac:dyDescent="0.25">
      <c r="A2346" t="s">
        <v>358</v>
      </c>
      <c r="B2346" t="s">
        <v>261</v>
      </c>
    </row>
    <row r="2347" spans="1:2" x14ac:dyDescent="0.25">
      <c r="A2347" t="s">
        <v>358</v>
      </c>
      <c r="B2347" t="s">
        <v>261</v>
      </c>
    </row>
    <row r="2348" spans="1:2" x14ac:dyDescent="0.25">
      <c r="A2348" t="s">
        <v>358</v>
      </c>
      <c r="B2348" t="s">
        <v>261</v>
      </c>
    </row>
    <row r="2349" spans="1:2" x14ac:dyDescent="0.25">
      <c r="A2349" t="s">
        <v>358</v>
      </c>
      <c r="B2349" t="s">
        <v>261</v>
      </c>
    </row>
    <row r="2350" spans="1:2" x14ac:dyDescent="0.25">
      <c r="A2350" t="s">
        <v>358</v>
      </c>
      <c r="B2350" t="s">
        <v>261</v>
      </c>
    </row>
    <row r="2351" spans="1:2" x14ac:dyDescent="0.25">
      <c r="A2351" t="s">
        <v>358</v>
      </c>
      <c r="B2351" t="s">
        <v>261</v>
      </c>
    </row>
    <row r="2352" spans="1:2" x14ac:dyDescent="0.25">
      <c r="A2352" t="s">
        <v>358</v>
      </c>
      <c r="B2352" t="s">
        <v>261</v>
      </c>
    </row>
    <row r="2353" spans="1:2" x14ac:dyDescent="0.25">
      <c r="A2353" t="s">
        <v>358</v>
      </c>
      <c r="B2353" t="s">
        <v>261</v>
      </c>
    </row>
    <row r="2354" spans="1:2" x14ac:dyDescent="0.25">
      <c r="A2354" t="s">
        <v>359</v>
      </c>
      <c r="B2354" t="s">
        <v>264</v>
      </c>
    </row>
    <row r="2355" spans="1:2" x14ac:dyDescent="0.25">
      <c r="A2355" t="s">
        <v>359</v>
      </c>
      <c r="B2355" t="s">
        <v>264</v>
      </c>
    </row>
    <row r="2356" spans="1:2" x14ac:dyDescent="0.25">
      <c r="A2356" t="s">
        <v>359</v>
      </c>
      <c r="B2356" t="s">
        <v>264</v>
      </c>
    </row>
    <row r="2357" spans="1:2" x14ac:dyDescent="0.25">
      <c r="A2357" t="s">
        <v>359</v>
      </c>
      <c r="B2357" t="s">
        <v>264</v>
      </c>
    </row>
    <row r="2358" spans="1:2" x14ac:dyDescent="0.25">
      <c r="A2358" t="s">
        <v>359</v>
      </c>
      <c r="B2358" t="s">
        <v>264</v>
      </c>
    </row>
    <row r="2359" spans="1:2" x14ac:dyDescent="0.25">
      <c r="A2359" t="s">
        <v>359</v>
      </c>
      <c r="B2359" t="s">
        <v>264</v>
      </c>
    </row>
    <row r="2360" spans="1:2" x14ac:dyDescent="0.25">
      <c r="A2360" t="s">
        <v>359</v>
      </c>
      <c r="B2360" t="s">
        <v>264</v>
      </c>
    </row>
    <row r="2361" spans="1:2" x14ac:dyDescent="0.25">
      <c r="A2361" t="s">
        <v>359</v>
      </c>
      <c r="B2361" t="s">
        <v>264</v>
      </c>
    </row>
    <row r="2362" spans="1:2" x14ac:dyDescent="0.25">
      <c r="A2362" t="s">
        <v>359</v>
      </c>
      <c r="B2362" t="s">
        <v>264</v>
      </c>
    </row>
    <row r="2363" spans="1:2" x14ac:dyDescent="0.25">
      <c r="A2363" t="s">
        <v>359</v>
      </c>
      <c r="B2363" t="s">
        <v>264</v>
      </c>
    </row>
    <row r="2364" spans="1:2" x14ac:dyDescent="0.25">
      <c r="A2364" t="s">
        <v>359</v>
      </c>
      <c r="B2364" t="s">
        <v>264</v>
      </c>
    </row>
    <row r="2365" spans="1:2" x14ac:dyDescent="0.25">
      <c r="A2365" t="s">
        <v>359</v>
      </c>
      <c r="B2365" t="s">
        <v>264</v>
      </c>
    </row>
    <row r="2366" spans="1:2" x14ac:dyDescent="0.25">
      <c r="A2366" t="s">
        <v>359</v>
      </c>
      <c r="B2366" t="s">
        <v>264</v>
      </c>
    </row>
    <row r="2367" spans="1:2" x14ac:dyDescent="0.25">
      <c r="A2367" t="s">
        <v>359</v>
      </c>
      <c r="B2367" t="s">
        <v>264</v>
      </c>
    </row>
    <row r="2368" spans="1:2" x14ac:dyDescent="0.25">
      <c r="A2368" t="s">
        <v>359</v>
      </c>
      <c r="B2368" t="s">
        <v>264</v>
      </c>
    </row>
    <row r="2369" spans="1:2" x14ac:dyDescent="0.25">
      <c r="A2369" t="s">
        <v>359</v>
      </c>
      <c r="B2369" t="s">
        <v>264</v>
      </c>
    </row>
    <row r="2370" spans="1:2" x14ac:dyDescent="0.25">
      <c r="A2370" t="s">
        <v>359</v>
      </c>
      <c r="B2370" t="s">
        <v>264</v>
      </c>
    </row>
    <row r="2371" spans="1:2" x14ac:dyDescent="0.25">
      <c r="A2371" t="s">
        <v>359</v>
      </c>
      <c r="B2371" t="s">
        <v>264</v>
      </c>
    </row>
    <row r="2372" spans="1:2" x14ac:dyDescent="0.25">
      <c r="A2372" t="s">
        <v>359</v>
      </c>
      <c r="B2372" t="s">
        <v>264</v>
      </c>
    </row>
    <row r="2373" spans="1:2" x14ac:dyDescent="0.25">
      <c r="A2373" t="s">
        <v>359</v>
      </c>
      <c r="B2373" t="s">
        <v>264</v>
      </c>
    </row>
    <row r="2374" spans="1:2" x14ac:dyDescent="0.25">
      <c r="A2374" t="s">
        <v>359</v>
      </c>
      <c r="B2374" t="s">
        <v>264</v>
      </c>
    </row>
    <row r="2375" spans="1:2" x14ac:dyDescent="0.25">
      <c r="A2375" t="s">
        <v>359</v>
      </c>
      <c r="B2375" t="s">
        <v>264</v>
      </c>
    </row>
    <row r="2376" spans="1:2" x14ac:dyDescent="0.25">
      <c r="A2376" t="s">
        <v>359</v>
      </c>
      <c r="B2376" t="s">
        <v>264</v>
      </c>
    </row>
    <row r="2377" spans="1:2" x14ac:dyDescent="0.25">
      <c r="A2377" t="s">
        <v>359</v>
      </c>
      <c r="B2377" t="s">
        <v>264</v>
      </c>
    </row>
    <row r="2378" spans="1:2" x14ac:dyDescent="0.25">
      <c r="A2378" t="s">
        <v>359</v>
      </c>
      <c r="B2378" t="s">
        <v>264</v>
      </c>
    </row>
    <row r="2379" spans="1:2" x14ac:dyDescent="0.25">
      <c r="A2379" t="s">
        <v>359</v>
      </c>
      <c r="B2379" t="s">
        <v>264</v>
      </c>
    </row>
    <row r="2380" spans="1:2" x14ac:dyDescent="0.25">
      <c r="A2380" t="s">
        <v>360</v>
      </c>
      <c r="B2380" t="s">
        <v>263</v>
      </c>
    </row>
    <row r="2381" spans="1:2" x14ac:dyDescent="0.25">
      <c r="A2381" t="s">
        <v>360</v>
      </c>
      <c r="B2381" t="s">
        <v>263</v>
      </c>
    </row>
    <row r="2382" spans="1:2" x14ac:dyDescent="0.25">
      <c r="A2382" t="s">
        <v>360</v>
      </c>
      <c r="B2382" t="s">
        <v>263</v>
      </c>
    </row>
    <row r="2383" spans="1:2" x14ac:dyDescent="0.25">
      <c r="A2383" t="s">
        <v>360</v>
      </c>
      <c r="B2383" t="s">
        <v>263</v>
      </c>
    </row>
    <row r="2384" spans="1:2" x14ac:dyDescent="0.25">
      <c r="A2384" t="s">
        <v>360</v>
      </c>
      <c r="B2384" t="s">
        <v>263</v>
      </c>
    </row>
    <row r="2385" spans="1:2" x14ac:dyDescent="0.25">
      <c r="A2385" t="s">
        <v>360</v>
      </c>
      <c r="B2385" t="s">
        <v>263</v>
      </c>
    </row>
    <row r="2386" spans="1:2" x14ac:dyDescent="0.25">
      <c r="A2386" t="s">
        <v>360</v>
      </c>
      <c r="B2386" t="s">
        <v>263</v>
      </c>
    </row>
    <row r="2387" spans="1:2" x14ac:dyDescent="0.25">
      <c r="A2387" t="s">
        <v>360</v>
      </c>
      <c r="B2387" t="s">
        <v>263</v>
      </c>
    </row>
    <row r="2388" spans="1:2" x14ac:dyDescent="0.25">
      <c r="A2388" t="s">
        <v>360</v>
      </c>
      <c r="B2388" t="s">
        <v>263</v>
      </c>
    </row>
    <row r="2389" spans="1:2" x14ac:dyDescent="0.25">
      <c r="A2389" t="s">
        <v>360</v>
      </c>
      <c r="B2389" t="s">
        <v>263</v>
      </c>
    </row>
    <row r="2390" spans="1:2" x14ac:dyDescent="0.25">
      <c r="A2390" t="s">
        <v>360</v>
      </c>
      <c r="B2390" t="s">
        <v>263</v>
      </c>
    </row>
    <row r="2391" spans="1:2" x14ac:dyDescent="0.25">
      <c r="A2391" t="s">
        <v>360</v>
      </c>
      <c r="B2391" t="s">
        <v>263</v>
      </c>
    </row>
    <row r="2392" spans="1:2" x14ac:dyDescent="0.25">
      <c r="A2392" t="s">
        <v>360</v>
      </c>
      <c r="B2392" t="s">
        <v>263</v>
      </c>
    </row>
    <row r="2393" spans="1:2" x14ac:dyDescent="0.25">
      <c r="A2393" t="s">
        <v>360</v>
      </c>
      <c r="B2393" t="s">
        <v>263</v>
      </c>
    </row>
    <row r="2394" spans="1:2" x14ac:dyDescent="0.25">
      <c r="A2394" t="s">
        <v>360</v>
      </c>
      <c r="B2394" t="s">
        <v>263</v>
      </c>
    </row>
    <row r="2395" spans="1:2" x14ac:dyDescent="0.25">
      <c r="A2395" t="s">
        <v>360</v>
      </c>
      <c r="B2395" t="s">
        <v>263</v>
      </c>
    </row>
    <row r="2396" spans="1:2" x14ac:dyDescent="0.25">
      <c r="A2396" t="s">
        <v>360</v>
      </c>
      <c r="B2396" t="s">
        <v>263</v>
      </c>
    </row>
    <row r="2397" spans="1:2" x14ac:dyDescent="0.25">
      <c r="A2397" t="s">
        <v>360</v>
      </c>
      <c r="B2397" t="s">
        <v>263</v>
      </c>
    </row>
    <row r="2398" spans="1:2" x14ac:dyDescent="0.25">
      <c r="A2398" t="s">
        <v>360</v>
      </c>
      <c r="B2398" t="s">
        <v>263</v>
      </c>
    </row>
    <row r="2399" spans="1:2" x14ac:dyDescent="0.25">
      <c r="A2399" t="s">
        <v>360</v>
      </c>
      <c r="B2399" t="s">
        <v>263</v>
      </c>
    </row>
    <row r="2400" spans="1:2" x14ac:dyDescent="0.25">
      <c r="A2400" t="s">
        <v>360</v>
      </c>
      <c r="B2400" t="s">
        <v>263</v>
      </c>
    </row>
    <row r="2401" spans="1:2" x14ac:dyDescent="0.25">
      <c r="A2401" t="s">
        <v>360</v>
      </c>
      <c r="B2401" t="s">
        <v>263</v>
      </c>
    </row>
    <row r="2402" spans="1:2" x14ac:dyDescent="0.25">
      <c r="A2402" t="s">
        <v>360</v>
      </c>
      <c r="B2402" t="s">
        <v>263</v>
      </c>
    </row>
    <row r="2403" spans="1:2" x14ac:dyDescent="0.25">
      <c r="A2403" t="s">
        <v>360</v>
      </c>
      <c r="B2403" t="s">
        <v>263</v>
      </c>
    </row>
    <row r="2404" spans="1:2" x14ac:dyDescent="0.25">
      <c r="A2404" t="s">
        <v>360</v>
      </c>
      <c r="B2404" t="s">
        <v>263</v>
      </c>
    </row>
    <row r="2405" spans="1:2" x14ac:dyDescent="0.25">
      <c r="A2405" t="s">
        <v>360</v>
      </c>
      <c r="B2405" t="s">
        <v>263</v>
      </c>
    </row>
    <row r="2406" spans="1:2" x14ac:dyDescent="0.25">
      <c r="A2406" t="s">
        <v>360</v>
      </c>
      <c r="B2406" t="s">
        <v>263</v>
      </c>
    </row>
    <row r="2407" spans="1:2" x14ac:dyDescent="0.25">
      <c r="A2407" t="s">
        <v>360</v>
      </c>
      <c r="B2407" t="s">
        <v>263</v>
      </c>
    </row>
    <row r="2408" spans="1:2" x14ac:dyDescent="0.25">
      <c r="A2408" t="s">
        <v>361</v>
      </c>
      <c r="B2408" t="s">
        <v>267</v>
      </c>
    </row>
    <row r="2409" spans="1:2" x14ac:dyDescent="0.25">
      <c r="A2409" t="s">
        <v>361</v>
      </c>
      <c r="B2409" t="s">
        <v>267</v>
      </c>
    </row>
    <row r="2410" spans="1:2" x14ac:dyDescent="0.25">
      <c r="A2410" t="s">
        <v>361</v>
      </c>
      <c r="B2410" t="s">
        <v>267</v>
      </c>
    </row>
    <row r="2411" spans="1:2" x14ac:dyDescent="0.25">
      <c r="A2411" t="s">
        <v>361</v>
      </c>
      <c r="B2411" t="s">
        <v>267</v>
      </c>
    </row>
    <row r="2412" spans="1:2" x14ac:dyDescent="0.25">
      <c r="A2412" t="s">
        <v>361</v>
      </c>
      <c r="B2412" t="s">
        <v>267</v>
      </c>
    </row>
    <row r="2413" spans="1:2" x14ac:dyDescent="0.25">
      <c r="A2413" t="s">
        <v>361</v>
      </c>
      <c r="B2413" t="s">
        <v>267</v>
      </c>
    </row>
    <row r="2414" spans="1:2" x14ac:dyDescent="0.25">
      <c r="A2414" t="s">
        <v>361</v>
      </c>
      <c r="B2414" t="s">
        <v>267</v>
      </c>
    </row>
    <row r="2415" spans="1:2" x14ac:dyDescent="0.25">
      <c r="A2415" t="s">
        <v>361</v>
      </c>
      <c r="B2415" t="s">
        <v>267</v>
      </c>
    </row>
    <row r="2416" spans="1:2" x14ac:dyDescent="0.25">
      <c r="A2416" t="s">
        <v>361</v>
      </c>
      <c r="B2416" t="s">
        <v>267</v>
      </c>
    </row>
    <row r="2417" spans="1:2" x14ac:dyDescent="0.25">
      <c r="A2417" t="s">
        <v>361</v>
      </c>
      <c r="B2417" t="s">
        <v>267</v>
      </c>
    </row>
    <row r="2418" spans="1:2" x14ac:dyDescent="0.25">
      <c r="A2418" t="s">
        <v>361</v>
      </c>
      <c r="B2418" t="s">
        <v>267</v>
      </c>
    </row>
    <row r="2419" spans="1:2" x14ac:dyDescent="0.25">
      <c r="A2419" t="s">
        <v>361</v>
      </c>
      <c r="B2419" t="s">
        <v>267</v>
      </c>
    </row>
    <row r="2420" spans="1:2" x14ac:dyDescent="0.25">
      <c r="A2420" t="s">
        <v>361</v>
      </c>
      <c r="B2420" t="s">
        <v>267</v>
      </c>
    </row>
    <row r="2421" spans="1:2" x14ac:dyDescent="0.25">
      <c r="A2421" t="s">
        <v>361</v>
      </c>
      <c r="B2421" t="s">
        <v>267</v>
      </c>
    </row>
    <row r="2422" spans="1:2" x14ac:dyDescent="0.25">
      <c r="A2422" t="s">
        <v>361</v>
      </c>
      <c r="B2422" t="s">
        <v>267</v>
      </c>
    </row>
    <row r="2423" spans="1:2" x14ac:dyDescent="0.25">
      <c r="A2423" t="s">
        <v>361</v>
      </c>
      <c r="B2423" t="s">
        <v>267</v>
      </c>
    </row>
    <row r="2424" spans="1:2" x14ac:dyDescent="0.25">
      <c r="A2424" t="s">
        <v>361</v>
      </c>
      <c r="B2424" t="s">
        <v>267</v>
      </c>
    </row>
    <row r="2425" spans="1:2" x14ac:dyDescent="0.25">
      <c r="A2425" t="s">
        <v>361</v>
      </c>
      <c r="B2425" t="s">
        <v>267</v>
      </c>
    </row>
    <row r="2426" spans="1:2" x14ac:dyDescent="0.25">
      <c r="A2426" t="s">
        <v>361</v>
      </c>
      <c r="B2426" t="s">
        <v>267</v>
      </c>
    </row>
    <row r="2427" spans="1:2" x14ac:dyDescent="0.25">
      <c r="A2427" t="s">
        <v>361</v>
      </c>
      <c r="B2427" t="s">
        <v>267</v>
      </c>
    </row>
    <row r="2428" spans="1:2" x14ac:dyDescent="0.25">
      <c r="A2428" t="s">
        <v>361</v>
      </c>
      <c r="B2428" t="s">
        <v>267</v>
      </c>
    </row>
    <row r="2429" spans="1:2" x14ac:dyDescent="0.25">
      <c r="A2429" t="s">
        <v>361</v>
      </c>
      <c r="B2429" t="s">
        <v>267</v>
      </c>
    </row>
    <row r="2430" spans="1:2" x14ac:dyDescent="0.25">
      <c r="A2430" t="s">
        <v>361</v>
      </c>
      <c r="B2430" t="s">
        <v>267</v>
      </c>
    </row>
    <row r="2431" spans="1:2" x14ac:dyDescent="0.25">
      <c r="A2431" t="s">
        <v>361</v>
      </c>
      <c r="B2431" t="s">
        <v>267</v>
      </c>
    </row>
    <row r="2432" spans="1:2" x14ac:dyDescent="0.25">
      <c r="A2432" t="s">
        <v>361</v>
      </c>
      <c r="B2432" t="s">
        <v>267</v>
      </c>
    </row>
    <row r="2433" spans="1:2" x14ac:dyDescent="0.25">
      <c r="A2433" t="s">
        <v>361</v>
      </c>
      <c r="B2433" t="s">
        <v>267</v>
      </c>
    </row>
    <row r="2434" spans="1:2" x14ac:dyDescent="0.25">
      <c r="A2434" t="s">
        <v>362</v>
      </c>
      <c r="B2434" t="s">
        <v>261</v>
      </c>
    </row>
    <row r="2435" spans="1:2" x14ac:dyDescent="0.25">
      <c r="A2435" t="s">
        <v>362</v>
      </c>
      <c r="B2435" t="s">
        <v>261</v>
      </c>
    </row>
    <row r="2436" spans="1:2" x14ac:dyDescent="0.25">
      <c r="A2436" t="s">
        <v>362</v>
      </c>
      <c r="B2436" t="s">
        <v>261</v>
      </c>
    </row>
    <row r="2437" spans="1:2" x14ac:dyDescent="0.25">
      <c r="A2437" t="s">
        <v>362</v>
      </c>
      <c r="B2437" t="s">
        <v>261</v>
      </c>
    </row>
    <row r="2438" spans="1:2" x14ac:dyDescent="0.25">
      <c r="A2438" t="s">
        <v>362</v>
      </c>
      <c r="B2438" t="s">
        <v>261</v>
      </c>
    </row>
    <row r="2439" spans="1:2" x14ac:dyDescent="0.25">
      <c r="A2439" t="s">
        <v>362</v>
      </c>
      <c r="B2439" t="s">
        <v>261</v>
      </c>
    </row>
    <row r="2440" spans="1:2" x14ac:dyDescent="0.25">
      <c r="A2440" t="s">
        <v>362</v>
      </c>
      <c r="B2440" t="s">
        <v>261</v>
      </c>
    </row>
    <row r="2441" spans="1:2" x14ac:dyDescent="0.25">
      <c r="A2441" t="s">
        <v>362</v>
      </c>
      <c r="B2441" t="s">
        <v>261</v>
      </c>
    </row>
    <row r="2442" spans="1:2" x14ac:dyDescent="0.25">
      <c r="A2442" t="s">
        <v>362</v>
      </c>
      <c r="B2442" t="s">
        <v>261</v>
      </c>
    </row>
    <row r="2443" spans="1:2" x14ac:dyDescent="0.25">
      <c r="A2443" t="s">
        <v>362</v>
      </c>
      <c r="B2443" t="s">
        <v>261</v>
      </c>
    </row>
    <row r="2444" spans="1:2" x14ac:dyDescent="0.25">
      <c r="A2444" t="s">
        <v>362</v>
      </c>
      <c r="B2444" t="s">
        <v>261</v>
      </c>
    </row>
    <row r="2445" spans="1:2" x14ac:dyDescent="0.25">
      <c r="A2445" t="s">
        <v>362</v>
      </c>
      <c r="B2445" t="s">
        <v>261</v>
      </c>
    </row>
    <row r="2446" spans="1:2" x14ac:dyDescent="0.25">
      <c r="A2446" t="s">
        <v>362</v>
      </c>
      <c r="B2446" t="s">
        <v>261</v>
      </c>
    </row>
    <row r="2447" spans="1:2" x14ac:dyDescent="0.25">
      <c r="A2447" t="s">
        <v>362</v>
      </c>
      <c r="B2447" t="s">
        <v>261</v>
      </c>
    </row>
    <row r="2448" spans="1:2" x14ac:dyDescent="0.25">
      <c r="A2448" t="s">
        <v>362</v>
      </c>
      <c r="B2448" t="s">
        <v>261</v>
      </c>
    </row>
    <row r="2449" spans="1:2" x14ac:dyDescent="0.25">
      <c r="A2449" t="s">
        <v>362</v>
      </c>
      <c r="B2449" t="s">
        <v>261</v>
      </c>
    </row>
    <row r="2450" spans="1:2" x14ac:dyDescent="0.25">
      <c r="A2450" t="s">
        <v>362</v>
      </c>
      <c r="B2450" t="s">
        <v>261</v>
      </c>
    </row>
    <row r="2451" spans="1:2" x14ac:dyDescent="0.25">
      <c r="A2451" t="s">
        <v>362</v>
      </c>
      <c r="B2451" t="s">
        <v>261</v>
      </c>
    </row>
    <row r="2452" spans="1:2" x14ac:dyDescent="0.25">
      <c r="A2452" t="s">
        <v>362</v>
      </c>
      <c r="B2452" t="s">
        <v>261</v>
      </c>
    </row>
    <row r="2453" spans="1:2" x14ac:dyDescent="0.25">
      <c r="A2453" t="s">
        <v>362</v>
      </c>
      <c r="B2453" t="s">
        <v>261</v>
      </c>
    </row>
    <row r="2454" spans="1:2" x14ac:dyDescent="0.25">
      <c r="A2454" t="s">
        <v>362</v>
      </c>
      <c r="B2454" t="s">
        <v>261</v>
      </c>
    </row>
    <row r="2455" spans="1:2" x14ac:dyDescent="0.25">
      <c r="A2455" t="s">
        <v>362</v>
      </c>
      <c r="B2455" t="s">
        <v>261</v>
      </c>
    </row>
    <row r="2456" spans="1:2" x14ac:dyDescent="0.25">
      <c r="A2456" t="s">
        <v>362</v>
      </c>
      <c r="B2456" t="s">
        <v>261</v>
      </c>
    </row>
    <row r="2457" spans="1:2" x14ac:dyDescent="0.25">
      <c r="A2457" t="s">
        <v>362</v>
      </c>
      <c r="B2457" t="s">
        <v>261</v>
      </c>
    </row>
    <row r="2458" spans="1:2" x14ac:dyDescent="0.25">
      <c r="A2458" t="s">
        <v>362</v>
      </c>
      <c r="B2458" t="s">
        <v>261</v>
      </c>
    </row>
    <row r="2459" spans="1:2" x14ac:dyDescent="0.25">
      <c r="A2459" t="s">
        <v>363</v>
      </c>
      <c r="B2459" t="s">
        <v>266</v>
      </c>
    </row>
    <row r="2460" spans="1:2" x14ac:dyDescent="0.25">
      <c r="A2460" t="s">
        <v>363</v>
      </c>
      <c r="B2460" t="s">
        <v>266</v>
      </c>
    </row>
    <row r="2461" spans="1:2" x14ac:dyDescent="0.25">
      <c r="A2461" t="s">
        <v>363</v>
      </c>
      <c r="B2461" t="s">
        <v>266</v>
      </c>
    </row>
    <row r="2462" spans="1:2" x14ac:dyDescent="0.25">
      <c r="A2462" t="s">
        <v>363</v>
      </c>
      <c r="B2462" t="s">
        <v>266</v>
      </c>
    </row>
    <row r="2463" spans="1:2" x14ac:dyDescent="0.25">
      <c r="A2463" t="s">
        <v>363</v>
      </c>
      <c r="B2463" t="s">
        <v>266</v>
      </c>
    </row>
    <row r="2464" spans="1:2" x14ac:dyDescent="0.25">
      <c r="A2464" t="s">
        <v>363</v>
      </c>
      <c r="B2464" t="s">
        <v>266</v>
      </c>
    </row>
    <row r="2465" spans="1:2" x14ac:dyDescent="0.25">
      <c r="A2465" t="s">
        <v>363</v>
      </c>
      <c r="B2465" t="s">
        <v>266</v>
      </c>
    </row>
    <row r="2466" spans="1:2" x14ac:dyDescent="0.25">
      <c r="A2466" t="s">
        <v>363</v>
      </c>
      <c r="B2466" t="s">
        <v>266</v>
      </c>
    </row>
    <row r="2467" spans="1:2" x14ac:dyDescent="0.25">
      <c r="A2467" t="s">
        <v>363</v>
      </c>
      <c r="B2467" t="s">
        <v>266</v>
      </c>
    </row>
    <row r="2468" spans="1:2" x14ac:dyDescent="0.25">
      <c r="A2468" t="s">
        <v>363</v>
      </c>
      <c r="B2468" t="s">
        <v>266</v>
      </c>
    </row>
    <row r="2469" spans="1:2" x14ac:dyDescent="0.25">
      <c r="A2469" t="s">
        <v>363</v>
      </c>
      <c r="B2469" t="s">
        <v>266</v>
      </c>
    </row>
    <row r="2470" spans="1:2" x14ac:dyDescent="0.25">
      <c r="A2470" t="s">
        <v>363</v>
      </c>
      <c r="B2470" t="s">
        <v>266</v>
      </c>
    </row>
    <row r="2471" spans="1:2" x14ac:dyDescent="0.25">
      <c r="A2471" t="s">
        <v>363</v>
      </c>
      <c r="B2471" t="s">
        <v>266</v>
      </c>
    </row>
    <row r="2472" spans="1:2" x14ac:dyDescent="0.25">
      <c r="A2472" t="s">
        <v>363</v>
      </c>
      <c r="B2472" t="s">
        <v>266</v>
      </c>
    </row>
    <row r="2473" spans="1:2" x14ac:dyDescent="0.25">
      <c r="A2473" t="s">
        <v>363</v>
      </c>
      <c r="B2473" t="s">
        <v>266</v>
      </c>
    </row>
    <row r="2474" spans="1:2" x14ac:dyDescent="0.25">
      <c r="A2474" t="s">
        <v>363</v>
      </c>
      <c r="B2474" t="s">
        <v>266</v>
      </c>
    </row>
    <row r="2475" spans="1:2" x14ac:dyDescent="0.25">
      <c r="A2475" t="s">
        <v>363</v>
      </c>
      <c r="B2475" t="s">
        <v>266</v>
      </c>
    </row>
    <row r="2476" spans="1:2" x14ac:dyDescent="0.25">
      <c r="A2476" t="s">
        <v>363</v>
      </c>
      <c r="B2476" t="s">
        <v>266</v>
      </c>
    </row>
    <row r="2477" spans="1:2" x14ac:dyDescent="0.25">
      <c r="A2477" t="s">
        <v>363</v>
      </c>
      <c r="B2477" t="s">
        <v>266</v>
      </c>
    </row>
    <row r="2478" spans="1:2" x14ac:dyDescent="0.25">
      <c r="A2478" t="s">
        <v>363</v>
      </c>
      <c r="B2478" t="s">
        <v>266</v>
      </c>
    </row>
    <row r="2479" spans="1:2" x14ac:dyDescent="0.25">
      <c r="A2479" t="s">
        <v>363</v>
      </c>
      <c r="B2479" t="s">
        <v>266</v>
      </c>
    </row>
    <row r="2480" spans="1:2" x14ac:dyDescent="0.25">
      <c r="A2480" t="s">
        <v>363</v>
      </c>
      <c r="B2480" t="s">
        <v>266</v>
      </c>
    </row>
    <row r="2481" spans="1:2" x14ac:dyDescent="0.25">
      <c r="A2481" t="s">
        <v>363</v>
      </c>
      <c r="B2481" t="s">
        <v>266</v>
      </c>
    </row>
    <row r="2482" spans="1:2" x14ac:dyDescent="0.25">
      <c r="A2482" t="s">
        <v>363</v>
      </c>
      <c r="B2482" t="s">
        <v>266</v>
      </c>
    </row>
    <row r="2483" spans="1:2" x14ac:dyDescent="0.25">
      <c r="A2483" t="s">
        <v>363</v>
      </c>
      <c r="B2483" t="s">
        <v>266</v>
      </c>
    </row>
    <row r="2484" spans="1:2" x14ac:dyDescent="0.25">
      <c r="A2484" t="s">
        <v>363</v>
      </c>
      <c r="B2484" t="s">
        <v>266</v>
      </c>
    </row>
    <row r="2485" spans="1:2" x14ac:dyDescent="0.25">
      <c r="A2485" t="s">
        <v>364</v>
      </c>
      <c r="B2485" t="s">
        <v>265</v>
      </c>
    </row>
    <row r="2486" spans="1:2" x14ac:dyDescent="0.25">
      <c r="A2486" t="s">
        <v>364</v>
      </c>
      <c r="B2486" t="s">
        <v>265</v>
      </c>
    </row>
    <row r="2487" spans="1:2" x14ac:dyDescent="0.25">
      <c r="A2487" t="s">
        <v>364</v>
      </c>
      <c r="B2487" t="s">
        <v>265</v>
      </c>
    </row>
    <row r="2488" spans="1:2" x14ac:dyDescent="0.25">
      <c r="A2488" t="s">
        <v>364</v>
      </c>
      <c r="B2488" t="s">
        <v>265</v>
      </c>
    </row>
    <row r="2489" spans="1:2" x14ac:dyDescent="0.25">
      <c r="A2489" t="s">
        <v>364</v>
      </c>
      <c r="B2489" t="s">
        <v>265</v>
      </c>
    </row>
    <row r="2490" spans="1:2" x14ac:dyDescent="0.25">
      <c r="A2490" t="s">
        <v>364</v>
      </c>
      <c r="B2490" t="s">
        <v>265</v>
      </c>
    </row>
    <row r="2491" spans="1:2" x14ac:dyDescent="0.25">
      <c r="A2491" t="s">
        <v>364</v>
      </c>
      <c r="B2491" t="s">
        <v>265</v>
      </c>
    </row>
    <row r="2492" spans="1:2" x14ac:dyDescent="0.25">
      <c r="A2492" t="s">
        <v>364</v>
      </c>
      <c r="B2492" t="s">
        <v>265</v>
      </c>
    </row>
    <row r="2493" spans="1:2" x14ac:dyDescent="0.25">
      <c r="A2493" t="s">
        <v>364</v>
      </c>
      <c r="B2493" t="s">
        <v>265</v>
      </c>
    </row>
    <row r="2494" spans="1:2" x14ac:dyDescent="0.25">
      <c r="A2494" t="s">
        <v>364</v>
      </c>
      <c r="B2494" t="s">
        <v>265</v>
      </c>
    </row>
    <row r="2495" spans="1:2" x14ac:dyDescent="0.25">
      <c r="A2495" t="s">
        <v>364</v>
      </c>
      <c r="B2495" t="s">
        <v>265</v>
      </c>
    </row>
    <row r="2496" spans="1:2" x14ac:dyDescent="0.25">
      <c r="A2496" t="s">
        <v>364</v>
      </c>
      <c r="B2496" t="s">
        <v>265</v>
      </c>
    </row>
    <row r="2497" spans="1:2" x14ac:dyDescent="0.25">
      <c r="A2497" t="s">
        <v>364</v>
      </c>
      <c r="B2497" t="s">
        <v>265</v>
      </c>
    </row>
    <row r="2498" spans="1:2" x14ac:dyDescent="0.25">
      <c r="A2498" t="s">
        <v>364</v>
      </c>
      <c r="B2498" t="s">
        <v>265</v>
      </c>
    </row>
    <row r="2499" spans="1:2" x14ac:dyDescent="0.25">
      <c r="A2499" t="s">
        <v>364</v>
      </c>
      <c r="B2499" t="s">
        <v>265</v>
      </c>
    </row>
    <row r="2500" spans="1:2" x14ac:dyDescent="0.25">
      <c r="A2500" t="s">
        <v>364</v>
      </c>
      <c r="B2500" t="s">
        <v>265</v>
      </c>
    </row>
    <row r="2501" spans="1:2" x14ac:dyDescent="0.25">
      <c r="A2501" t="s">
        <v>364</v>
      </c>
      <c r="B2501" t="s">
        <v>265</v>
      </c>
    </row>
    <row r="2502" spans="1:2" x14ac:dyDescent="0.25">
      <c r="A2502" t="s">
        <v>364</v>
      </c>
      <c r="B2502" t="s">
        <v>265</v>
      </c>
    </row>
    <row r="2503" spans="1:2" x14ac:dyDescent="0.25">
      <c r="A2503" t="s">
        <v>364</v>
      </c>
      <c r="B2503" t="s">
        <v>265</v>
      </c>
    </row>
    <row r="2504" spans="1:2" x14ac:dyDescent="0.25">
      <c r="A2504" t="s">
        <v>364</v>
      </c>
      <c r="B2504" t="s">
        <v>265</v>
      </c>
    </row>
    <row r="2505" spans="1:2" x14ac:dyDescent="0.25">
      <c r="A2505" t="s">
        <v>364</v>
      </c>
      <c r="B2505" t="s">
        <v>265</v>
      </c>
    </row>
    <row r="2506" spans="1:2" x14ac:dyDescent="0.25">
      <c r="A2506" t="s">
        <v>364</v>
      </c>
      <c r="B2506" t="s">
        <v>265</v>
      </c>
    </row>
    <row r="2507" spans="1:2" x14ac:dyDescent="0.25">
      <c r="A2507" t="s">
        <v>364</v>
      </c>
      <c r="B2507" t="s">
        <v>265</v>
      </c>
    </row>
    <row r="2508" spans="1:2" x14ac:dyDescent="0.25">
      <c r="A2508" t="s">
        <v>364</v>
      </c>
      <c r="B2508" t="s">
        <v>265</v>
      </c>
    </row>
    <row r="2509" spans="1:2" x14ac:dyDescent="0.25">
      <c r="A2509" t="s">
        <v>364</v>
      </c>
      <c r="B2509" t="s">
        <v>265</v>
      </c>
    </row>
    <row r="2510" spans="1:2" x14ac:dyDescent="0.25">
      <c r="A2510" t="s">
        <v>364</v>
      </c>
      <c r="B2510" t="s">
        <v>265</v>
      </c>
    </row>
    <row r="2511" spans="1:2" x14ac:dyDescent="0.25">
      <c r="A2511" t="s">
        <v>365</v>
      </c>
      <c r="B2511" t="s">
        <v>266</v>
      </c>
    </row>
    <row r="2512" spans="1:2" x14ac:dyDescent="0.25">
      <c r="A2512" t="s">
        <v>365</v>
      </c>
      <c r="B2512" t="s">
        <v>266</v>
      </c>
    </row>
    <row r="2513" spans="1:2" x14ac:dyDescent="0.25">
      <c r="A2513" t="s">
        <v>365</v>
      </c>
      <c r="B2513" t="s">
        <v>266</v>
      </c>
    </row>
    <row r="2514" spans="1:2" x14ac:dyDescent="0.25">
      <c r="A2514" t="s">
        <v>365</v>
      </c>
      <c r="B2514" t="s">
        <v>266</v>
      </c>
    </row>
    <row r="2515" spans="1:2" x14ac:dyDescent="0.25">
      <c r="A2515" t="s">
        <v>365</v>
      </c>
      <c r="B2515" t="s">
        <v>266</v>
      </c>
    </row>
    <row r="2516" spans="1:2" x14ac:dyDescent="0.25">
      <c r="A2516" t="s">
        <v>365</v>
      </c>
      <c r="B2516" t="s">
        <v>266</v>
      </c>
    </row>
    <row r="2517" spans="1:2" x14ac:dyDescent="0.25">
      <c r="A2517" t="s">
        <v>365</v>
      </c>
      <c r="B2517" t="s">
        <v>266</v>
      </c>
    </row>
    <row r="2518" spans="1:2" x14ac:dyDescent="0.25">
      <c r="A2518" t="s">
        <v>365</v>
      </c>
      <c r="B2518" t="s">
        <v>266</v>
      </c>
    </row>
    <row r="2519" spans="1:2" x14ac:dyDescent="0.25">
      <c r="A2519" t="s">
        <v>365</v>
      </c>
      <c r="B2519" t="s">
        <v>266</v>
      </c>
    </row>
    <row r="2520" spans="1:2" x14ac:dyDescent="0.25">
      <c r="A2520" t="s">
        <v>365</v>
      </c>
      <c r="B2520" t="s">
        <v>266</v>
      </c>
    </row>
    <row r="2521" spans="1:2" x14ac:dyDescent="0.25">
      <c r="A2521" t="s">
        <v>365</v>
      </c>
      <c r="B2521" t="s">
        <v>266</v>
      </c>
    </row>
    <row r="2522" spans="1:2" x14ac:dyDescent="0.25">
      <c r="A2522" t="s">
        <v>365</v>
      </c>
      <c r="B2522" t="s">
        <v>266</v>
      </c>
    </row>
    <row r="2523" spans="1:2" x14ac:dyDescent="0.25">
      <c r="A2523" t="s">
        <v>365</v>
      </c>
      <c r="B2523" t="s">
        <v>266</v>
      </c>
    </row>
    <row r="2524" spans="1:2" x14ac:dyDescent="0.25">
      <c r="A2524" t="s">
        <v>365</v>
      </c>
      <c r="B2524" t="s">
        <v>266</v>
      </c>
    </row>
    <row r="2525" spans="1:2" x14ac:dyDescent="0.25">
      <c r="A2525" t="s">
        <v>365</v>
      </c>
      <c r="B2525" t="s">
        <v>266</v>
      </c>
    </row>
    <row r="2526" spans="1:2" x14ac:dyDescent="0.25">
      <c r="A2526" t="s">
        <v>365</v>
      </c>
      <c r="B2526" t="s">
        <v>266</v>
      </c>
    </row>
    <row r="2527" spans="1:2" x14ac:dyDescent="0.25">
      <c r="A2527" t="s">
        <v>365</v>
      </c>
      <c r="B2527" t="s">
        <v>266</v>
      </c>
    </row>
    <row r="2528" spans="1:2" x14ac:dyDescent="0.25">
      <c r="A2528" t="s">
        <v>365</v>
      </c>
      <c r="B2528" t="s">
        <v>266</v>
      </c>
    </row>
    <row r="2529" spans="1:2" x14ac:dyDescent="0.25">
      <c r="A2529" t="s">
        <v>365</v>
      </c>
      <c r="B2529" t="s">
        <v>266</v>
      </c>
    </row>
    <row r="2530" spans="1:2" x14ac:dyDescent="0.25">
      <c r="A2530" t="s">
        <v>365</v>
      </c>
      <c r="B2530" t="s">
        <v>266</v>
      </c>
    </row>
    <row r="2531" spans="1:2" x14ac:dyDescent="0.25">
      <c r="A2531" t="s">
        <v>365</v>
      </c>
      <c r="B2531" t="s">
        <v>266</v>
      </c>
    </row>
    <row r="2532" spans="1:2" x14ac:dyDescent="0.25">
      <c r="A2532" t="s">
        <v>365</v>
      </c>
      <c r="B2532" t="s">
        <v>266</v>
      </c>
    </row>
    <row r="2533" spans="1:2" x14ac:dyDescent="0.25">
      <c r="A2533" t="s">
        <v>365</v>
      </c>
      <c r="B2533" t="s">
        <v>266</v>
      </c>
    </row>
    <row r="2534" spans="1:2" x14ac:dyDescent="0.25">
      <c r="A2534" t="s">
        <v>365</v>
      </c>
      <c r="B2534" t="s">
        <v>266</v>
      </c>
    </row>
    <row r="2535" spans="1:2" x14ac:dyDescent="0.25">
      <c r="A2535" t="s">
        <v>365</v>
      </c>
      <c r="B2535" t="s">
        <v>266</v>
      </c>
    </row>
    <row r="2536" spans="1:2" x14ac:dyDescent="0.25">
      <c r="A2536" t="s">
        <v>366</v>
      </c>
      <c r="B2536" t="s">
        <v>266</v>
      </c>
    </row>
    <row r="2537" spans="1:2" x14ac:dyDescent="0.25">
      <c r="A2537" t="s">
        <v>366</v>
      </c>
      <c r="B2537" t="s">
        <v>266</v>
      </c>
    </row>
    <row r="2538" spans="1:2" x14ac:dyDescent="0.25">
      <c r="A2538" t="s">
        <v>366</v>
      </c>
      <c r="B2538" t="s">
        <v>266</v>
      </c>
    </row>
    <row r="2539" spans="1:2" x14ac:dyDescent="0.25">
      <c r="A2539" t="s">
        <v>366</v>
      </c>
      <c r="B2539" t="s">
        <v>266</v>
      </c>
    </row>
    <row r="2540" spans="1:2" x14ac:dyDescent="0.25">
      <c r="A2540" t="s">
        <v>366</v>
      </c>
      <c r="B2540" t="s">
        <v>266</v>
      </c>
    </row>
    <row r="2541" spans="1:2" x14ac:dyDescent="0.25">
      <c r="A2541" t="s">
        <v>366</v>
      </c>
      <c r="B2541" t="s">
        <v>266</v>
      </c>
    </row>
    <row r="2542" spans="1:2" x14ac:dyDescent="0.25">
      <c r="A2542" t="s">
        <v>366</v>
      </c>
      <c r="B2542" t="s">
        <v>266</v>
      </c>
    </row>
    <row r="2543" spans="1:2" x14ac:dyDescent="0.25">
      <c r="A2543" t="s">
        <v>366</v>
      </c>
      <c r="B2543" t="s">
        <v>266</v>
      </c>
    </row>
    <row r="2544" spans="1:2" x14ac:dyDescent="0.25">
      <c r="A2544" t="s">
        <v>366</v>
      </c>
      <c r="B2544" t="s">
        <v>266</v>
      </c>
    </row>
    <row r="2545" spans="1:2" x14ac:dyDescent="0.25">
      <c r="A2545" t="s">
        <v>366</v>
      </c>
      <c r="B2545" t="s">
        <v>266</v>
      </c>
    </row>
    <row r="2546" spans="1:2" x14ac:dyDescent="0.25">
      <c r="A2546" t="s">
        <v>366</v>
      </c>
      <c r="B2546" t="s">
        <v>266</v>
      </c>
    </row>
    <row r="2547" spans="1:2" x14ac:dyDescent="0.25">
      <c r="A2547" t="s">
        <v>366</v>
      </c>
      <c r="B2547" t="s">
        <v>266</v>
      </c>
    </row>
    <row r="2548" spans="1:2" x14ac:dyDescent="0.25">
      <c r="A2548" t="s">
        <v>366</v>
      </c>
      <c r="B2548" t="s">
        <v>266</v>
      </c>
    </row>
    <row r="2549" spans="1:2" x14ac:dyDescent="0.25">
      <c r="A2549" t="s">
        <v>366</v>
      </c>
      <c r="B2549" t="s">
        <v>266</v>
      </c>
    </row>
    <row r="2550" spans="1:2" x14ac:dyDescent="0.25">
      <c r="A2550" t="s">
        <v>366</v>
      </c>
      <c r="B2550" t="s">
        <v>266</v>
      </c>
    </row>
    <row r="2551" spans="1:2" x14ac:dyDescent="0.25">
      <c r="A2551" t="s">
        <v>366</v>
      </c>
      <c r="B2551" t="s">
        <v>266</v>
      </c>
    </row>
    <row r="2552" spans="1:2" x14ac:dyDescent="0.25">
      <c r="A2552" t="s">
        <v>366</v>
      </c>
      <c r="B2552" t="s">
        <v>266</v>
      </c>
    </row>
    <row r="2553" spans="1:2" x14ac:dyDescent="0.25">
      <c r="A2553" t="s">
        <v>366</v>
      </c>
      <c r="B2553" t="s">
        <v>266</v>
      </c>
    </row>
    <row r="2554" spans="1:2" x14ac:dyDescent="0.25">
      <c r="A2554" t="s">
        <v>366</v>
      </c>
      <c r="B2554" t="s">
        <v>266</v>
      </c>
    </row>
    <row r="2555" spans="1:2" x14ac:dyDescent="0.25">
      <c r="A2555" t="s">
        <v>366</v>
      </c>
      <c r="B2555" t="s">
        <v>266</v>
      </c>
    </row>
    <row r="2556" spans="1:2" x14ac:dyDescent="0.25">
      <c r="A2556" t="s">
        <v>366</v>
      </c>
      <c r="B2556" t="s">
        <v>266</v>
      </c>
    </row>
    <row r="2557" spans="1:2" x14ac:dyDescent="0.25">
      <c r="A2557" t="s">
        <v>366</v>
      </c>
      <c r="B2557" t="s">
        <v>266</v>
      </c>
    </row>
    <row r="2558" spans="1:2" x14ac:dyDescent="0.25">
      <c r="A2558" t="s">
        <v>366</v>
      </c>
      <c r="B2558" t="s">
        <v>266</v>
      </c>
    </row>
    <row r="2559" spans="1:2" x14ac:dyDescent="0.25">
      <c r="A2559" t="s">
        <v>366</v>
      </c>
      <c r="B2559" t="s">
        <v>266</v>
      </c>
    </row>
    <row r="2560" spans="1:2" x14ac:dyDescent="0.25">
      <c r="A2560" t="s">
        <v>366</v>
      </c>
      <c r="B2560" t="s">
        <v>266</v>
      </c>
    </row>
    <row r="2561" spans="1:2" x14ac:dyDescent="0.25">
      <c r="A2561" t="s">
        <v>366</v>
      </c>
      <c r="B2561" t="s">
        <v>266</v>
      </c>
    </row>
    <row r="2562" spans="1:2" x14ac:dyDescent="0.25">
      <c r="A2562" t="s">
        <v>366</v>
      </c>
      <c r="B2562" t="s">
        <v>266</v>
      </c>
    </row>
    <row r="2563" spans="1:2" x14ac:dyDescent="0.25">
      <c r="A2563" t="s">
        <v>367</v>
      </c>
      <c r="B2563" t="s">
        <v>265</v>
      </c>
    </row>
    <row r="2564" spans="1:2" x14ac:dyDescent="0.25">
      <c r="A2564" t="s">
        <v>367</v>
      </c>
      <c r="B2564" t="s">
        <v>265</v>
      </c>
    </row>
    <row r="2565" spans="1:2" x14ac:dyDescent="0.25">
      <c r="A2565" t="s">
        <v>367</v>
      </c>
      <c r="B2565" t="s">
        <v>265</v>
      </c>
    </row>
    <row r="2566" spans="1:2" x14ac:dyDescent="0.25">
      <c r="A2566" t="s">
        <v>367</v>
      </c>
      <c r="B2566" t="s">
        <v>265</v>
      </c>
    </row>
    <row r="2567" spans="1:2" x14ac:dyDescent="0.25">
      <c r="A2567" t="s">
        <v>367</v>
      </c>
      <c r="B2567" t="s">
        <v>265</v>
      </c>
    </row>
    <row r="2568" spans="1:2" x14ac:dyDescent="0.25">
      <c r="A2568" t="s">
        <v>367</v>
      </c>
      <c r="B2568" t="s">
        <v>265</v>
      </c>
    </row>
    <row r="2569" spans="1:2" x14ac:dyDescent="0.25">
      <c r="A2569" t="s">
        <v>367</v>
      </c>
      <c r="B2569" t="s">
        <v>265</v>
      </c>
    </row>
    <row r="2570" spans="1:2" x14ac:dyDescent="0.25">
      <c r="A2570" t="s">
        <v>367</v>
      </c>
      <c r="B2570" t="s">
        <v>265</v>
      </c>
    </row>
    <row r="2571" spans="1:2" x14ac:dyDescent="0.25">
      <c r="A2571" t="s">
        <v>367</v>
      </c>
      <c r="B2571" t="s">
        <v>265</v>
      </c>
    </row>
    <row r="2572" spans="1:2" x14ac:dyDescent="0.25">
      <c r="A2572" t="s">
        <v>367</v>
      </c>
      <c r="B2572" t="s">
        <v>265</v>
      </c>
    </row>
    <row r="2573" spans="1:2" x14ac:dyDescent="0.25">
      <c r="A2573" t="s">
        <v>367</v>
      </c>
      <c r="B2573" t="s">
        <v>265</v>
      </c>
    </row>
    <row r="2574" spans="1:2" x14ac:dyDescent="0.25">
      <c r="A2574" t="s">
        <v>367</v>
      </c>
      <c r="B2574" t="s">
        <v>265</v>
      </c>
    </row>
    <row r="2575" spans="1:2" x14ac:dyDescent="0.25">
      <c r="A2575" t="s">
        <v>367</v>
      </c>
      <c r="B2575" t="s">
        <v>265</v>
      </c>
    </row>
    <row r="2576" spans="1:2" x14ac:dyDescent="0.25">
      <c r="A2576" t="s">
        <v>367</v>
      </c>
      <c r="B2576" t="s">
        <v>265</v>
      </c>
    </row>
    <row r="2577" spans="1:2" x14ac:dyDescent="0.25">
      <c r="A2577" t="s">
        <v>367</v>
      </c>
      <c r="B2577" t="s">
        <v>265</v>
      </c>
    </row>
    <row r="2578" spans="1:2" x14ac:dyDescent="0.25">
      <c r="A2578" t="s">
        <v>367</v>
      </c>
      <c r="B2578" t="s">
        <v>265</v>
      </c>
    </row>
    <row r="2579" spans="1:2" x14ac:dyDescent="0.25">
      <c r="A2579" t="s">
        <v>367</v>
      </c>
      <c r="B2579" t="s">
        <v>265</v>
      </c>
    </row>
    <row r="2580" spans="1:2" x14ac:dyDescent="0.25">
      <c r="A2580" t="s">
        <v>367</v>
      </c>
      <c r="B2580" t="s">
        <v>265</v>
      </c>
    </row>
    <row r="2581" spans="1:2" x14ac:dyDescent="0.25">
      <c r="A2581" t="s">
        <v>367</v>
      </c>
      <c r="B2581" t="s">
        <v>265</v>
      </c>
    </row>
    <row r="2582" spans="1:2" x14ac:dyDescent="0.25">
      <c r="A2582" t="s">
        <v>367</v>
      </c>
      <c r="B2582" t="s">
        <v>265</v>
      </c>
    </row>
    <row r="2583" spans="1:2" x14ac:dyDescent="0.25">
      <c r="A2583" t="s">
        <v>367</v>
      </c>
      <c r="B2583" t="s">
        <v>265</v>
      </c>
    </row>
    <row r="2584" spans="1:2" x14ac:dyDescent="0.25">
      <c r="A2584" t="s">
        <v>367</v>
      </c>
      <c r="B2584" t="s">
        <v>265</v>
      </c>
    </row>
    <row r="2585" spans="1:2" x14ac:dyDescent="0.25">
      <c r="A2585" t="s">
        <v>367</v>
      </c>
      <c r="B2585" t="s">
        <v>265</v>
      </c>
    </row>
    <row r="2586" spans="1:2" x14ac:dyDescent="0.25">
      <c r="A2586" t="s">
        <v>367</v>
      </c>
      <c r="B2586" t="s">
        <v>265</v>
      </c>
    </row>
    <row r="2587" spans="1:2" x14ac:dyDescent="0.25">
      <c r="A2587" t="s">
        <v>367</v>
      </c>
      <c r="B2587" t="s">
        <v>265</v>
      </c>
    </row>
    <row r="2588" spans="1:2" x14ac:dyDescent="0.25">
      <c r="A2588" t="s">
        <v>367</v>
      </c>
      <c r="B2588" t="s">
        <v>265</v>
      </c>
    </row>
    <row r="2589" spans="1:2" x14ac:dyDescent="0.25">
      <c r="A2589" t="s">
        <v>367</v>
      </c>
      <c r="B2589" t="s">
        <v>265</v>
      </c>
    </row>
    <row r="2590" spans="1:2" x14ac:dyDescent="0.25">
      <c r="A2590" t="s">
        <v>368</v>
      </c>
      <c r="B2590" t="s">
        <v>266</v>
      </c>
    </row>
    <row r="2591" spans="1:2" x14ac:dyDescent="0.25">
      <c r="A2591" t="s">
        <v>368</v>
      </c>
      <c r="B2591" t="s">
        <v>266</v>
      </c>
    </row>
    <row r="2592" spans="1:2" x14ac:dyDescent="0.25">
      <c r="A2592" t="s">
        <v>368</v>
      </c>
      <c r="B2592" t="s">
        <v>266</v>
      </c>
    </row>
    <row r="2593" spans="1:2" x14ac:dyDescent="0.25">
      <c r="A2593" t="s">
        <v>368</v>
      </c>
      <c r="B2593" t="s">
        <v>266</v>
      </c>
    </row>
    <row r="2594" spans="1:2" x14ac:dyDescent="0.25">
      <c r="A2594" t="s">
        <v>368</v>
      </c>
      <c r="B2594" t="s">
        <v>266</v>
      </c>
    </row>
    <row r="2595" spans="1:2" x14ac:dyDescent="0.25">
      <c r="A2595" t="s">
        <v>368</v>
      </c>
      <c r="B2595" t="s">
        <v>266</v>
      </c>
    </row>
    <row r="2596" spans="1:2" x14ac:dyDescent="0.25">
      <c r="A2596" t="s">
        <v>368</v>
      </c>
      <c r="B2596" t="s">
        <v>266</v>
      </c>
    </row>
    <row r="2597" spans="1:2" x14ac:dyDescent="0.25">
      <c r="A2597" t="s">
        <v>368</v>
      </c>
      <c r="B2597" t="s">
        <v>266</v>
      </c>
    </row>
    <row r="2598" spans="1:2" x14ac:dyDescent="0.25">
      <c r="A2598" t="s">
        <v>368</v>
      </c>
      <c r="B2598" t="s">
        <v>266</v>
      </c>
    </row>
    <row r="2599" spans="1:2" x14ac:dyDescent="0.25">
      <c r="A2599" t="s">
        <v>368</v>
      </c>
      <c r="B2599" t="s">
        <v>266</v>
      </c>
    </row>
    <row r="2600" spans="1:2" x14ac:dyDescent="0.25">
      <c r="A2600" t="s">
        <v>368</v>
      </c>
      <c r="B2600" t="s">
        <v>266</v>
      </c>
    </row>
    <row r="2601" spans="1:2" x14ac:dyDescent="0.25">
      <c r="A2601" t="s">
        <v>368</v>
      </c>
      <c r="B2601" t="s">
        <v>266</v>
      </c>
    </row>
    <row r="2602" spans="1:2" x14ac:dyDescent="0.25">
      <c r="A2602" t="s">
        <v>368</v>
      </c>
      <c r="B2602" t="s">
        <v>266</v>
      </c>
    </row>
    <row r="2603" spans="1:2" x14ac:dyDescent="0.25">
      <c r="A2603" t="s">
        <v>368</v>
      </c>
      <c r="B2603" t="s">
        <v>266</v>
      </c>
    </row>
    <row r="2604" spans="1:2" x14ac:dyDescent="0.25">
      <c r="A2604" t="s">
        <v>368</v>
      </c>
      <c r="B2604" t="s">
        <v>266</v>
      </c>
    </row>
    <row r="2605" spans="1:2" x14ac:dyDescent="0.25">
      <c r="A2605" t="s">
        <v>368</v>
      </c>
      <c r="B2605" t="s">
        <v>266</v>
      </c>
    </row>
    <row r="2606" spans="1:2" x14ac:dyDescent="0.25">
      <c r="A2606" t="s">
        <v>368</v>
      </c>
      <c r="B2606" t="s">
        <v>266</v>
      </c>
    </row>
    <row r="2607" spans="1:2" x14ac:dyDescent="0.25">
      <c r="A2607" t="s">
        <v>368</v>
      </c>
      <c r="B2607" t="s">
        <v>266</v>
      </c>
    </row>
    <row r="2608" spans="1:2" x14ac:dyDescent="0.25">
      <c r="A2608" t="s">
        <v>368</v>
      </c>
      <c r="B2608" t="s">
        <v>266</v>
      </c>
    </row>
    <row r="2609" spans="1:2" x14ac:dyDescent="0.25">
      <c r="A2609" t="s">
        <v>368</v>
      </c>
      <c r="B2609" t="s">
        <v>266</v>
      </c>
    </row>
    <row r="2610" spans="1:2" x14ac:dyDescent="0.25">
      <c r="A2610" t="s">
        <v>368</v>
      </c>
      <c r="B2610" t="s">
        <v>266</v>
      </c>
    </row>
    <row r="2611" spans="1:2" x14ac:dyDescent="0.25">
      <c r="A2611" t="s">
        <v>368</v>
      </c>
      <c r="B2611" t="s">
        <v>266</v>
      </c>
    </row>
    <row r="2612" spans="1:2" x14ac:dyDescent="0.25">
      <c r="A2612" t="s">
        <v>368</v>
      </c>
      <c r="B2612" t="s">
        <v>266</v>
      </c>
    </row>
    <row r="2613" spans="1:2" x14ac:dyDescent="0.25">
      <c r="A2613" t="s">
        <v>368</v>
      </c>
      <c r="B2613" t="s">
        <v>266</v>
      </c>
    </row>
    <row r="2614" spans="1:2" x14ac:dyDescent="0.25">
      <c r="A2614" t="s">
        <v>368</v>
      </c>
      <c r="B2614" t="s">
        <v>266</v>
      </c>
    </row>
    <row r="2615" spans="1:2" x14ac:dyDescent="0.25">
      <c r="A2615" t="s">
        <v>368</v>
      </c>
      <c r="B2615" t="s">
        <v>266</v>
      </c>
    </row>
    <row r="2616" spans="1:2" x14ac:dyDescent="0.25">
      <c r="A2616" t="s">
        <v>369</v>
      </c>
      <c r="B2616" t="s">
        <v>262</v>
      </c>
    </row>
    <row r="2617" spans="1:2" x14ac:dyDescent="0.25">
      <c r="A2617" t="s">
        <v>369</v>
      </c>
      <c r="B2617" t="s">
        <v>262</v>
      </c>
    </row>
    <row r="2618" spans="1:2" x14ac:dyDescent="0.25">
      <c r="A2618" t="s">
        <v>369</v>
      </c>
      <c r="B2618" t="s">
        <v>262</v>
      </c>
    </row>
    <row r="2619" spans="1:2" x14ac:dyDescent="0.25">
      <c r="A2619" t="s">
        <v>369</v>
      </c>
      <c r="B2619" t="s">
        <v>262</v>
      </c>
    </row>
    <row r="2620" spans="1:2" x14ac:dyDescent="0.25">
      <c r="A2620" t="s">
        <v>369</v>
      </c>
      <c r="B2620" t="s">
        <v>262</v>
      </c>
    </row>
    <row r="2621" spans="1:2" x14ac:dyDescent="0.25">
      <c r="A2621" t="s">
        <v>369</v>
      </c>
      <c r="B2621" t="s">
        <v>262</v>
      </c>
    </row>
    <row r="2622" spans="1:2" x14ac:dyDescent="0.25">
      <c r="A2622" t="s">
        <v>369</v>
      </c>
      <c r="B2622" t="s">
        <v>262</v>
      </c>
    </row>
    <row r="2623" spans="1:2" x14ac:dyDescent="0.25">
      <c r="A2623" t="s">
        <v>369</v>
      </c>
      <c r="B2623" t="s">
        <v>262</v>
      </c>
    </row>
    <row r="2624" spans="1:2" x14ac:dyDescent="0.25">
      <c r="A2624" t="s">
        <v>369</v>
      </c>
      <c r="B2624" t="s">
        <v>262</v>
      </c>
    </row>
    <row r="2625" spans="1:2" x14ac:dyDescent="0.25">
      <c r="A2625" t="s">
        <v>369</v>
      </c>
      <c r="B2625" t="s">
        <v>262</v>
      </c>
    </row>
    <row r="2626" spans="1:2" x14ac:dyDescent="0.25">
      <c r="A2626" t="s">
        <v>369</v>
      </c>
      <c r="B2626" t="s">
        <v>262</v>
      </c>
    </row>
    <row r="2627" spans="1:2" x14ac:dyDescent="0.25">
      <c r="A2627" t="s">
        <v>369</v>
      </c>
      <c r="B2627" t="s">
        <v>262</v>
      </c>
    </row>
    <row r="2628" spans="1:2" x14ac:dyDescent="0.25">
      <c r="A2628" t="s">
        <v>369</v>
      </c>
      <c r="B2628" t="s">
        <v>262</v>
      </c>
    </row>
    <row r="2629" spans="1:2" x14ac:dyDescent="0.25">
      <c r="A2629" t="s">
        <v>369</v>
      </c>
      <c r="B2629" t="s">
        <v>262</v>
      </c>
    </row>
    <row r="2630" spans="1:2" x14ac:dyDescent="0.25">
      <c r="A2630" t="s">
        <v>369</v>
      </c>
      <c r="B2630" t="s">
        <v>262</v>
      </c>
    </row>
    <row r="2631" spans="1:2" x14ac:dyDescent="0.25">
      <c r="A2631" t="s">
        <v>369</v>
      </c>
      <c r="B2631" t="s">
        <v>262</v>
      </c>
    </row>
    <row r="2632" spans="1:2" x14ac:dyDescent="0.25">
      <c r="A2632" t="s">
        <v>369</v>
      </c>
      <c r="B2632" t="s">
        <v>262</v>
      </c>
    </row>
    <row r="2633" spans="1:2" x14ac:dyDescent="0.25">
      <c r="A2633" t="s">
        <v>369</v>
      </c>
      <c r="B2633" t="s">
        <v>262</v>
      </c>
    </row>
    <row r="2634" spans="1:2" x14ac:dyDescent="0.25">
      <c r="A2634" t="s">
        <v>369</v>
      </c>
      <c r="B2634" t="s">
        <v>262</v>
      </c>
    </row>
    <row r="2635" spans="1:2" x14ac:dyDescent="0.25">
      <c r="A2635" t="s">
        <v>369</v>
      </c>
      <c r="B2635" t="s">
        <v>262</v>
      </c>
    </row>
    <row r="2636" spans="1:2" x14ac:dyDescent="0.25">
      <c r="A2636" t="s">
        <v>369</v>
      </c>
      <c r="B2636" t="s">
        <v>262</v>
      </c>
    </row>
    <row r="2637" spans="1:2" x14ac:dyDescent="0.25">
      <c r="A2637" t="s">
        <v>369</v>
      </c>
      <c r="B2637" t="s">
        <v>262</v>
      </c>
    </row>
    <row r="2638" spans="1:2" x14ac:dyDescent="0.25">
      <c r="A2638" t="s">
        <v>369</v>
      </c>
      <c r="B2638" t="s">
        <v>262</v>
      </c>
    </row>
    <row r="2639" spans="1:2" x14ac:dyDescent="0.25">
      <c r="A2639" t="s">
        <v>369</v>
      </c>
      <c r="B2639" t="s">
        <v>262</v>
      </c>
    </row>
    <row r="2640" spans="1:2" x14ac:dyDescent="0.25">
      <c r="A2640" t="s">
        <v>369</v>
      </c>
      <c r="B2640" t="s">
        <v>262</v>
      </c>
    </row>
    <row r="2641" spans="1:2" x14ac:dyDescent="0.25">
      <c r="A2641" t="s">
        <v>369</v>
      </c>
      <c r="B2641" t="s">
        <v>262</v>
      </c>
    </row>
    <row r="2642" spans="1:2" x14ac:dyDescent="0.25">
      <c r="A2642" t="s">
        <v>369</v>
      </c>
      <c r="B2642" t="s">
        <v>262</v>
      </c>
    </row>
    <row r="2643" spans="1:2" x14ac:dyDescent="0.25">
      <c r="A2643" t="s">
        <v>370</v>
      </c>
      <c r="B2643" t="s">
        <v>265</v>
      </c>
    </row>
    <row r="2644" spans="1:2" x14ac:dyDescent="0.25">
      <c r="A2644" t="s">
        <v>370</v>
      </c>
      <c r="B2644" t="s">
        <v>265</v>
      </c>
    </row>
    <row r="2645" spans="1:2" x14ac:dyDescent="0.25">
      <c r="A2645" t="s">
        <v>370</v>
      </c>
      <c r="B2645" t="s">
        <v>265</v>
      </c>
    </row>
    <row r="2646" spans="1:2" x14ac:dyDescent="0.25">
      <c r="A2646" t="s">
        <v>370</v>
      </c>
      <c r="B2646" t="s">
        <v>265</v>
      </c>
    </row>
    <row r="2647" spans="1:2" x14ac:dyDescent="0.25">
      <c r="A2647" t="s">
        <v>370</v>
      </c>
      <c r="B2647" t="s">
        <v>265</v>
      </c>
    </row>
    <row r="2648" spans="1:2" x14ac:dyDescent="0.25">
      <c r="A2648" t="s">
        <v>370</v>
      </c>
      <c r="B2648" t="s">
        <v>265</v>
      </c>
    </row>
    <row r="2649" spans="1:2" x14ac:dyDescent="0.25">
      <c r="A2649" t="s">
        <v>370</v>
      </c>
      <c r="B2649" t="s">
        <v>265</v>
      </c>
    </row>
    <row r="2650" spans="1:2" x14ac:dyDescent="0.25">
      <c r="A2650" t="s">
        <v>370</v>
      </c>
      <c r="B2650" t="s">
        <v>265</v>
      </c>
    </row>
    <row r="2651" spans="1:2" x14ac:dyDescent="0.25">
      <c r="A2651" t="s">
        <v>370</v>
      </c>
      <c r="B2651" t="s">
        <v>265</v>
      </c>
    </row>
    <row r="2652" spans="1:2" x14ac:dyDescent="0.25">
      <c r="A2652" t="s">
        <v>370</v>
      </c>
      <c r="B2652" t="s">
        <v>265</v>
      </c>
    </row>
    <row r="2653" spans="1:2" x14ac:dyDescent="0.25">
      <c r="A2653" t="s">
        <v>370</v>
      </c>
      <c r="B2653" t="s">
        <v>265</v>
      </c>
    </row>
    <row r="2654" spans="1:2" x14ac:dyDescent="0.25">
      <c r="A2654" t="s">
        <v>370</v>
      </c>
      <c r="B2654" t="s">
        <v>265</v>
      </c>
    </row>
    <row r="2655" spans="1:2" x14ac:dyDescent="0.25">
      <c r="A2655" t="s">
        <v>370</v>
      </c>
      <c r="B2655" t="s">
        <v>265</v>
      </c>
    </row>
    <row r="2656" spans="1:2" x14ac:dyDescent="0.25">
      <c r="A2656" t="s">
        <v>370</v>
      </c>
      <c r="B2656" t="s">
        <v>265</v>
      </c>
    </row>
    <row r="2657" spans="1:2" x14ac:dyDescent="0.25">
      <c r="A2657" t="s">
        <v>370</v>
      </c>
      <c r="B2657" t="s">
        <v>265</v>
      </c>
    </row>
    <row r="2658" spans="1:2" x14ac:dyDescent="0.25">
      <c r="A2658" t="s">
        <v>370</v>
      </c>
      <c r="B2658" t="s">
        <v>265</v>
      </c>
    </row>
    <row r="2659" spans="1:2" x14ac:dyDescent="0.25">
      <c r="A2659" t="s">
        <v>370</v>
      </c>
      <c r="B2659" t="s">
        <v>265</v>
      </c>
    </row>
    <row r="2660" spans="1:2" x14ac:dyDescent="0.25">
      <c r="A2660" t="s">
        <v>370</v>
      </c>
      <c r="B2660" t="s">
        <v>265</v>
      </c>
    </row>
    <row r="2661" spans="1:2" x14ac:dyDescent="0.25">
      <c r="A2661" t="s">
        <v>370</v>
      </c>
      <c r="B2661" t="s">
        <v>265</v>
      </c>
    </row>
    <row r="2662" spans="1:2" x14ac:dyDescent="0.25">
      <c r="A2662" t="s">
        <v>370</v>
      </c>
      <c r="B2662" t="s">
        <v>265</v>
      </c>
    </row>
    <row r="2663" spans="1:2" x14ac:dyDescent="0.25">
      <c r="A2663" t="s">
        <v>370</v>
      </c>
      <c r="B2663" t="s">
        <v>265</v>
      </c>
    </row>
    <row r="2664" spans="1:2" x14ac:dyDescent="0.25">
      <c r="A2664" t="s">
        <v>370</v>
      </c>
      <c r="B2664" t="s">
        <v>265</v>
      </c>
    </row>
    <row r="2665" spans="1:2" x14ac:dyDescent="0.25">
      <c r="A2665" t="s">
        <v>370</v>
      </c>
      <c r="B2665" t="s">
        <v>265</v>
      </c>
    </row>
    <row r="2666" spans="1:2" x14ac:dyDescent="0.25">
      <c r="A2666" t="s">
        <v>370</v>
      </c>
      <c r="B2666" t="s">
        <v>265</v>
      </c>
    </row>
    <row r="2667" spans="1:2" x14ac:dyDescent="0.25">
      <c r="A2667" t="s">
        <v>370</v>
      </c>
      <c r="B2667" t="s">
        <v>265</v>
      </c>
    </row>
    <row r="2668" spans="1:2" x14ac:dyDescent="0.25">
      <c r="A2668" t="s">
        <v>371</v>
      </c>
      <c r="B2668" t="s">
        <v>265</v>
      </c>
    </row>
    <row r="2669" spans="1:2" x14ac:dyDescent="0.25">
      <c r="A2669" t="s">
        <v>371</v>
      </c>
      <c r="B2669" t="s">
        <v>265</v>
      </c>
    </row>
    <row r="2670" spans="1:2" x14ac:dyDescent="0.25">
      <c r="A2670" t="s">
        <v>371</v>
      </c>
      <c r="B2670" t="s">
        <v>265</v>
      </c>
    </row>
    <row r="2671" spans="1:2" x14ac:dyDescent="0.25">
      <c r="A2671" t="s">
        <v>371</v>
      </c>
      <c r="B2671" t="s">
        <v>265</v>
      </c>
    </row>
    <row r="2672" spans="1:2" x14ac:dyDescent="0.25">
      <c r="A2672" t="s">
        <v>371</v>
      </c>
      <c r="B2672" t="s">
        <v>265</v>
      </c>
    </row>
    <row r="2673" spans="1:2" x14ac:dyDescent="0.25">
      <c r="A2673" t="s">
        <v>371</v>
      </c>
      <c r="B2673" t="s">
        <v>265</v>
      </c>
    </row>
    <row r="2674" spans="1:2" x14ac:dyDescent="0.25">
      <c r="A2674" t="s">
        <v>371</v>
      </c>
      <c r="B2674" t="s">
        <v>265</v>
      </c>
    </row>
    <row r="2675" spans="1:2" x14ac:dyDescent="0.25">
      <c r="A2675" t="s">
        <v>371</v>
      </c>
      <c r="B2675" t="s">
        <v>265</v>
      </c>
    </row>
    <row r="2676" spans="1:2" x14ac:dyDescent="0.25">
      <c r="A2676" t="s">
        <v>371</v>
      </c>
      <c r="B2676" t="s">
        <v>265</v>
      </c>
    </row>
    <row r="2677" spans="1:2" x14ac:dyDescent="0.25">
      <c r="A2677" t="s">
        <v>371</v>
      </c>
      <c r="B2677" t="s">
        <v>265</v>
      </c>
    </row>
    <row r="2678" spans="1:2" x14ac:dyDescent="0.25">
      <c r="A2678" t="s">
        <v>371</v>
      </c>
      <c r="B2678" t="s">
        <v>265</v>
      </c>
    </row>
    <row r="2679" spans="1:2" x14ac:dyDescent="0.25">
      <c r="A2679" t="s">
        <v>371</v>
      </c>
      <c r="B2679" t="s">
        <v>265</v>
      </c>
    </row>
    <row r="2680" spans="1:2" x14ac:dyDescent="0.25">
      <c r="A2680" t="s">
        <v>371</v>
      </c>
      <c r="B2680" t="s">
        <v>265</v>
      </c>
    </row>
    <row r="2681" spans="1:2" x14ac:dyDescent="0.25">
      <c r="A2681" t="s">
        <v>371</v>
      </c>
      <c r="B2681" t="s">
        <v>265</v>
      </c>
    </row>
    <row r="2682" spans="1:2" x14ac:dyDescent="0.25">
      <c r="A2682" t="s">
        <v>371</v>
      </c>
      <c r="B2682" t="s">
        <v>265</v>
      </c>
    </row>
    <row r="2683" spans="1:2" x14ac:dyDescent="0.25">
      <c r="A2683" t="s">
        <v>371</v>
      </c>
      <c r="B2683" t="s">
        <v>265</v>
      </c>
    </row>
    <row r="2684" spans="1:2" x14ac:dyDescent="0.25">
      <c r="A2684" t="s">
        <v>371</v>
      </c>
      <c r="B2684" t="s">
        <v>265</v>
      </c>
    </row>
    <row r="2685" spans="1:2" x14ac:dyDescent="0.25">
      <c r="A2685" t="s">
        <v>371</v>
      </c>
      <c r="B2685" t="s">
        <v>265</v>
      </c>
    </row>
    <row r="2686" spans="1:2" x14ac:dyDescent="0.25">
      <c r="A2686" t="s">
        <v>371</v>
      </c>
      <c r="B2686" t="s">
        <v>265</v>
      </c>
    </row>
    <row r="2687" spans="1:2" x14ac:dyDescent="0.25">
      <c r="A2687" t="s">
        <v>371</v>
      </c>
      <c r="B2687" t="s">
        <v>265</v>
      </c>
    </row>
    <row r="2688" spans="1:2" x14ac:dyDescent="0.25">
      <c r="A2688" t="s">
        <v>371</v>
      </c>
      <c r="B2688" t="s">
        <v>265</v>
      </c>
    </row>
    <row r="2689" spans="1:2" x14ac:dyDescent="0.25">
      <c r="A2689" t="s">
        <v>371</v>
      </c>
      <c r="B2689" t="s">
        <v>265</v>
      </c>
    </row>
    <row r="2690" spans="1:2" x14ac:dyDescent="0.25">
      <c r="A2690" t="s">
        <v>371</v>
      </c>
      <c r="B2690" t="s">
        <v>265</v>
      </c>
    </row>
    <row r="2691" spans="1:2" x14ac:dyDescent="0.25">
      <c r="A2691" t="s">
        <v>371</v>
      </c>
      <c r="B2691" t="s">
        <v>265</v>
      </c>
    </row>
    <row r="2692" spans="1:2" x14ac:dyDescent="0.25">
      <c r="A2692" t="s">
        <v>371</v>
      </c>
      <c r="B2692" t="s">
        <v>265</v>
      </c>
    </row>
    <row r="2693" spans="1:2" x14ac:dyDescent="0.25">
      <c r="A2693" t="s">
        <v>372</v>
      </c>
      <c r="B2693" t="s">
        <v>266</v>
      </c>
    </row>
    <row r="2694" spans="1:2" x14ac:dyDescent="0.25">
      <c r="A2694" t="s">
        <v>372</v>
      </c>
      <c r="B2694" t="s">
        <v>266</v>
      </c>
    </row>
    <row r="2695" spans="1:2" x14ac:dyDescent="0.25">
      <c r="A2695" t="s">
        <v>372</v>
      </c>
      <c r="B2695" t="s">
        <v>266</v>
      </c>
    </row>
    <row r="2696" spans="1:2" x14ac:dyDescent="0.25">
      <c r="A2696" t="s">
        <v>372</v>
      </c>
      <c r="B2696" t="s">
        <v>266</v>
      </c>
    </row>
    <row r="2697" spans="1:2" x14ac:dyDescent="0.25">
      <c r="A2697" t="s">
        <v>372</v>
      </c>
      <c r="B2697" t="s">
        <v>266</v>
      </c>
    </row>
    <row r="2698" spans="1:2" x14ac:dyDescent="0.25">
      <c r="A2698" t="s">
        <v>372</v>
      </c>
      <c r="B2698" t="s">
        <v>266</v>
      </c>
    </row>
    <row r="2699" spans="1:2" x14ac:dyDescent="0.25">
      <c r="A2699" t="s">
        <v>372</v>
      </c>
      <c r="B2699" t="s">
        <v>266</v>
      </c>
    </row>
    <row r="2700" spans="1:2" x14ac:dyDescent="0.25">
      <c r="A2700" t="s">
        <v>372</v>
      </c>
      <c r="B2700" t="s">
        <v>266</v>
      </c>
    </row>
    <row r="2701" spans="1:2" x14ac:dyDescent="0.25">
      <c r="A2701" t="s">
        <v>372</v>
      </c>
      <c r="B2701" t="s">
        <v>266</v>
      </c>
    </row>
    <row r="2702" spans="1:2" x14ac:dyDescent="0.25">
      <c r="A2702" t="s">
        <v>372</v>
      </c>
      <c r="B2702" t="s">
        <v>266</v>
      </c>
    </row>
    <row r="2703" spans="1:2" x14ac:dyDescent="0.25">
      <c r="A2703" t="s">
        <v>372</v>
      </c>
      <c r="B2703" t="s">
        <v>266</v>
      </c>
    </row>
    <row r="2704" spans="1:2" x14ac:dyDescent="0.25">
      <c r="A2704" t="s">
        <v>372</v>
      </c>
      <c r="B2704" t="s">
        <v>266</v>
      </c>
    </row>
    <row r="2705" spans="1:2" x14ac:dyDescent="0.25">
      <c r="A2705" t="s">
        <v>372</v>
      </c>
      <c r="B2705" t="s">
        <v>266</v>
      </c>
    </row>
    <row r="2706" spans="1:2" x14ac:dyDescent="0.25">
      <c r="A2706" t="s">
        <v>372</v>
      </c>
      <c r="B2706" t="s">
        <v>266</v>
      </c>
    </row>
    <row r="2707" spans="1:2" x14ac:dyDescent="0.25">
      <c r="A2707" t="s">
        <v>372</v>
      </c>
      <c r="B2707" t="s">
        <v>266</v>
      </c>
    </row>
    <row r="2708" spans="1:2" x14ac:dyDescent="0.25">
      <c r="A2708" t="s">
        <v>372</v>
      </c>
      <c r="B2708" t="s">
        <v>266</v>
      </c>
    </row>
    <row r="2709" spans="1:2" x14ac:dyDescent="0.25">
      <c r="A2709" t="s">
        <v>372</v>
      </c>
      <c r="B2709" t="s">
        <v>266</v>
      </c>
    </row>
    <row r="2710" spans="1:2" x14ac:dyDescent="0.25">
      <c r="A2710" t="s">
        <v>372</v>
      </c>
      <c r="B2710" t="s">
        <v>266</v>
      </c>
    </row>
    <row r="2711" spans="1:2" x14ac:dyDescent="0.25">
      <c r="A2711" t="s">
        <v>372</v>
      </c>
      <c r="B2711" t="s">
        <v>266</v>
      </c>
    </row>
    <row r="2712" spans="1:2" x14ac:dyDescent="0.25">
      <c r="A2712" t="s">
        <v>372</v>
      </c>
      <c r="B2712" t="s">
        <v>266</v>
      </c>
    </row>
    <row r="2713" spans="1:2" x14ac:dyDescent="0.25">
      <c r="A2713" t="s">
        <v>372</v>
      </c>
      <c r="B2713" t="s">
        <v>266</v>
      </c>
    </row>
    <row r="2714" spans="1:2" x14ac:dyDescent="0.25">
      <c r="A2714" t="s">
        <v>372</v>
      </c>
      <c r="B2714" t="s">
        <v>266</v>
      </c>
    </row>
    <row r="2715" spans="1:2" x14ac:dyDescent="0.25">
      <c r="A2715" t="s">
        <v>372</v>
      </c>
      <c r="B2715" t="s">
        <v>266</v>
      </c>
    </row>
    <row r="2716" spans="1:2" x14ac:dyDescent="0.25">
      <c r="A2716" t="s">
        <v>372</v>
      </c>
      <c r="B2716" t="s">
        <v>266</v>
      </c>
    </row>
    <row r="2717" spans="1:2" x14ac:dyDescent="0.25">
      <c r="A2717" t="s">
        <v>372</v>
      </c>
      <c r="B2717" t="s">
        <v>266</v>
      </c>
    </row>
    <row r="2718" spans="1:2" x14ac:dyDescent="0.25">
      <c r="A2718" t="s">
        <v>372</v>
      </c>
      <c r="B2718" t="s">
        <v>266</v>
      </c>
    </row>
    <row r="2719" spans="1:2" x14ac:dyDescent="0.25">
      <c r="A2719" t="s">
        <v>373</v>
      </c>
      <c r="B2719" t="s">
        <v>266</v>
      </c>
    </row>
    <row r="2720" spans="1:2" x14ac:dyDescent="0.25">
      <c r="A2720" t="s">
        <v>373</v>
      </c>
      <c r="B2720" t="s">
        <v>266</v>
      </c>
    </row>
    <row r="2721" spans="1:2" x14ac:dyDescent="0.25">
      <c r="A2721" t="s">
        <v>373</v>
      </c>
      <c r="B2721" t="s">
        <v>266</v>
      </c>
    </row>
    <row r="2722" spans="1:2" x14ac:dyDescent="0.25">
      <c r="A2722" t="s">
        <v>373</v>
      </c>
      <c r="B2722" t="s">
        <v>266</v>
      </c>
    </row>
    <row r="2723" spans="1:2" x14ac:dyDescent="0.25">
      <c r="A2723" t="s">
        <v>373</v>
      </c>
      <c r="B2723" t="s">
        <v>266</v>
      </c>
    </row>
    <row r="2724" spans="1:2" x14ac:dyDescent="0.25">
      <c r="A2724" t="s">
        <v>373</v>
      </c>
      <c r="B2724" t="s">
        <v>266</v>
      </c>
    </row>
    <row r="2725" spans="1:2" x14ac:dyDescent="0.25">
      <c r="A2725" t="s">
        <v>373</v>
      </c>
      <c r="B2725" t="s">
        <v>266</v>
      </c>
    </row>
    <row r="2726" spans="1:2" x14ac:dyDescent="0.25">
      <c r="A2726" t="s">
        <v>373</v>
      </c>
      <c r="B2726" t="s">
        <v>266</v>
      </c>
    </row>
    <row r="2727" spans="1:2" x14ac:dyDescent="0.25">
      <c r="A2727" t="s">
        <v>373</v>
      </c>
      <c r="B2727" t="s">
        <v>266</v>
      </c>
    </row>
    <row r="2728" spans="1:2" x14ac:dyDescent="0.25">
      <c r="A2728" t="s">
        <v>373</v>
      </c>
      <c r="B2728" t="s">
        <v>266</v>
      </c>
    </row>
    <row r="2729" spans="1:2" x14ac:dyDescent="0.25">
      <c r="A2729" t="s">
        <v>373</v>
      </c>
      <c r="B2729" t="s">
        <v>266</v>
      </c>
    </row>
    <row r="2730" spans="1:2" x14ac:dyDescent="0.25">
      <c r="A2730" t="s">
        <v>373</v>
      </c>
      <c r="B2730" t="s">
        <v>266</v>
      </c>
    </row>
    <row r="2731" spans="1:2" x14ac:dyDescent="0.25">
      <c r="A2731" t="s">
        <v>373</v>
      </c>
      <c r="B2731" t="s">
        <v>266</v>
      </c>
    </row>
    <row r="2732" spans="1:2" x14ac:dyDescent="0.25">
      <c r="A2732" t="s">
        <v>373</v>
      </c>
      <c r="B2732" t="s">
        <v>266</v>
      </c>
    </row>
    <row r="2733" spans="1:2" x14ac:dyDescent="0.25">
      <c r="A2733" t="s">
        <v>373</v>
      </c>
      <c r="B2733" t="s">
        <v>266</v>
      </c>
    </row>
    <row r="2734" spans="1:2" x14ac:dyDescent="0.25">
      <c r="A2734" t="s">
        <v>373</v>
      </c>
      <c r="B2734" t="s">
        <v>266</v>
      </c>
    </row>
    <row r="2735" spans="1:2" x14ac:dyDescent="0.25">
      <c r="A2735" t="s">
        <v>373</v>
      </c>
      <c r="B2735" t="s">
        <v>266</v>
      </c>
    </row>
    <row r="2736" spans="1:2" x14ac:dyDescent="0.25">
      <c r="A2736" t="s">
        <v>373</v>
      </c>
      <c r="B2736" t="s">
        <v>266</v>
      </c>
    </row>
    <row r="2737" spans="1:2" x14ac:dyDescent="0.25">
      <c r="A2737" t="s">
        <v>373</v>
      </c>
      <c r="B2737" t="s">
        <v>266</v>
      </c>
    </row>
    <row r="2738" spans="1:2" x14ac:dyDescent="0.25">
      <c r="A2738" t="s">
        <v>373</v>
      </c>
      <c r="B2738" t="s">
        <v>266</v>
      </c>
    </row>
    <row r="2739" spans="1:2" x14ac:dyDescent="0.25">
      <c r="A2739" t="s">
        <v>373</v>
      </c>
      <c r="B2739" t="s">
        <v>266</v>
      </c>
    </row>
    <row r="2740" spans="1:2" x14ac:dyDescent="0.25">
      <c r="A2740" t="s">
        <v>373</v>
      </c>
      <c r="B2740" t="s">
        <v>266</v>
      </c>
    </row>
    <row r="2741" spans="1:2" x14ac:dyDescent="0.25">
      <c r="A2741" t="s">
        <v>373</v>
      </c>
      <c r="B2741" t="s">
        <v>266</v>
      </c>
    </row>
    <row r="2742" spans="1:2" x14ac:dyDescent="0.25">
      <c r="A2742" t="s">
        <v>373</v>
      </c>
      <c r="B2742" t="s">
        <v>266</v>
      </c>
    </row>
    <row r="2743" spans="1:2" x14ac:dyDescent="0.25">
      <c r="A2743" t="s">
        <v>373</v>
      </c>
      <c r="B2743" t="s">
        <v>266</v>
      </c>
    </row>
    <row r="2744" spans="1:2" x14ac:dyDescent="0.25">
      <c r="A2744" t="s">
        <v>373</v>
      </c>
      <c r="B2744" t="s">
        <v>266</v>
      </c>
    </row>
    <row r="2745" spans="1:2" x14ac:dyDescent="0.25">
      <c r="A2745" t="s">
        <v>374</v>
      </c>
      <c r="B2745" t="s">
        <v>265</v>
      </c>
    </row>
    <row r="2746" spans="1:2" x14ac:dyDescent="0.25">
      <c r="A2746" t="s">
        <v>374</v>
      </c>
      <c r="B2746" t="s">
        <v>265</v>
      </c>
    </row>
    <row r="2747" spans="1:2" x14ac:dyDescent="0.25">
      <c r="A2747" t="s">
        <v>374</v>
      </c>
      <c r="B2747" t="s">
        <v>265</v>
      </c>
    </row>
    <row r="2748" spans="1:2" x14ac:dyDescent="0.25">
      <c r="A2748" t="s">
        <v>374</v>
      </c>
      <c r="B2748" t="s">
        <v>265</v>
      </c>
    </row>
    <row r="2749" spans="1:2" x14ac:dyDescent="0.25">
      <c r="A2749" t="s">
        <v>374</v>
      </c>
      <c r="B2749" t="s">
        <v>265</v>
      </c>
    </row>
    <row r="2750" spans="1:2" x14ac:dyDescent="0.25">
      <c r="A2750" t="s">
        <v>374</v>
      </c>
      <c r="B2750" t="s">
        <v>265</v>
      </c>
    </row>
    <row r="2751" spans="1:2" x14ac:dyDescent="0.25">
      <c r="A2751" t="s">
        <v>374</v>
      </c>
      <c r="B2751" t="s">
        <v>265</v>
      </c>
    </row>
    <row r="2752" spans="1:2" x14ac:dyDescent="0.25">
      <c r="A2752" t="s">
        <v>374</v>
      </c>
      <c r="B2752" t="s">
        <v>265</v>
      </c>
    </row>
    <row r="2753" spans="1:2" x14ac:dyDescent="0.25">
      <c r="A2753" t="s">
        <v>374</v>
      </c>
      <c r="B2753" t="s">
        <v>265</v>
      </c>
    </row>
    <row r="2754" spans="1:2" x14ac:dyDescent="0.25">
      <c r="A2754" t="s">
        <v>374</v>
      </c>
      <c r="B2754" t="s">
        <v>265</v>
      </c>
    </row>
    <row r="2755" spans="1:2" x14ac:dyDescent="0.25">
      <c r="A2755" t="s">
        <v>374</v>
      </c>
      <c r="B2755" t="s">
        <v>265</v>
      </c>
    </row>
    <row r="2756" spans="1:2" x14ac:dyDescent="0.25">
      <c r="A2756" t="s">
        <v>374</v>
      </c>
      <c r="B2756" t="s">
        <v>265</v>
      </c>
    </row>
    <row r="2757" spans="1:2" x14ac:dyDescent="0.25">
      <c r="A2757" t="s">
        <v>374</v>
      </c>
      <c r="B2757" t="s">
        <v>265</v>
      </c>
    </row>
    <row r="2758" spans="1:2" x14ac:dyDescent="0.25">
      <c r="A2758" t="s">
        <v>374</v>
      </c>
      <c r="B2758" t="s">
        <v>265</v>
      </c>
    </row>
    <row r="2759" spans="1:2" x14ac:dyDescent="0.25">
      <c r="A2759" t="s">
        <v>374</v>
      </c>
      <c r="B2759" t="s">
        <v>265</v>
      </c>
    </row>
    <row r="2760" spans="1:2" x14ac:dyDescent="0.25">
      <c r="A2760" t="s">
        <v>374</v>
      </c>
      <c r="B2760" t="s">
        <v>265</v>
      </c>
    </row>
    <row r="2761" spans="1:2" x14ac:dyDescent="0.25">
      <c r="A2761" t="s">
        <v>374</v>
      </c>
      <c r="B2761" t="s">
        <v>265</v>
      </c>
    </row>
    <row r="2762" spans="1:2" x14ac:dyDescent="0.25">
      <c r="A2762" t="s">
        <v>374</v>
      </c>
      <c r="B2762" t="s">
        <v>265</v>
      </c>
    </row>
    <row r="2763" spans="1:2" x14ac:dyDescent="0.25">
      <c r="A2763" t="s">
        <v>374</v>
      </c>
      <c r="B2763" t="s">
        <v>265</v>
      </c>
    </row>
    <row r="2764" spans="1:2" x14ac:dyDescent="0.25">
      <c r="A2764" t="s">
        <v>374</v>
      </c>
      <c r="B2764" t="s">
        <v>265</v>
      </c>
    </row>
    <row r="2765" spans="1:2" x14ac:dyDescent="0.25">
      <c r="A2765" t="s">
        <v>374</v>
      </c>
      <c r="B2765" t="s">
        <v>265</v>
      </c>
    </row>
    <row r="2766" spans="1:2" x14ac:dyDescent="0.25">
      <c r="A2766" t="s">
        <v>374</v>
      </c>
      <c r="B2766" t="s">
        <v>265</v>
      </c>
    </row>
    <row r="2767" spans="1:2" x14ac:dyDescent="0.25">
      <c r="A2767" t="s">
        <v>374</v>
      </c>
      <c r="B2767" t="s">
        <v>265</v>
      </c>
    </row>
    <row r="2768" spans="1:2" x14ac:dyDescent="0.25">
      <c r="A2768" t="s">
        <v>374</v>
      </c>
      <c r="B2768" t="s">
        <v>265</v>
      </c>
    </row>
    <row r="2769" spans="1:2" x14ac:dyDescent="0.25">
      <c r="A2769" t="s">
        <v>374</v>
      </c>
      <c r="B2769" t="s">
        <v>265</v>
      </c>
    </row>
    <row r="2770" spans="1:2" x14ac:dyDescent="0.25">
      <c r="A2770" t="s">
        <v>374</v>
      </c>
      <c r="B2770" t="s">
        <v>265</v>
      </c>
    </row>
    <row r="2771" spans="1:2" x14ac:dyDescent="0.25">
      <c r="A2771" t="s">
        <v>374</v>
      </c>
      <c r="B2771" t="s">
        <v>265</v>
      </c>
    </row>
    <row r="2772" spans="1:2" x14ac:dyDescent="0.25">
      <c r="A2772" t="s">
        <v>375</v>
      </c>
      <c r="B2772" t="s">
        <v>265</v>
      </c>
    </row>
    <row r="2773" spans="1:2" x14ac:dyDescent="0.25">
      <c r="A2773" t="s">
        <v>375</v>
      </c>
      <c r="B2773" t="s">
        <v>265</v>
      </c>
    </row>
    <row r="2774" spans="1:2" x14ac:dyDescent="0.25">
      <c r="A2774" t="s">
        <v>375</v>
      </c>
      <c r="B2774" t="s">
        <v>265</v>
      </c>
    </row>
    <row r="2775" spans="1:2" x14ac:dyDescent="0.25">
      <c r="A2775" t="s">
        <v>375</v>
      </c>
      <c r="B2775" t="s">
        <v>265</v>
      </c>
    </row>
    <row r="2776" spans="1:2" x14ac:dyDescent="0.25">
      <c r="A2776" t="s">
        <v>375</v>
      </c>
      <c r="B2776" t="s">
        <v>265</v>
      </c>
    </row>
    <row r="2777" spans="1:2" x14ac:dyDescent="0.25">
      <c r="A2777" t="s">
        <v>375</v>
      </c>
      <c r="B2777" t="s">
        <v>265</v>
      </c>
    </row>
    <row r="2778" spans="1:2" x14ac:dyDescent="0.25">
      <c r="A2778" t="s">
        <v>375</v>
      </c>
      <c r="B2778" t="s">
        <v>265</v>
      </c>
    </row>
    <row r="2779" spans="1:2" x14ac:dyDescent="0.25">
      <c r="A2779" t="s">
        <v>375</v>
      </c>
      <c r="B2779" t="s">
        <v>265</v>
      </c>
    </row>
    <row r="2780" spans="1:2" x14ac:dyDescent="0.25">
      <c r="A2780" t="s">
        <v>375</v>
      </c>
      <c r="B2780" t="s">
        <v>265</v>
      </c>
    </row>
    <row r="2781" spans="1:2" x14ac:dyDescent="0.25">
      <c r="A2781" t="s">
        <v>375</v>
      </c>
      <c r="B2781" t="s">
        <v>265</v>
      </c>
    </row>
    <row r="2782" spans="1:2" x14ac:dyDescent="0.25">
      <c r="A2782" t="s">
        <v>375</v>
      </c>
      <c r="B2782" t="s">
        <v>265</v>
      </c>
    </row>
    <row r="2783" spans="1:2" x14ac:dyDescent="0.25">
      <c r="A2783" t="s">
        <v>375</v>
      </c>
      <c r="B2783" t="s">
        <v>265</v>
      </c>
    </row>
    <row r="2784" spans="1:2" x14ac:dyDescent="0.25">
      <c r="A2784" t="s">
        <v>375</v>
      </c>
      <c r="B2784" t="s">
        <v>265</v>
      </c>
    </row>
    <row r="2785" spans="1:2" x14ac:dyDescent="0.25">
      <c r="A2785" t="s">
        <v>375</v>
      </c>
      <c r="B2785" t="s">
        <v>265</v>
      </c>
    </row>
    <row r="2786" spans="1:2" x14ac:dyDescent="0.25">
      <c r="A2786" t="s">
        <v>375</v>
      </c>
      <c r="B2786" t="s">
        <v>265</v>
      </c>
    </row>
    <row r="2787" spans="1:2" x14ac:dyDescent="0.25">
      <c r="A2787" t="s">
        <v>375</v>
      </c>
      <c r="B2787" t="s">
        <v>265</v>
      </c>
    </row>
    <row r="2788" spans="1:2" x14ac:dyDescent="0.25">
      <c r="A2788" t="s">
        <v>375</v>
      </c>
      <c r="B2788" t="s">
        <v>265</v>
      </c>
    </row>
    <row r="2789" spans="1:2" x14ac:dyDescent="0.25">
      <c r="A2789" t="s">
        <v>375</v>
      </c>
      <c r="B2789" t="s">
        <v>265</v>
      </c>
    </row>
    <row r="2790" spans="1:2" x14ac:dyDescent="0.25">
      <c r="A2790" t="s">
        <v>375</v>
      </c>
      <c r="B2790" t="s">
        <v>265</v>
      </c>
    </row>
    <row r="2791" spans="1:2" x14ac:dyDescent="0.25">
      <c r="A2791" t="s">
        <v>375</v>
      </c>
      <c r="B2791" t="s">
        <v>265</v>
      </c>
    </row>
    <row r="2792" spans="1:2" x14ac:dyDescent="0.25">
      <c r="A2792" t="s">
        <v>375</v>
      </c>
      <c r="B2792" t="s">
        <v>265</v>
      </c>
    </row>
    <row r="2793" spans="1:2" x14ac:dyDescent="0.25">
      <c r="A2793" t="s">
        <v>375</v>
      </c>
      <c r="B2793" t="s">
        <v>265</v>
      </c>
    </row>
    <row r="2794" spans="1:2" x14ac:dyDescent="0.25">
      <c r="A2794" t="s">
        <v>375</v>
      </c>
      <c r="B2794" t="s">
        <v>265</v>
      </c>
    </row>
    <row r="2795" spans="1:2" x14ac:dyDescent="0.25">
      <c r="A2795" t="s">
        <v>375</v>
      </c>
      <c r="B2795" t="s">
        <v>265</v>
      </c>
    </row>
    <row r="2796" spans="1:2" x14ac:dyDescent="0.25">
      <c r="A2796" t="s">
        <v>375</v>
      </c>
      <c r="B2796" t="s">
        <v>265</v>
      </c>
    </row>
    <row r="2797" spans="1:2" x14ac:dyDescent="0.25">
      <c r="A2797" t="s">
        <v>375</v>
      </c>
      <c r="B2797" t="s">
        <v>265</v>
      </c>
    </row>
    <row r="2798" spans="1:2" x14ac:dyDescent="0.25">
      <c r="A2798" t="s">
        <v>375</v>
      </c>
      <c r="B2798" t="s">
        <v>265</v>
      </c>
    </row>
    <row r="2799" spans="1:2" x14ac:dyDescent="0.25">
      <c r="A2799" t="s">
        <v>376</v>
      </c>
      <c r="B2799" t="s">
        <v>266</v>
      </c>
    </row>
    <row r="2800" spans="1:2" x14ac:dyDescent="0.25">
      <c r="A2800" t="s">
        <v>376</v>
      </c>
      <c r="B2800" t="s">
        <v>266</v>
      </c>
    </row>
    <row r="2801" spans="1:2" x14ac:dyDescent="0.25">
      <c r="A2801" t="s">
        <v>376</v>
      </c>
      <c r="B2801" t="s">
        <v>266</v>
      </c>
    </row>
    <row r="2802" spans="1:2" x14ac:dyDescent="0.25">
      <c r="A2802" t="s">
        <v>376</v>
      </c>
      <c r="B2802" t="s">
        <v>266</v>
      </c>
    </row>
    <row r="2803" spans="1:2" x14ac:dyDescent="0.25">
      <c r="A2803" t="s">
        <v>376</v>
      </c>
      <c r="B2803" t="s">
        <v>266</v>
      </c>
    </row>
    <row r="2804" spans="1:2" x14ac:dyDescent="0.25">
      <c r="A2804" t="s">
        <v>376</v>
      </c>
      <c r="B2804" t="s">
        <v>266</v>
      </c>
    </row>
    <row r="2805" spans="1:2" x14ac:dyDescent="0.25">
      <c r="A2805" t="s">
        <v>376</v>
      </c>
      <c r="B2805" t="s">
        <v>266</v>
      </c>
    </row>
    <row r="2806" spans="1:2" x14ac:dyDescent="0.25">
      <c r="A2806" t="s">
        <v>376</v>
      </c>
      <c r="B2806" t="s">
        <v>266</v>
      </c>
    </row>
    <row r="2807" spans="1:2" x14ac:dyDescent="0.25">
      <c r="A2807" t="s">
        <v>376</v>
      </c>
      <c r="B2807" t="s">
        <v>266</v>
      </c>
    </row>
    <row r="2808" spans="1:2" x14ac:dyDescent="0.25">
      <c r="A2808" t="s">
        <v>376</v>
      </c>
      <c r="B2808" t="s">
        <v>266</v>
      </c>
    </row>
    <row r="2809" spans="1:2" x14ac:dyDescent="0.25">
      <c r="A2809" t="s">
        <v>376</v>
      </c>
      <c r="B2809" t="s">
        <v>266</v>
      </c>
    </row>
    <row r="2810" spans="1:2" x14ac:dyDescent="0.25">
      <c r="A2810" t="s">
        <v>376</v>
      </c>
      <c r="B2810" t="s">
        <v>266</v>
      </c>
    </row>
    <row r="2811" spans="1:2" x14ac:dyDescent="0.25">
      <c r="A2811" t="s">
        <v>376</v>
      </c>
      <c r="B2811" t="s">
        <v>266</v>
      </c>
    </row>
    <row r="2812" spans="1:2" x14ac:dyDescent="0.25">
      <c r="A2812" t="s">
        <v>376</v>
      </c>
      <c r="B2812" t="s">
        <v>266</v>
      </c>
    </row>
    <row r="2813" spans="1:2" x14ac:dyDescent="0.25">
      <c r="A2813" t="s">
        <v>376</v>
      </c>
      <c r="B2813" t="s">
        <v>266</v>
      </c>
    </row>
    <row r="2814" spans="1:2" x14ac:dyDescent="0.25">
      <c r="A2814" t="s">
        <v>376</v>
      </c>
      <c r="B2814" t="s">
        <v>266</v>
      </c>
    </row>
    <row r="2815" spans="1:2" x14ac:dyDescent="0.25">
      <c r="A2815" t="s">
        <v>376</v>
      </c>
      <c r="B2815" t="s">
        <v>266</v>
      </c>
    </row>
    <row r="2816" spans="1:2" x14ac:dyDescent="0.25">
      <c r="A2816" t="s">
        <v>376</v>
      </c>
      <c r="B2816" t="s">
        <v>266</v>
      </c>
    </row>
    <row r="2817" spans="1:2" x14ac:dyDescent="0.25">
      <c r="A2817" t="s">
        <v>376</v>
      </c>
      <c r="B2817" t="s">
        <v>266</v>
      </c>
    </row>
    <row r="2818" spans="1:2" x14ac:dyDescent="0.25">
      <c r="A2818" t="s">
        <v>376</v>
      </c>
      <c r="B2818" t="s">
        <v>266</v>
      </c>
    </row>
    <row r="2819" spans="1:2" x14ac:dyDescent="0.25">
      <c r="A2819" t="s">
        <v>376</v>
      </c>
      <c r="B2819" t="s">
        <v>266</v>
      </c>
    </row>
    <row r="2820" spans="1:2" x14ac:dyDescent="0.25">
      <c r="A2820" t="s">
        <v>376</v>
      </c>
      <c r="B2820" t="s">
        <v>266</v>
      </c>
    </row>
    <row r="2821" spans="1:2" x14ac:dyDescent="0.25">
      <c r="A2821" t="s">
        <v>376</v>
      </c>
      <c r="B2821" t="s">
        <v>266</v>
      </c>
    </row>
    <row r="2822" spans="1:2" x14ac:dyDescent="0.25">
      <c r="A2822" t="s">
        <v>376</v>
      </c>
      <c r="B2822" t="s">
        <v>266</v>
      </c>
    </row>
    <row r="2823" spans="1:2" x14ac:dyDescent="0.25">
      <c r="A2823" t="s">
        <v>376</v>
      </c>
      <c r="B2823" t="s">
        <v>266</v>
      </c>
    </row>
    <row r="2824" spans="1:2" x14ac:dyDescent="0.25">
      <c r="A2824" t="s">
        <v>376</v>
      </c>
      <c r="B2824" t="s">
        <v>266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sqref="A1:A1048576"/>
    </sheetView>
  </sheetViews>
  <sheetFormatPr defaultRowHeight="15" x14ac:dyDescent="0.25"/>
  <cols>
    <col min="1" max="1" width="13.140625" bestFit="1" customWidth="1"/>
    <col min="2" max="2" width="13.7109375" bestFit="1" customWidth="1"/>
    <col min="3" max="3" width="16" bestFit="1" customWidth="1"/>
    <col min="4" max="4" width="14.140625" bestFit="1" customWidth="1"/>
  </cols>
  <sheetData>
    <row r="1" spans="1:4" x14ac:dyDescent="0.25">
      <c r="A1" s="7" t="s">
        <v>391</v>
      </c>
      <c r="B1" t="s">
        <v>394</v>
      </c>
      <c r="C1" s="7" t="s">
        <v>391</v>
      </c>
      <c r="D1" t="s">
        <v>395</v>
      </c>
    </row>
    <row r="2" spans="1:4" x14ac:dyDescent="0.25">
      <c r="A2" s="5" t="s">
        <v>259</v>
      </c>
      <c r="B2" s="8">
        <v>2823</v>
      </c>
      <c r="C2" s="5" t="s">
        <v>262</v>
      </c>
      <c r="D2" s="8">
        <v>1</v>
      </c>
    </row>
    <row r="3" spans="1:4" x14ac:dyDescent="0.25">
      <c r="A3" s="5" t="s">
        <v>258</v>
      </c>
      <c r="C3" s="5" t="s">
        <v>261</v>
      </c>
    </row>
    <row r="4" spans="1:4" x14ac:dyDescent="0.25">
      <c r="A4" s="5" t="s">
        <v>260</v>
      </c>
      <c r="C4" s="5" t="s">
        <v>265</v>
      </c>
    </row>
    <row r="5" spans="1:4" x14ac:dyDescent="0.25">
      <c r="A5" s="5" t="s">
        <v>392</v>
      </c>
      <c r="C5" s="5" t="s">
        <v>266</v>
      </c>
    </row>
    <row r="6" spans="1:4" x14ac:dyDescent="0.25">
      <c r="A6" s="5" t="s">
        <v>393</v>
      </c>
      <c r="C6" s="5" t="s">
        <v>267</v>
      </c>
    </row>
    <row r="7" spans="1:4" x14ac:dyDescent="0.25">
      <c r="C7" s="5" t="s">
        <v>263</v>
      </c>
    </row>
    <row r="8" spans="1:4" x14ac:dyDescent="0.25">
      <c r="C8" s="5" t="s">
        <v>264</v>
      </c>
    </row>
    <row r="9" spans="1:4" x14ac:dyDescent="0.25">
      <c r="C9" s="5" t="s">
        <v>392</v>
      </c>
    </row>
    <row r="10" spans="1:4" x14ac:dyDescent="0.25">
      <c r="C10" s="5" t="s">
        <v>393</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G20" sqref="G2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Basic_Analysis</vt:lpstr>
      <vt:lpstr>Lookup_Table</vt:lpstr>
      <vt:lpstr>Pivot – Sales by Region</vt:lpstr>
      <vt:lpstr>Dashboard</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RAJU</dc:creator>
  <cp:lastModifiedBy>Dell</cp:lastModifiedBy>
  <dcterms:created xsi:type="dcterms:W3CDTF">2026-01-11T13:40:39Z</dcterms:created>
  <dcterms:modified xsi:type="dcterms:W3CDTF">2026-01-11T17:39:03Z</dcterms:modified>
</cp:coreProperties>
</file>